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177A74AE-AA53-4BE6-820B-D728087282D5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235" i="8" s="1"/>
  <c r="H235" i="8" s="1"/>
  <c r="H305" i="8" s="1"/>
  <c r="B312" i="8"/>
  <c r="B235" i="8" s="1"/>
  <c r="C235" i="8" s="1"/>
  <c r="C305" i="8" s="1"/>
  <c r="I309" i="8"/>
  <c r="D319" i="8" s="1"/>
  <c r="D320" i="8" s="1"/>
  <c r="D321" i="8" s="1"/>
  <c r="J43" i="2" s="1"/>
  <c r="T7" i="6" s="1"/>
  <c r="G309" i="8"/>
  <c r="D309" i="8"/>
  <c r="C319" i="8" s="1"/>
  <c r="B309" i="8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G283" i="8"/>
  <c r="H283" i="8" s="1"/>
  <c r="H308" i="8" s="1"/>
  <c r="B283" i="8"/>
  <c r="C283" i="8" s="1"/>
  <c r="C308" i="8" s="1"/>
  <c r="H282" i="8"/>
  <c r="G282" i="8"/>
  <c r="C282" i="8"/>
  <c r="B282" i="8"/>
  <c r="H277" i="8"/>
  <c r="G277" i="8"/>
  <c r="C277" i="8"/>
  <c r="B277" i="8"/>
  <c r="G267" i="8"/>
  <c r="H267" i="8" s="1"/>
  <c r="H307" i="8" s="1"/>
  <c r="B267" i="8"/>
  <c r="C267" i="8" s="1"/>
  <c r="C307" i="8" s="1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G187" i="8"/>
  <c r="H187" i="8" s="1"/>
  <c r="H302" i="8" s="1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G155" i="8"/>
  <c r="H155" i="8" s="1"/>
  <c r="H300" i="8" s="1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G92" i="8"/>
  <c r="H92" i="8" s="1"/>
  <c r="H296" i="8" s="1"/>
  <c r="B92" i="8"/>
  <c r="C92" i="8" s="1"/>
  <c r="C296" i="8" s="1"/>
  <c r="H87" i="8"/>
  <c r="G87" i="8"/>
  <c r="C87" i="8"/>
  <c r="B87" i="8"/>
  <c r="G77" i="8"/>
  <c r="H77" i="8" s="1"/>
  <c r="H295" i="8" s="1"/>
  <c r="H56" i="8"/>
  <c r="G56" i="8"/>
  <c r="C56" i="8"/>
  <c r="B56" i="8"/>
  <c r="B46" i="8"/>
  <c r="C46" i="8" s="1"/>
  <c r="C293" i="8" s="1"/>
  <c r="G31" i="8"/>
  <c r="H31" i="8" s="1"/>
  <c r="H292" i="8" s="1"/>
  <c r="H30" i="8"/>
  <c r="G30" i="8"/>
  <c r="C30" i="8"/>
  <c r="B30" i="8"/>
  <c r="H25" i="8"/>
  <c r="G25" i="8"/>
  <c r="C25" i="8"/>
  <c r="B25" i="8"/>
  <c r="G15" i="8"/>
  <c r="H15" i="8" s="1"/>
  <c r="H291" i="8" s="1"/>
  <c r="H309" i="8" s="1"/>
  <c r="H312" i="8" s="1"/>
  <c r="O26" i="7"/>
  <c r="O23" i="7"/>
  <c r="C8" i="7"/>
  <c r="C7" i="7"/>
  <c r="R6" i="7"/>
  <c r="Q6" i="7"/>
  <c r="I6" i="7"/>
  <c r="N5" i="7"/>
  <c r="M5" i="7"/>
  <c r="L5" i="7"/>
  <c r="I14" i="6" s="1"/>
  <c r="N14" i="6" s="1"/>
  <c r="K5" i="7"/>
  <c r="D14" i="6" s="1"/>
  <c r="E3" i="7"/>
  <c r="A50" i="6"/>
  <c r="M37" i="6"/>
  <c r="AC21" i="6"/>
  <c r="AA22" i="6" s="1"/>
  <c r="D20" i="6"/>
  <c r="N20" i="6" s="1"/>
  <c r="AC13" i="6"/>
  <c r="AA14" i="6" s="1"/>
  <c r="F6" i="6"/>
  <c r="F5" i="6"/>
  <c r="F3" i="6" s="1"/>
  <c r="N40" i="5"/>
  <c r="N39" i="5"/>
  <c r="F26" i="5"/>
  <c r="E26" i="5"/>
  <c r="H26" i="5" s="1"/>
  <c r="J26" i="5" s="1"/>
  <c r="F25" i="5"/>
  <c r="F24" i="5"/>
  <c r="F23" i="5"/>
  <c r="F22" i="5"/>
  <c r="H22" i="5" s="1"/>
  <c r="F19" i="5"/>
  <c r="G18" i="5"/>
  <c r="F18" i="5"/>
  <c r="C15" i="5"/>
  <c r="N33" i="5" s="1"/>
  <c r="O33" i="5" s="1"/>
  <c r="O35" i="5" s="1"/>
  <c r="O40" i="5" s="1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L59" i="4" s="1"/>
  <c r="E25" i="5" s="1"/>
  <c r="H25" i="5" s="1"/>
  <c r="J25" i="5" s="1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G50" i="4"/>
  <c r="E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Z58" i="4" s="1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I58" i="4" s="1"/>
  <c r="AH9" i="4"/>
  <c r="AG9" i="4"/>
  <c r="AE9" i="4"/>
  <c r="AD9" i="4"/>
  <c r="AC9" i="4"/>
  <c r="AB9" i="4"/>
  <c r="G9" i="4"/>
  <c r="AF9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C7" i="4"/>
  <c r="AB7" i="4"/>
  <c r="G7" i="4"/>
  <c r="AD7" i="4" s="1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T9" i="4" s="1"/>
  <c r="CU9" i="4" s="1"/>
  <c r="CV9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Y5" i="4" s="1"/>
  <c r="BZ5" i="4" s="1"/>
  <c r="CA5" i="4" s="1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Y6" i="4"/>
  <c r="AY58" i="4" s="1"/>
  <c r="AX6" i="4"/>
  <c r="AX58" i="4" s="1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K6" i="4"/>
  <c r="AK58" i="4" s="1"/>
  <c r="AJ6" i="4"/>
  <c r="AI6" i="4"/>
  <c r="AH6" i="4"/>
  <c r="AG6" i="4"/>
  <c r="AF6" i="4"/>
  <c r="AE6" i="4"/>
  <c r="AE58" i="4" s="1"/>
  <c r="AD6" i="4"/>
  <c r="AB6" i="4"/>
  <c r="AB58" i="4" s="1"/>
  <c r="G6" i="4"/>
  <c r="AC6" i="4" s="1"/>
  <c r="AC58" i="4" s="1"/>
  <c r="CM5" i="4"/>
  <c r="BU5" i="4"/>
  <c r="BE5" i="4"/>
  <c r="BD5" i="4"/>
  <c r="AZ5" i="4"/>
  <c r="AO5" i="4"/>
  <c r="CK5" i="4" s="1"/>
  <c r="AN5" i="4"/>
  <c r="CJ5" i="4" s="1"/>
  <c r="AM5" i="4"/>
  <c r="CI5" i="4" s="1"/>
  <c r="BY4" i="4"/>
  <c r="BZ4" i="4" s="1"/>
  <c r="CA4" i="4" s="1"/>
  <c r="Z4" i="4"/>
  <c r="BV5" i="4" s="1"/>
  <c r="Y4" i="4"/>
  <c r="X4" i="4"/>
  <c r="BT5" i="4" s="1"/>
  <c r="W4" i="4"/>
  <c r="BC5" i="4" s="1"/>
  <c r="V4" i="4"/>
  <c r="AL5" i="4" s="1"/>
  <c r="CH5" i="4" s="1"/>
  <c r="U4" i="4"/>
  <c r="AK5" i="4" s="1"/>
  <c r="CG5" i="4" s="1"/>
  <c r="T4" i="4"/>
  <c r="AJ5" i="4" s="1"/>
  <c r="CF5" i="4" s="1"/>
  <c r="S4" i="4"/>
  <c r="AI5" i="4" s="1"/>
  <c r="CE5" i="4" s="1"/>
  <c r="R4" i="4"/>
  <c r="AH5" i="4" s="1"/>
  <c r="CD5" i="4" s="1"/>
  <c r="Q4" i="4"/>
  <c r="AG5" i="4" s="1"/>
  <c r="CC5" i="4" s="1"/>
  <c r="P4" i="4"/>
  <c r="AF5" i="4" s="1"/>
  <c r="O4" i="4"/>
  <c r="BK5" i="4" s="1"/>
  <c r="N4" i="4"/>
  <c r="BJ5" i="4" s="1"/>
  <c r="M4" i="4"/>
  <c r="AC5" i="4" s="1"/>
  <c r="L4" i="4"/>
  <c r="AB5" i="4" s="1"/>
  <c r="H59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S67" i="2" s="1"/>
  <c r="O67" i="2"/>
  <c r="D67" i="2"/>
  <c r="R66" i="2"/>
  <c r="S66" i="2" s="1"/>
  <c r="O66" i="2"/>
  <c r="D66" i="2"/>
  <c r="R65" i="2"/>
  <c r="S65" i="2" s="1"/>
  <c r="O65" i="2"/>
  <c r="D65" i="2"/>
  <c r="R64" i="2"/>
  <c r="S64" i="2" s="1"/>
  <c r="O64" i="2"/>
  <c r="D64" i="2"/>
  <c r="R63" i="2"/>
  <c r="S63" i="2" s="1"/>
  <c r="O63" i="2"/>
  <c r="D63" i="2"/>
  <c r="R62" i="2"/>
  <c r="S62" i="2" s="1"/>
  <c r="O62" i="2"/>
  <c r="D62" i="2"/>
  <c r="R61" i="2"/>
  <c r="S61" i="2" s="1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K25" i="2"/>
  <c r="G25" i="2"/>
  <c r="G11" i="2"/>
  <c r="C2" i="3" s="1"/>
  <c r="H6" i="2"/>
  <c r="F6" i="2"/>
  <c r="E6" i="2"/>
  <c r="E4" i="2"/>
  <c r="C41" i="3" s="1"/>
  <c r="E3" i="2"/>
  <c r="C38" i="3" s="1"/>
  <c r="AP5" i="4" l="1"/>
  <c r="CL5" i="4" s="1"/>
  <c r="BF5" i="4"/>
  <c r="BP5" i="4"/>
  <c r="AY5" i="4"/>
  <c r="BO5" i="4"/>
  <c r="AX5" i="4"/>
  <c r="G123" i="8"/>
  <c r="H123" i="8" s="1"/>
  <c r="H298" i="8" s="1"/>
  <c r="G219" i="8"/>
  <c r="H219" i="8" s="1"/>
  <c r="H304" i="8" s="1"/>
  <c r="G46" i="8"/>
  <c r="H46" i="8" s="1"/>
  <c r="H293" i="8" s="1"/>
  <c r="B155" i="8"/>
  <c r="C155" i="8" s="1"/>
  <c r="C300" i="8" s="1"/>
  <c r="B219" i="8"/>
  <c r="C219" i="8" s="1"/>
  <c r="C304" i="8" s="1"/>
  <c r="B15" i="8"/>
  <c r="C15" i="8" s="1"/>
  <c r="C291" i="8" s="1"/>
  <c r="C309" i="8" s="1"/>
  <c r="C312" i="8" s="1"/>
  <c r="B314" i="8" s="1"/>
  <c r="H42" i="2" s="1"/>
  <c r="AB72" i="4"/>
  <c r="AC72" i="4" s="1"/>
  <c r="C69" i="2" s="1"/>
  <c r="Q69" i="2" s="1"/>
  <c r="D32" i="6" s="1"/>
  <c r="W5" i="4"/>
  <c r="X5" i="4"/>
  <c r="AB73" i="4"/>
  <c r="AC73" i="4" s="1"/>
  <c r="C70" i="2" s="1"/>
  <c r="Q70" i="2" s="1"/>
  <c r="D33" i="6" s="1"/>
  <c r="AB68" i="4"/>
  <c r="AC68" i="4" s="1"/>
  <c r="C65" i="2" s="1"/>
  <c r="Q65" i="2" s="1"/>
  <c r="D28" i="6" s="1"/>
  <c r="S5" i="4"/>
  <c r="CT6" i="4"/>
  <c r="CU6" i="4" s="1"/>
  <c r="CV6" i="4" s="1"/>
  <c r="C64" i="3"/>
  <c r="C65" i="3" s="1"/>
  <c r="C66" i="3" s="1"/>
  <c r="I50" i="3" s="1"/>
  <c r="F2" i="6"/>
  <c r="AD58" i="4"/>
  <c r="L26" i="5"/>
  <c r="K26" i="5"/>
  <c r="L18" i="5"/>
  <c r="L27" i="5" s="1"/>
  <c r="K18" i="5"/>
  <c r="J27" i="5" s="1"/>
  <c r="J28" i="5" s="1"/>
  <c r="AB64" i="4"/>
  <c r="AC64" i="4" s="1"/>
  <c r="C61" i="2" s="1"/>
  <c r="Q61" i="2" s="1"/>
  <c r="D24" i="6" s="1"/>
  <c r="O5" i="4"/>
  <c r="AF58" i="4"/>
  <c r="AH58" i="4"/>
  <c r="AG58" i="4"/>
  <c r="L19" i="5"/>
  <c r="K19" i="5"/>
  <c r="AR59" i="4"/>
  <c r="E20" i="5" s="1"/>
  <c r="H20" i="5" s="1"/>
  <c r="J20" i="5" s="1"/>
  <c r="L5" i="4"/>
  <c r="AB61" i="4"/>
  <c r="AC61" i="4" s="1"/>
  <c r="C58" i="2" s="1"/>
  <c r="Q58" i="2" s="1"/>
  <c r="D21" i="6" s="1"/>
  <c r="AJ58" i="4"/>
  <c r="AB75" i="4"/>
  <c r="AC75" i="4" s="1"/>
  <c r="C72" i="2" s="1"/>
  <c r="Q72" i="2" s="1"/>
  <c r="D35" i="6" s="1"/>
  <c r="Z5" i="4"/>
  <c r="CT4" i="4"/>
  <c r="CU4" i="4" s="1"/>
  <c r="CV4" i="4" s="1"/>
  <c r="U5" i="4"/>
  <c r="AB70" i="4"/>
  <c r="AC70" i="4" s="1"/>
  <c r="C67" i="2" s="1"/>
  <c r="Q67" i="2" s="1"/>
  <c r="D30" i="6" s="1"/>
  <c r="J23" i="5"/>
  <c r="C320" i="8"/>
  <c r="C321" i="8" s="1"/>
  <c r="J42" i="2" s="1"/>
  <c r="T6" i="6" s="1"/>
  <c r="AB74" i="4"/>
  <c r="AC74" i="4" s="1"/>
  <c r="C71" i="2" s="1"/>
  <c r="Q71" i="2" s="1"/>
  <c r="D34" i="6" s="1"/>
  <c r="Y5" i="4"/>
  <c r="M5" i="4"/>
  <c r="AB62" i="4"/>
  <c r="AC62" i="4" s="1"/>
  <c r="C59" i="2" s="1"/>
  <c r="Q59" i="2" s="1"/>
  <c r="D22" i="6" s="1"/>
  <c r="AL58" i="4"/>
  <c r="L25" i="5"/>
  <c r="K25" i="5"/>
  <c r="CT10" i="4"/>
  <c r="CU10" i="4" s="1"/>
  <c r="CV10" i="4" s="1"/>
  <c r="P33" i="5"/>
  <c r="Q33" i="5" s="1"/>
  <c r="O36" i="5" s="1"/>
  <c r="BY11" i="4"/>
  <c r="BZ11" i="4" s="1"/>
  <c r="CA11" i="4" s="1"/>
  <c r="BY6" i="4"/>
  <c r="BZ6" i="4" s="1"/>
  <c r="CA6" i="4" s="1"/>
  <c r="BZ13" i="4" s="1"/>
  <c r="BZ14" i="4" s="1"/>
  <c r="BZ15" i="4" s="1"/>
  <c r="BZ16" i="4" s="1"/>
  <c r="C47" i="3" s="1"/>
  <c r="I23" i="5"/>
  <c r="R33" i="5"/>
  <c r="S33" i="5" s="1"/>
  <c r="O37" i="5" s="1"/>
  <c r="CT5" i="4"/>
  <c r="CU5" i="4" s="1"/>
  <c r="CV5" i="4" s="1"/>
  <c r="CT11" i="4"/>
  <c r="CU11" i="4" s="1"/>
  <c r="CV11" i="4" s="1"/>
  <c r="AD5" i="4"/>
  <c r="AU5" i="4"/>
  <c r="CQ5" i="4" s="1"/>
  <c r="BL5" i="4"/>
  <c r="AE5" i="4"/>
  <c r="AV5" i="4"/>
  <c r="BM5" i="4"/>
  <c r="I21" i="5"/>
  <c r="B61" i="8"/>
  <c r="C61" i="8" s="1"/>
  <c r="C294" i="8" s="1"/>
  <c r="B108" i="8"/>
  <c r="C108" i="8" s="1"/>
  <c r="C297" i="8" s="1"/>
  <c r="B139" i="8"/>
  <c r="C139" i="8" s="1"/>
  <c r="C299" i="8" s="1"/>
  <c r="BY7" i="4"/>
  <c r="BZ7" i="4" s="1"/>
  <c r="CA7" i="4" s="1"/>
  <c r="AW5" i="4"/>
  <c r="BN5" i="4"/>
  <c r="E24" i="5"/>
  <c r="H24" i="5" s="1"/>
  <c r="J24" i="5" s="1"/>
  <c r="B187" i="8"/>
  <c r="C187" i="8" s="1"/>
  <c r="C302" i="8" s="1"/>
  <c r="B251" i="8"/>
  <c r="C251" i="8" s="1"/>
  <c r="C306" i="8" s="1"/>
  <c r="CT7" i="4"/>
  <c r="CU7" i="4" s="1"/>
  <c r="CV7" i="4" s="1"/>
  <c r="G61" i="8"/>
  <c r="H61" i="8" s="1"/>
  <c r="H294" i="8" s="1"/>
  <c r="G108" i="8"/>
  <c r="H108" i="8" s="1"/>
  <c r="H297" i="8" s="1"/>
  <c r="G139" i="8"/>
  <c r="H139" i="8" s="1"/>
  <c r="H299" i="8" s="1"/>
  <c r="G314" i="8"/>
  <c r="H43" i="2" s="1"/>
  <c r="R7" i="6" s="1"/>
  <c r="BY8" i="4"/>
  <c r="BZ8" i="4" s="1"/>
  <c r="CA8" i="4" s="1"/>
  <c r="BH5" i="4"/>
  <c r="AR5" i="4"/>
  <c r="CN5" i="4" s="1"/>
  <c r="BI5" i="4"/>
  <c r="AS5" i="4"/>
  <c r="CO5" i="4" s="1"/>
  <c r="AT5" i="4"/>
  <c r="CP5" i="4" s="1"/>
  <c r="B31" i="8"/>
  <c r="C31" i="8" s="1"/>
  <c r="C292" i="8" s="1"/>
  <c r="B77" i="8"/>
  <c r="C77" i="8" s="1"/>
  <c r="C295" i="8" s="1"/>
  <c r="B123" i="8"/>
  <c r="C123" i="8" s="1"/>
  <c r="C298" i="8" s="1"/>
  <c r="CT8" i="4"/>
  <c r="CU8" i="4" s="1"/>
  <c r="CV8" i="4" s="1"/>
  <c r="B171" i="8"/>
  <c r="C171" i="8" s="1"/>
  <c r="C301" i="8" s="1"/>
  <c r="BY9" i="4"/>
  <c r="BZ9" i="4" s="1"/>
  <c r="CA9" i="4" s="1"/>
  <c r="I22" i="5"/>
  <c r="J22" i="5" s="1"/>
  <c r="BQ5" i="4"/>
  <c r="BA5" i="4"/>
  <c r="BR5" i="4"/>
  <c r="BB5" i="4"/>
  <c r="BS5" i="4"/>
  <c r="I20" i="6"/>
  <c r="G171" i="8"/>
  <c r="H171" i="8" s="1"/>
  <c r="H301" i="8" s="1"/>
  <c r="BY10" i="4"/>
  <c r="BZ10" i="4" s="1"/>
  <c r="CA10" i="4" s="1"/>
  <c r="L22" i="5" l="1"/>
  <c r="K22" i="5"/>
  <c r="I21" i="6"/>
  <c r="N21" i="6"/>
  <c r="AB63" i="4"/>
  <c r="AC63" i="4" s="1"/>
  <c r="C60" i="2" s="1"/>
  <c r="Q60" i="2" s="1"/>
  <c r="D23" i="6" s="1"/>
  <c r="N5" i="4"/>
  <c r="V5" i="4"/>
  <c r="AB71" i="4"/>
  <c r="AC71" i="4" s="1"/>
  <c r="C68" i="2" s="1"/>
  <c r="Q68" i="2" s="1"/>
  <c r="D31" i="6" s="1"/>
  <c r="L20" i="5"/>
  <c r="K20" i="5"/>
  <c r="J29" i="5"/>
  <c r="J30" i="5" s="1"/>
  <c r="J31" i="5" s="1"/>
  <c r="O42" i="5" s="1"/>
  <c r="Y37" i="6" s="1"/>
  <c r="K37" i="6" s="1"/>
  <c r="CU13" i="4"/>
  <c r="CU14" i="4" s="1"/>
  <c r="CU15" i="4" s="1"/>
  <c r="CU16" i="4" s="1"/>
  <c r="C44" i="3" s="1"/>
  <c r="N22" i="6"/>
  <c r="I22" i="6"/>
  <c r="N28" i="6"/>
  <c r="I28" i="6"/>
  <c r="N30" i="6"/>
  <c r="I30" i="6"/>
  <c r="T5" i="4"/>
  <c r="AB69" i="4"/>
  <c r="AC69" i="4" s="1"/>
  <c r="C66" i="2" s="1"/>
  <c r="Q66" i="2" s="1"/>
  <c r="D29" i="6" s="1"/>
  <c r="Q5" i="4"/>
  <c r="AB66" i="4"/>
  <c r="AC66" i="4" s="1"/>
  <c r="C63" i="2" s="1"/>
  <c r="Q63" i="2" s="1"/>
  <c r="D26" i="6" s="1"/>
  <c r="N33" i="6"/>
  <c r="I33" i="6"/>
  <c r="N35" i="6"/>
  <c r="I35" i="6"/>
  <c r="AB67" i="4"/>
  <c r="AC67" i="4" s="1"/>
  <c r="C64" i="2" s="1"/>
  <c r="Q64" i="2" s="1"/>
  <c r="D27" i="6" s="1"/>
  <c r="R5" i="4"/>
  <c r="N24" i="6"/>
  <c r="I24" i="6"/>
  <c r="R6" i="6"/>
  <c r="E21" i="5"/>
  <c r="H21" i="5" s="1"/>
  <c r="J21" i="5" s="1"/>
  <c r="N34" i="6"/>
  <c r="I34" i="6"/>
  <c r="L23" i="5"/>
  <c r="K23" i="5"/>
  <c r="L24" i="5"/>
  <c r="K24" i="5"/>
  <c r="P5" i="4"/>
  <c r="AB65" i="4"/>
  <c r="AC65" i="4" s="1"/>
  <c r="C62" i="2" s="1"/>
  <c r="Q62" i="2" s="1"/>
  <c r="D25" i="6" s="1"/>
  <c r="N32" i="6"/>
  <c r="I32" i="6"/>
  <c r="I31" i="6" l="1"/>
  <c r="N31" i="6"/>
  <c r="N26" i="6"/>
  <c r="I26" i="6"/>
  <c r="N25" i="6"/>
  <c r="I25" i="6"/>
  <c r="N23" i="6"/>
  <c r="I23" i="6"/>
  <c r="N27" i="6"/>
  <c r="I27" i="6"/>
  <c r="N29" i="6"/>
  <c r="I29" i="6"/>
  <c r="L21" i="5"/>
  <c r="K21" i="5"/>
</calcChain>
</file>

<file path=xl/sharedStrings.xml><?xml version="1.0" encoding="utf-8"?>
<sst xmlns="http://schemas.openxmlformats.org/spreadsheetml/2006/main" count="1258" uniqueCount="446">
  <si>
    <t>id Calibration</t>
  </si>
  <si>
    <t>Nama Alat</t>
  </si>
  <si>
    <t>Inside Micrometer</t>
  </si>
  <si>
    <t>Merek</t>
  </si>
  <si>
    <t>sadsa</t>
  </si>
  <si>
    <t>Kode alat</t>
  </si>
  <si>
    <t>asdas</t>
  </si>
  <si>
    <t>type alat</t>
  </si>
  <si>
    <t>asdasd</t>
  </si>
  <si>
    <t>No seri</t>
  </si>
  <si>
    <t>asda</t>
  </si>
  <si>
    <t>rentang ukur min</t>
  </si>
  <si>
    <t>rentang ukur max</t>
  </si>
  <si>
    <t>kapasitas</t>
  </si>
  <si>
    <t>were</t>
  </si>
  <si>
    <t>SILAHKAN KE SHEET INPUT DATA UNTUK MELAKUKAN EXTRACT DATA</t>
  </si>
  <si>
    <t>resolusi</t>
  </si>
  <si>
    <t>eqrq</t>
  </si>
  <si>
    <t>nama pemilik</t>
  </si>
  <si>
    <t>qasda</t>
  </si>
  <si>
    <t>tanggal alat masuk</t>
  </si>
  <si>
    <t>04-04-2323</t>
  </si>
  <si>
    <t>tanggal kalibrasi</t>
  </si>
  <si>
    <t>22-04-2025</t>
  </si>
  <si>
    <t>jenis pembacaan</t>
  </si>
  <si>
    <t>manual</t>
  </si>
  <si>
    <t>tempat kalibrasi</t>
  </si>
  <si>
    <t>lab</t>
  </si>
  <si>
    <t>lokasi PT</t>
  </si>
  <si>
    <t>asd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</si>
  <si>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</si>
  <si>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</si>
  <si>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</si>
  <si>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</si>
  <si>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</si>
  <si>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</si>
  <si>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</si>
  <si>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</si>
  <si>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</si>
  <si>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</si>
  <si>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</si>
  <si>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</si>
  <si>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Set Grade 0.5 ~ 100 mm 0 D.012, Gauge Block Set Grade 2.5 ~ 25 mm 0 D.013</t>
  </si>
  <si>
    <t>Metode kalibrasi</t>
  </si>
  <si>
    <t>PAS-IK1102-01 (JIS B 7502:2016 (JMA/JSA); SNSU PK.P-01:2020)</t>
  </si>
  <si>
    <t>Dikalibrasi oleh</t>
  </si>
  <si>
    <t>weqwe</t>
  </si>
  <si>
    <t>Diperiksa oleh</t>
  </si>
  <si>
    <t>asdawe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</si>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</sst>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1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rgb="FFDDD9C3"/>
      <name val="Segoe UI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6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9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50" fillId="0" borderId="0" xfId="0" applyFont="1" applyAlignment="1">
      <alignment vertical="center"/>
    </xf>
    <xf numFmtId="0" fontId="0" fillId="0" borderId="0" xfId="0" applyAlignment="1">
      <alignment wrapText="1"/>
    </xf>
    <xf numFmtId="168" fontId="0" fillId="0" borderId="1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64" fontId="0" fillId="0" borderId="1" xfId="0" applyNumberFormat="1" applyBorder="1" applyAlignment="1">
      <alignment horizontal="right" vertical="center" indent="2"/>
    </xf>
    <xf numFmtId="2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1" fillId="0" borderId="4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0" fillId="4" borderId="1" xfId="0" applyNumberForma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1" fillId="0" borderId="0" xfId="0" applyFont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52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0" borderId="24" xfId="0" applyFont="1" applyBorder="1" applyAlignment="1">
      <alignment horizontal="left" vertic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4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topLeftCell="A13"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41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6</v>
      </c>
    </row>
    <row r="5" spans="1:9" x14ac:dyDescent="0.25">
      <c r="A5" s="18" t="s">
        <v>7</v>
      </c>
      <c r="B5" s="18" t="s">
        <v>8</v>
      </c>
    </row>
    <row r="6" spans="1:9" x14ac:dyDescent="0.25">
      <c r="A6" s="18" t="s">
        <v>9</v>
      </c>
      <c r="B6" s="18" t="s">
        <v>10</v>
      </c>
    </row>
    <row r="7" spans="1:9" x14ac:dyDescent="0.25">
      <c r="A7" s="18" t="s">
        <v>11</v>
      </c>
      <c r="B7" s="18">
        <v>44</v>
      </c>
    </row>
    <row r="8" spans="1:9" x14ac:dyDescent="0.25">
      <c r="A8" s="18" t="s">
        <v>12</v>
      </c>
      <c r="B8" s="18">
        <v>432</v>
      </c>
      <c r="E8" s="277"/>
      <c r="F8" s="277"/>
      <c r="G8" s="277"/>
      <c r="H8" s="277"/>
      <c r="I8" s="277"/>
    </row>
    <row r="9" spans="1:9" x14ac:dyDescent="0.25">
      <c r="A9" s="18" t="s">
        <v>13</v>
      </c>
      <c r="B9" s="18" t="s">
        <v>14</v>
      </c>
      <c r="E9" s="283" t="s">
        <v>15</v>
      </c>
      <c r="F9" s="283"/>
      <c r="G9" s="283"/>
      <c r="H9" s="283"/>
      <c r="I9" s="283"/>
    </row>
    <row r="10" spans="1:9" x14ac:dyDescent="0.25">
      <c r="A10" s="18" t="s">
        <v>16</v>
      </c>
      <c r="B10" s="18" t="s">
        <v>17</v>
      </c>
      <c r="E10" s="283"/>
      <c r="F10" s="283"/>
      <c r="G10" s="283"/>
      <c r="H10" s="283"/>
      <c r="I10" s="283"/>
    </row>
    <row r="11" spans="1:9" x14ac:dyDescent="0.25">
      <c r="A11" s="18" t="s">
        <v>18</v>
      </c>
      <c r="B11" s="18" t="s">
        <v>19</v>
      </c>
      <c r="E11" s="283"/>
      <c r="F11" s="283"/>
      <c r="G11" s="283"/>
      <c r="H11" s="283"/>
      <c r="I11" s="283"/>
    </row>
    <row r="12" spans="1:9" x14ac:dyDescent="0.25">
      <c r="A12" s="18" t="s">
        <v>20</v>
      </c>
      <c r="B12" s="18" t="s">
        <v>21</v>
      </c>
      <c r="E12" s="283"/>
      <c r="F12" s="283"/>
      <c r="G12" s="283"/>
      <c r="H12" s="283"/>
      <c r="I12" s="283"/>
    </row>
    <row r="13" spans="1:9" x14ac:dyDescent="0.25">
      <c r="A13" s="18" t="s">
        <v>22</v>
      </c>
      <c r="B13" s="18" t="s">
        <v>23</v>
      </c>
      <c r="E13" s="283"/>
      <c r="F13" s="283"/>
      <c r="G13" s="283"/>
      <c r="H13" s="283"/>
      <c r="I13" s="283"/>
    </row>
    <row r="14" spans="1:9" x14ac:dyDescent="0.25">
      <c r="A14" s="18" t="s">
        <v>24</v>
      </c>
      <c r="B14" s="18" t="s">
        <v>25</v>
      </c>
    </row>
    <row r="15" spans="1:9" x14ac:dyDescent="0.25">
      <c r="A15" s="18" t="s">
        <v>26</v>
      </c>
      <c r="B15" s="18" t="s">
        <v>27</v>
      </c>
    </row>
    <row r="16" spans="1:9" x14ac:dyDescent="0.25">
      <c r="A16" s="18" t="s">
        <v>28</v>
      </c>
      <c r="B16" s="18" t="s">
        <v>29</v>
      </c>
    </row>
    <row r="17" spans="1:6" x14ac:dyDescent="0.25">
      <c r="A17" s="18" t="s">
        <v>30</v>
      </c>
      <c r="B17" s="18" t="s">
        <v>31</v>
      </c>
    </row>
    <row r="18" spans="1:6" x14ac:dyDescent="0.25">
      <c r="A18" s="274" t="s">
        <v>32</v>
      </c>
      <c r="B18" s="274" t="s">
        <v>10</v>
      </c>
    </row>
    <row r="19" spans="1:6" x14ac:dyDescent="0.25">
      <c r="A19" s="275"/>
      <c r="B19" s="275"/>
    </row>
    <row r="20" spans="1:6" x14ac:dyDescent="0.25">
      <c r="A20" s="280" t="s">
        <v>33</v>
      </c>
      <c r="B20" s="281"/>
      <c r="C20" s="281"/>
      <c r="D20" s="282"/>
    </row>
    <row r="21" spans="1:6" x14ac:dyDescent="0.25">
      <c r="A21" s="18"/>
      <c r="B21" s="16" t="s">
        <v>34</v>
      </c>
      <c r="C21" s="18" t="s">
        <v>35</v>
      </c>
      <c r="D21" s="18" t="s">
        <v>36</v>
      </c>
    </row>
    <row r="22" spans="1:6" x14ac:dyDescent="0.25">
      <c r="A22" s="18" t="s">
        <v>37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38</v>
      </c>
      <c r="B23" s="18">
        <v>4</v>
      </c>
      <c r="C23" s="18">
        <v>4</v>
      </c>
      <c r="D23" s="18">
        <v>4</v>
      </c>
    </row>
    <row r="25" spans="1:6" x14ac:dyDescent="0.25">
      <c r="A25" s="280" t="s">
        <v>39</v>
      </c>
      <c r="B25" s="281"/>
      <c r="C25" s="281"/>
      <c r="D25" s="281"/>
      <c r="E25" s="281"/>
      <c r="F25" s="282"/>
    </row>
    <row r="26" spans="1:6" x14ac:dyDescent="0.25">
      <c r="A26" s="16" t="s">
        <v>40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500</v>
      </c>
      <c r="B27" s="18">
        <v>76</v>
      </c>
      <c r="C27" s="18">
        <v>7</v>
      </c>
      <c r="D27" s="18">
        <v>77</v>
      </c>
      <c r="E27" s="18">
        <v>7</v>
      </c>
      <c r="F27" s="18">
        <v>7</v>
      </c>
    </row>
    <row r="28" spans="1:6" x14ac:dyDescent="0.25">
      <c r="A28" s="18">
        <v>502.5</v>
      </c>
      <c r="B28" s="18">
        <v>7</v>
      </c>
      <c r="C28" s="18">
        <v>7</v>
      </c>
      <c r="D28" s="18">
        <v>7</v>
      </c>
      <c r="E28" s="18">
        <v>7</v>
      </c>
      <c r="F28" s="18">
        <v>7</v>
      </c>
    </row>
    <row r="29" spans="1:6" x14ac:dyDescent="0.25">
      <c r="A29" s="18">
        <v>505.1</v>
      </c>
      <c r="B29" s="18">
        <v>7</v>
      </c>
      <c r="C29" s="18">
        <v>7</v>
      </c>
      <c r="D29" s="18">
        <v>77</v>
      </c>
      <c r="E29" s="18">
        <v>7</v>
      </c>
      <c r="F29" s="18">
        <v>7</v>
      </c>
    </row>
    <row r="30" spans="1:6" x14ac:dyDescent="0.25">
      <c r="A30" s="18">
        <v>507.7</v>
      </c>
      <c r="B30" s="18">
        <v>7</v>
      </c>
      <c r="C30" s="18">
        <v>7</v>
      </c>
      <c r="D30" s="18">
        <v>7</v>
      </c>
      <c r="E30" s="18">
        <v>7</v>
      </c>
      <c r="F30" s="18">
        <v>7</v>
      </c>
    </row>
    <row r="31" spans="1:6" x14ac:dyDescent="0.25">
      <c r="A31" s="18">
        <v>510.3</v>
      </c>
      <c r="B31" s="18">
        <v>8</v>
      </c>
      <c r="C31" s="18">
        <v>8</v>
      </c>
      <c r="D31" s="18">
        <v>8</v>
      </c>
      <c r="E31" s="18">
        <v>88</v>
      </c>
      <c r="F31" s="18">
        <v>8</v>
      </c>
    </row>
    <row r="32" spans="1:6" x14ac:dyDescent="0.25">
      <c r="A32" s="18">
        <v>512.9</v>
      </c>
      <c r="B32" s="18">
        <v>8</v>
      </c>
      <c r="C32" s="18">
        <v>8</v>
      </c>
      <c r="D32" s="18">
        <v>8</v>
      </c>
      <c r="E32" s="18">
        <v>8</v>
      </c>
      <c r="F32" s="18">
        <v>8</v>
      </c>
    </row>
    <row r="33" spans="1:6" x14ac:dyDescent="0.25">
      <c r="A33" s="18">
        <v>515</v>
      </c>
      <c r="B33" s="18">
        <v>8</v>
      </c>
      <c r="C33" s="18">
        <v>8</v>
      </c>
      <c r="D33" s="18">
        <v>88</v>
      </c>
      <c r="E33" s="18">
        <v>8</v>
      </c>
      <c r="F33" s="18">
        <v>8</v>
      </c>
    </row>
    <row r="34" spans="1:6" x14ac:dyDescent="0.25">
      <c r="A34" s="18">
        <v>517.6</v>
      </c>
      <c r="B34" s="18">
        <v>8</v>
      </c>
      <c r="C34" s="18">
        <v>8</v>
      </c>
      <c r="D34" s="18">
        <v>8</v>
      </c>
      <c r="E34" s="18">
        <v>88</v>
      </c>
      <c r="F34" s="18">
        <v>3</v>
      </c>
    </row>
    <row r="35" spans="1:6" x14ac:dyDescent="0.25">
      <c r="A35" s="18">
        <v>520.20000000000005</v>
      </c>
      <c r="B35" s="18">
        <v>8</v>
      </c>
      <c r="C35" s="18">
        <v>8</v>
      </c>
      <c r="D35" s="18">
        <v>8</v>
      </c>
      <c r="E35" s="18">
        <v>8</v>
      </c>
      <c r="F35" s="18">
        <v>8</v>
      </c>
    </row>
    <row r="36" spans="1:6" x14ac:dyDescent="0.25">
      <c r="A36" s="18">
        <v>522.79999999999995</v>
      </c>
      <c r="B36" s="18">
        <v>8</v>
      </c>
      <c r="C36" s="18">
        <v>8</v>
      </c>
      <c r="D36" s="18">
        <v>8</v>
      </c>
      <c r="E36" s="18">
        <v>8</v>
      </c>
      <c r="F36" s="18">
        <v>8</v>
      </c>
    </row>
    <row r="37" spans="1:6" x14ac:dyDescent="0.25">
      <c r="A37" s="18">
        <v>525</v>
      </c>
      <c r="B37" s="18">
        <v>22</v>
      </c>
      <c r="C37" s="18">
        <v>2</v>
      </c>
      <c r="D37" s="18">
        <v>2</v>
      </c>
      <c r="E37" s="18">
        <v>3</v>
      </c>
      <c r="F37" s="18">
        <v>2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41</v>
      </c>
      <c r="B43" s="18" t="s">
        <v>42</v>
      </c>
    </row>
    <row r="44" spans="1:6" x14ac:dyDescent="0.25">
      <c r="A44" s="18" t="s">
        <v>43</v>
      </c>
      <c r="B44" s="18" t="s">
        <v>44</v>
      </c>
    </row>
    <row r="45" spans="1:6" x14ac:dyDescent="0.25">
      <c r="A45" s="18" t="s">
        <v>45</v>
      </c>
      <c r="B45" s="18" t="s">
        <v>46</v>
      </c>
    </row>
    <row r="46" spans="1:6" x14ac:dyDescent="0.25">
      <c r="A46" s="18" t="s">
        <v>47</v>
      </c>
      <c r="B46" s="18" t="s">
        <v>48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E58" sqref="E58:F5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338" t="s">
        <v>49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40"/>
    </row>
    <row r="2" spans="1:15" ht="15" customHeight="1" x14ac:dyDescent="0.25">
      <c r="A2" s="307"/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</row>
    <row r="3" spans="1:15" ht="15" customHeight="1" x14ac:dyDescent="0.25">
      <c r="A3" s="29" t="s">
        <v>50</v>
      </c>
      <c r="B3" s="39"/>
      <c r="C3" s="39"/>
      <c r="D3" s="38" t="s">
        <v>51</v>
      </c>
      <c r="E3" s="312" t="str">
        <f>'TABEL DATA'!Q6</f>
        <v>PAS-IK-1102-02</v>
      </c>
      <c r="F3" s="312"/>
      <c r="G3" s="312"/>
      <c r="H3" s="313"/>
    </row>
    <row r="4" spans="1:15" ht="15" customHeight="1" x14ac:dyDescent="0.25">
      <c r="A4" s="29" t="s">
        <v>52</v>
      </c>
      <c r="B4" s="39"/>
      <c r="C4" s="39"/>
      <c r="D4" s="38" t="s">
        <v>51</v>
      </c>
      <c r="E4" s="312" t="str">
        <f>'TABEL DATA'!R6</f>
        <v>JIS B 7502:2016 (JMA/JSA); SNSU PK.P-01:2020.</v>
      </c>
      <c r="F4" s="312"/>
      <c r="G4" s="312"/>
      <c r="H4" s="313"/>
    </row>
    <row r="6" spans="1:15" ht="15" customHeight="1" x14ac:dyDescent="0.25">
      <c r="A6" s="29" t="s">
        <v>53</v>
      </c>
      <c r="B6" s="25"/>
      <c r="C6" s="25"/>
      <c r="D6" s="37" t="s">
        <v>51</v>
      </c>
      <c r="E6" s="28">
        <f ca="1">TODAY()</f>
        <v>46013</v>
      </c>
      <c r="F6" s="310">
        <f ca="1">TODAY()</f>
        <v>46013</v>
      </c>
      <c r="G6" s="310"/>
      <c r="H6" s="239">
        <f ca="1">YEAR(TODAY())</f>
        <v>2025</v>
      </c>
    </row>
    <row r="8" spans="1:15" ht="15" customHeight="1" x14ac:dyDescent="0.25">
      <c r="A8" s="314" t="s">
        <v>54</v>
      </c>
      <c r="B8" s="315"/>
      <c r="C8" s="315"/>
      <c r="D8" s="315"/>
      <c r="E8" s="315"/>
      <c r="F8" s="315"/>
      <c r="G8" s="315"/>
      <c r="H8" s="315"/>
      <c r="I8" s="315"/>
      <c r="J8" s="315"/>
      <c r="K8" s="315"/>
      <c r="L8" s="316"/>
    </row>
    <row r="9" spans="1:15" ht="15" customHeight="1" x14ac:dyDescent="0.25">
      <c r="C9" s="1"/>
      <c r="D9" s="3"/>
    </row>
    <row r="10" spans="1:15" ht="15" customHeight="1" x14ac:dyDescent="0.25">
      <c r="A10" s="24" t="s">
        <v>55</v>
      </c>
      <c r="B10" s="25"/>
      <c r="C10" s="26"/>
      <c r="D10" s="37" t="s">
        <v>51</v>
      </c>
      <c r="E10" s="100"/>
      <c r="F10" s="311" t="s">
        <v>56</v>
      </c>
      <c r="G10" s="311"/>
      <c r="H10" s="27">
        <v>2025</v>
      </c>
      <c r="J10" s="307"/>
      <c r="K10" s="307"/>
      <c r="L10" s="307"/>
    </row>
    <row r="11" spans="1:15" ht="15" customHeight="1" x14ac:dyDescent="0.25">
      <c r="A11" s="24" t="s">
        <v>57</v>
      </c>
      <c r="B11" s="25"/>
      <c r="C11" s="26"/>
      <c r="D11" s="37" t="s">
        <v>51</v>
      </c>
      <c r="E11" s="102" t="s">
        <v>58</v>
      </c>
      <c r="F11" s="103" t="s">
        <v>59</v>
      </c>
      <c r="G11" s="103" t="str">
        <f>RIGHT(H10,2)</f>
        <v>25</v>
      </c>
      <c r="H11" s="299" t="s">
        <v>60</v>
      </c>
      <c r="I11" s="300"/>
      <c r="J11" s="307"/>
      <c r="K11" s="307"/>
      <c r="L11" s="307"/>
    </row>
    <row r="12" spans="1:15" ht="15" customHeight="1" x14ac:dyDescent="0.25">
      <c r="D12" s="3"/>
    </row>
    <row r="13" spans="1:15" ht="15" customHeight="1" x14ac:dyDescent="0.25">
      <c r="A13" s="31" t="s">
        <v>61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62</v>
      </c>
      <c r="B14" s="25"/>
      <c r="C14" s="26"/>
      <c r="D14" s="37" t="s">
        <v>51</v>
      </c>
      <c r="E14" s="293" t="s">
        <v>2</v>
      </c>
      <c r="F14" s="294"/>
      <c r="G14" s="294"/>
      <c r="H14" s="294"/>
      <c r="I14" s="294"/>
      <c r="J14" s="294"/>
      <c r="K14" s="294"/>
      <c r="L14" s="295"/>
    </row>
    <row r="15" spans="1:15" ht="15" customHeight="1" x14ac:dyDescent="0.25">
      <c r="E15" s="301" t="s">
        <v>63</v>
      </c>
      <c r="F15" s="302"/>
      <c r="G15" s="302"/>
      <c r="H15" s="302"/>
      <c r="I15" s="302"/>
      <c r="J15" s="302"/>
      <c r="K15" s="302"/>
      <c r="L15" s="303"/>
    </row>
    <row r="16" spans="1:15" ht="15" customHeight="1" x14ac:dyDescent="0.25">
      <c r="D16" s="3"/>
      <c r="E16" s="293"/>
      <c r="F16" s="294"/>
      <c r="G16" s="294"/>
      <c r="H16" s="294"/>
      <c r="I16" s="294"/>
      <c r="J16" s="294"/>
      <c r="K16" s="294"/>
      <c r="L16" s="295"/>
    </row>
    <row r="17" spans="1:23" ht="15" customHeight="1" x14ac:dyDescent="0.25">
      <c r="D17" s="3"/>
      <c r="W17" s="276"/>
    </row>
    <row r="18" spans="1:23" ht="15" customHeight="1" x14ac:dyDescent="0.25">
      <c r="A18" s="24" t="s">
        <v>64</v>
      </c>
      <c r="B18" s="25"/>
      <c r="C18" s="26"/>
      <c r="D18" s="37" t="s">
        <v>51</v>
      </c>
      <c r="E18" s="293" t="s">
        <v>4</v>
      </c>
      <c r="F18" s="294"/>
      <c r="G18" s="294"/>
      <c r="H18" s="295"/>
    </row>
    <row r="19" spans="1:23" ht="15" customHeight="1" x14ac:dyDescent="0.25">
      <c r="A19" s="24" t="s">
        <v>65</v>
      </c>
      <c r="B19" s="25"/>
      <c r="C19" s="26"/>
      <c r="D19" s="37" t="s">
        <v>51</v>
      </c>
      <c r="E19" s="296" t="s">
        <v>6</v>
      </c>
      <c r="F19" s="297"/>
      <c r="G19" s="297"/>
      <c r="H19" s="298"/>
    </row>
    <row r="20" spans="1:23" ht="15" customHeight="1" x14ac:dyDescent="0.25">
      <c r="A20" s="24" t="s">
        <v>66</v>
      </c>
      <c r="B20" s="25"/>
      <c r="C20" s="26"/>
      <c r="D20" s="38" t="s">
        <v>51</v>
      </c>
      <c r="E20" s="296" t="s">
        <v>10</v>
      </c>
      <c r="F20" s="297"/>
      <c r="G20" s="297"/>
      <c r="H20" s="298"/>
    </row>
    <row r="21" spans="1:23" ht="15" customHeight="1" x14ac:dyDescent="0.25">
      <c r="A21" s="24" t="s">
        <v>67</v>
      </c>
      <c r="B21" s="25"/>
      <c r="C21" s="26"/>
      <c r="D21" s="37" t="s">
        <v>51</v>
      </c>
      <c r="E21" s="296" t="s">
        <v>8</v>
      </c>
      <c r="F21" s="306"/>
      <c r="G21" s="306"/>
      <c r="H21" s="306"/>
      <c r="I21" s="304"/>
      <c r="J21" s="305"/>
      <c r="K21" s="305"/>
      <c r="L21" s="305"/>
    </row>
    <row r="22" spans="1:23" ht="15" customHeight="1" x14ac:dyDescent="0.25">
      <c r="A22" s="24" t="s">
        <v>68</v>
      </c>
      <c r="B22" s="25"/>
      <c r="C22" s="26"/>
      <c r="D22" s="37" t="s">
        <v>51</v>
      </c>
      <c r="E22" s="309"/>
      <c r="F22" s="309"/>
      <c r="G22" s="309"/>
      <c r="H22" s="309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69</v>
      </c>
      <c r="B24" s="25"/>
      <c r="C24" s="26"/>
      <c r="D24" s="37" t="s">
        <v>51</v>
      </c>
      <c r="E24" s="341"/>
      <c r="F24" s="341"/>
    </row>
    <row r="25" spans="1:23" ht="15" customHeight="1" x14ac:dyDescent="0.25">
      <c r="A25" s="24" t="s">
        <v>70</v>
      </c>
      <c r="B25" s="25"/>
      <c r="C25" s="26"/>
      <c r="D25" s="37" t="s">
        <v>51</v>
      </c>
      <c r="E25" s="308">
        <v>44</v>
      </c>
      <c r="F25" s="308"/>
      <c r="G25" s="179" t="str">
        <f>'TABEL DATA'!$K$5</f>
        <v>mm</v>
      </c>
      <c r="H25" s="21" t="s">
        <v>71</v>
      </c>
      <c r="I25" s="308">
        <v>432</v>
      </c>
      <c r="J25" s="308"/>
      <c r="K25" s="179" t="str">
        <f>'TABEL DATA'!$K$5</f>
        <v>mm</v>
      </c>
    </row>
    <row r="26" spans="1:23" ht="15" customHeight="1" x14ac:dyDescent="0.25">
      <c r="A26" s="24" t="s">
        <v>72</v>
      </c>
      <c r="B26" s="25"/>
      <c r="C26" s="26"/>
      <c r="D26" s="38" t="s">
        <v>51</v>
      </c>
      <c r="E26" s="292" t="s">
        <v>14</v>
      </c>
      <c r="F26" s="292"/>
      <c r="G26" s="179" t="str">
        <f>'TABEL DATA'!$K$5</f>
        <v>mm</v>
      </c>
      <c r="H26" s="3"/>
      <c r="I26" s="3"/>
      <c r="J26" s="3"/>
      <c r="Q26" s="3" t="s">
        <v>73</v>
      </c>
      <c r="R26" s="3" t="s">
        <v>74</v>
      </c>
      <c r="S26" s="3" t="s">
        <v>75</v>
      </c>
    </row>
    <row r="27" spans="1:23" ht="15" customHeight="1" x14ac:dyDescent="0.25">
      <c r="A27" s="24" t="s">
        <v>76</v>
      </c>
      <c r="B27" s="25"/>
      <c r="C27" s="26"/>
      <c r="D27" s="38" t="s">
        <v>51</v>
      </c>
      <c r="E27" s="317" t="s">
        <v>17</v>
      </c>
      <c r="F27" s="318"/>
      <c r="G27" s="179" t="str">
        <f>'TABEL DATA'!$K$5</f>
        <v>mm</v>
      </c>
      <c r="H27" s="237"/>
      <c r="I27" s="237" t="s">
        <v>77</v>
      </c>
      <c r="J27" s="237"/>
      <c r="K27" s="238"/>
      <c r="L27" s="238"/>
      <c r="Q27" s="209" t="str">
        <f>E27</f>
        <v>eqrq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78</v>
      </c>
    </row>
    <row r="30" spans="1:23" ht="15" customHeight="1" x14ac:dyDescent="0.25">
      <c r="A30" s="24" t="s">
        <v>79</v>
      </c>
      <c r="B30" s="25"/>
      <c r="C30" s="26"/>
      <c r="D30" s="37" t="s">
        <v>51</v>
      </c>
      <c r="E30" s="327" t="s">
        <v>19</v>
      </c>
      <c r="F30" s="327"/>
      <c r="G30" s="327"/>
      <c r="H30" s="327"/>
      <c r="I30" s="327"/>
      <c r="J30" s="327"/>
      <c r="K30" s="327"/>
      <c r="L30" s="327"/>
    </row>
    <row r="31" spans="1:23" ht="15" customHeight="1" x14ac:dyDescent="0.25">
      <c r="A31" s="24" t="s">
        <v>80</v>
      </c>
      <c r="B31" s="25"/>
      <c r="C31" s="26"/>
      <c r="D31" s="37" t="s">
        <v>51</v>
      </c>
      <c r="E31" s="324"/>
      <c r="F31" s="325"/>
      <c r="G31" s="325"/>
      <c r="H31" s="325"/>
      <c r="I31" s="325"/>
      <c r="J31" s="325"/>
      <c r="K31" s="325"/>
      <c r="L31" s="326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81</v>
      </c>
      <c r="B33" s="25"/>
      <c r="C33" s="26"/>
      <c r="D33" s="37" t="s">
        <v>51</v>
      </c>
      <c r="E33" s="296" t="s">
        <v>29</v>
      </c>
      <c r="F33" s="297"/>
      <c r="G33" s="297"/>
      <c r="H33" s="297"/>
      <c r="I33" s="297"/>
      <c r="J33" s="297"/>
      <c r="K33" s="297"/>
      <c r="L33" s="298"/>
    </row>
    <row r="34" spans="1:19" ht="15" customHeight="1" x14ac:dyDescent="0.25">
      <c r="E34" s="296"/>
      <c r="F34" s="297"/>
      <c r="G34" s="297"/>
      <c r="H34" s="297"/>
      <c r="I34" s="297"/>
      <c r="J34" s="297"/>
      <c r="K34" s="297"/>
      <c r="L34" s="298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82</v>
      </c>
    </row>
    <row r="37" spans="1:19" ht="15" customHeight="1" x14ac:dyDescent="0.25">
      <c r="A37" s="24" t="s">
        <v>83</v>
      </c>
      <c r="B37" s="25"/>
      <c r="C37" s="26"/>
      <c r="D37" s="37" t="s">
        <v>51</v>
      </c>
      <c r="E37" s="101">
        <v>4</v>
      </c>
      <c r="F37" s="311">
        <v>4</v>
      </c>
      <c r="G37" s="311"/>
      <c r="H37" s="30">
        <v>2323</v>
      </c>
    </row>
    <row r="38" spans="1:19" ht="15" customHeight="1" x14ac:dyDescent="0.25">
      <c r="A38" s="24" t="s">
        <v>84</v>
      </c>
      <c r="B38" s="25"/>
      <c r="C38" s="26"/>
      <c r="D38" s="37" t="s">
        <v>51</v>
      </c>
      <c r="E38" s="101">
        <v>22</v>
      </c>
      <c r="F38" s="311">
        <v>4</v>
      </c>
      <c r="G38" s="311"/>
      <c r="H38" s="30">
        <v>2025</v>
      </c>
    </row>
    <row r="39" spans="1:19" ht="15" customHeight="1" x14ac:dyDescent="0.25">
      <c r="A39" s="24" t="s">
        <v>85</v>
      </c>
      <c r="B39" s="25"/>
      <c r="C39" s="26"/>
      <c r="D39" s="37" t="s">
        <v>51</v>
      </c>
      <c r="E39" s="293" t="s">
        <v>27</v>
      </c>
      <c r="F39" s="294"/>
      <c r="G39" s="294"/>
      <c r="H39" s="294"/>
      <c r="I39" s="294"/>
      <c r="J39" s="294"/>
      <c r="K39" s="294"/>
      <c r="L39" s="295"/>
    </row>
    <row r="41" spans="1:19" ht="15" customHeight="1" x14ac:dyDescent="0.25">
      <c r="A41" s="24" t="s">
        <v>86</v>
      </c>
      <c r="B41" s="25"/>
      <c r="C41" s="26"/>
      <c r="D41" s="37" t="s">
        <v>51</v>
      </c>
      <c r="E41" s="319" t="s">
        <v>87</v>
      </c>
      <c r="F41" s="319"/>
      <c r="G41" s="319"/>
    </row>
    <row r="42" spans="1:19" ht="15" customHeight="1" x14ac:dyDescent="0.25">
      <c r="A42" s="24" t="s">
        <v>88</v>
      </c>
      <c r="B42" s="25"/>
      <c r="C42" s="26"/>
      <c r="D42" s="37" t="s">
        <v>51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89</v>
      </c>
      <c r="J42" s="33">
        <f>'KONTROL SUHU'!C321</f>
        <v>0.55000000000000004</v>
      </c>
      <c r="K42" s="35" t="s">
        <v>90</v>
      </c>
    </row>
    <row r="43" spans="1:19" ht="15" customHeight="1" x14ac:dyDescent="0.25">
      <c r="A43" s="24" t="s">
        <v>91</v>
      </c>
      <c r="B43" s="25"/>
      <c r="C43" s="26"/>
      <c r="D43" s="37" t="s">
        <v>51</v>
      </c>
      <c r="E43" s="32">
        <v>4</v>
      </c>
      <c r="F43" s="32">
        <v>4</v>
      </c>
      <c r="G43" s="32">
        <v>4</v>
      </c>
      <c r="H43" s="33" t="e">
        <f ca="1">'KONTROL SUHU'!G314</f>
        <v>#N/A</v>
      </c>
      <c r="I43" s="34" t="s">
        <v>89</v>
      </c>
      <c r="J43" s="33">
        <f>'KONTROL SUHU'!D321</f>
        <v>2.8</v>
      </c>
      <c r="K43" s="35" t="s">
        <v>92</v>
      </c>
    </row>
    <row r="45" spans="1:19" ht="15" customHeight="1" x14ac:dyDescent="0.25">
      <c r="A45" s="24" t="s">
        <v>93</v>
      </c>
      <c r="B45" s="25"/>
      <c r="C45" s="26"/>
      <c r="D45" s="37" t="s">
        <v>51</v>
      </c>
      <c r="E45" s="319"/>
      <c r="F45" s="319"/>
      <c r="G45" s="319"/>
    </row>
    <row r="48" spans="1:19" s="3" customFormat="1" ht="15" customHeight="1" x14ac:dyDescent="0.25">
      <c r="A48" s="331" t="s">
        <v>94</v>
      </c>
      <c r="B48" s="331"/>
      <c r="C48" s="331"/>
      <c r="D48" s="331"/>
      <c r="E48" s="331"/>
      <c r="F48" s="331"/>
      <c r="G48" s="331"/>
      <c r="H48" s="331"/>
      <c r="I48" s="331"/>
      <c r="J48" s="331"/>
      <c r="Q48" s="346" t="s">
        <v>95</v>
      </c>
      <c r="R48" s="346"/>
      <c r="S48" s="346"/>
    </row>
    <row r="49" spans="1:23" s="3" customFormat="1" ht="15" customHeight="1" x14ac:dyDescent="0.25">
      <c r="A49" s="330" t="s">
        <v>96</v>
      </c>
      <c r="B49" s="330"/>
      <c r="C49" s="330"/>
      <c r="D49" s="330"/>
      <c r="E49" s="330"/>
      <c r="F49" s="330" t="s">
        <v>97</v>
      </c>
      <c r="G49" s="330"/>
      <c r="H49" s="330"/>
      <c r="I49" s="330"/>
      <c r="J49" s="330"/>
      <c r="Q49" s="342" t="s">
        <v>98</v>
      </c>
      <c r="R49" s="344" t="s">
        <v>99</v>
      </c>
      <c r="S49" s="342" t="s">
        <v>97</v>
      </c>
    </row>
    <row r="50" spans="1:23" s="40" customFormat="1" ht="34.950000000000003" customHeight="1" x14ac:dyDescent="0.25">
      <c r="A50" s="328" t="s">
        <v>100</v>
      </c>
      <c r="B50" s="329"/>
      <c r="C50" s="322" t="s">
        <v>101</v>
      </c>
      <c r="D50" s="328" t="s">
        <v>102</v>
      </c>
      <c r="E50" s="329"/>
      <c r="F50" s="328" t="s">
        <v>100</v>
      </c>
      <c r="G50" s="329"/>
      <c r="H50" s="322" t="s">
        <v>101</v>
      </c>
      <c r="I50" s="328" t="s">
        <v>102</v>
      </c>
      <c r="J50" s="329"/>
      <c r="K50" s="4"/>
      <c r="Q50" s="343"/>
      <c r="R50" s="345"/>
      <c r="S50" s="343"/>
    </row>
    <row r="51" spans="1:23" s="3" customFormat="1" ht="15" customHeight="1" x14ac:dyDescent="0.25">
      <c r="A51" s="320" t="s">
        <v>103</v>
      </c>
      <c r="B51" s="321"/>
      <c r="C51" s="323"/>
      <c r="D51" s="320" t="s">
        <v>103</v>
      </c>
      <c r="E51" s="321"/>
      <c r="F51" s="320" t="s">
        <v>103</v>
      </c>
      <c r="G51" s="321"/>
      <c r="H51" s="323"/>
      <c r="I51" s="320" t="s">
        <v>103</v>
      </c>
      <c r="J51" s="321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32"/>
      <c r="B52" s="332"/>
      <c r="C52" s="44"/>
      <c r="D52" s="337">
        <f>C52*0.32</f>
        <v>0</v>
      </c>
      <c r="E52" s="337"/>
      <c r="F52" s="332"/>
      <c r="G52" s="332"/>
      <c r="H52" s="44"/>
      <c r="I52" s="337">
        <f>H52*0.32</f>
        <v>0</v>
      </c>
      <c r="J52" s="337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07"/>
      <c r="B53" s="307"/>
      <c r="D53" s="336"/>
      <c r="E53" s="336"/>
      <c r="F53" s="336"/>
      <c r="G53" s="336"/>
      <c r="H53" s="3"/>
      <c r="I53" s="336"/>
      <c r="J53" s="336"/>
    </row>
    <row r="54" spans="1:23" s="36" customFormat="1" ht="15" customHeight="1" x14ac:dyDescent="0.25">
      <c r="A54" s="349" t="s">
        <v>104</v>
      </c>
      <c r="B54" s="349"/>
      <c r="C54" s="349"/>
      <c r="D54" s="349"/>
      <c r="E54" s="349"/>
      <c r="F54" s="349"/>
      <c r="G54" s="349"/>
      <c r="H54" s="349"/>
      <c r="I54" s="349"/>
      <c r="J54" s="349"/>
      <c r="K54" s="349"/>
      <c r="L54" s="349"/>
      <c r="M54" s="349"/>
      <c r="N54" s="349"/>
      <c r="O54" s="349"/>
      <c r="P54" s="41"/>
      <c r="Q54" s="346" t="s">
        <v>105</v>
      </c>
      <c r="R54" s="346"/>
      <c r="S54" s="346"/>
      <c r="V54" s="41"/>
      <c r="W54" s="41"/>
    </row>
    <row r="55" spans="1:23" s="36" customFormat="1" ht="15" customHeight="1" x14ac:dyDescent="0.25">
      <c r="A55" s="350" t="s">
        <v>106</v>
      </c>
      <c r="B55" s="351"/>
      <c r="C55" s="351"/>
      <c r="D55" s="352"/>
      <c r="E55" s="350" t="s">
        <v>107</v>
      </c>
      <c r="F55" s="351"/>
      <c r="G55" s="351"/>
      <c r="H55" s="351"/>
      <c r="I55" s="351"/>
      <c r="J55" s="351"/>
      <c r="K55" s="351"/>
      <c r="L55" s="351"/>
      <c r="M55" s="351"/>
      <c r="N55" s="352"/>
      <c r="O55" s="356" t="s">
        <v>108</v>
      </c>
      <c r="P55" s="41"/>
      <c r="Q55" s="342" t="s">
        <v>109</v>
      </c>
      <c r="R55" s="344" t="s">
        <v>110</v>
      </c>
      <c r="S55" s="342" t="s">
        <v>111</v>
      </c>
      <c r="V55" s="41"/>
      <c r="W55" s="41"/>
    </row>
    <row r="56" spans="1:23" s="36" customFormat="1" ht="15" customHeight="1" x14ac:dyDescent="0.25">
      <c r="A56" s="333" t="s">
        <v>98</v>
      </c>
      <c r="B56" s="334"/>
      <c r="C56" s="347" t="s">
        <v>112</v>
      </c>
      <c r="D56" s="348"/>
      <c r="E56" s="353" t="str">
        <f>'TABEL DATA'!$K$5</f>
        <v>mm</v>
      </c>
      <c r="F56" s="354"/>
      <c r="G56" s="354"/>
      <c r="H56" s="354"/>
      <c r="I56" s="354"/>
      <c r="J56" s="354"/>
      <c r="K56" s="354"/>
      <c r="L56" s="354"/>
      <c r="M56" s="354"/>
      <c r="N56" s="355"/>
      <c r="O56" s="356"/>
      <c r="P56" s="41"/>
      <c r="Q56" s="343"/>
      <c r="R56" s="345"/>
      <c r="S56" s="343"/>
    </row>
    <row r="57" spans="1:23" s="36" customFormat="1" ht="15" customHeight="1" x14ac:dyDescent="0.25">
      <c r="A57" s="320" t="s">
        <v>103</v>
      </c>
      <c r="B57" s="321"/>
      <c r="C57" s="2" t="s">
        <v>103</v>
      </c>
      <c r="D57" s="2" t="s">
        <v>113</v>
      </c>
      <c r="E57" s="292">
        <v>1</v>
      </c>
      <c r="F57" s="292"/>
      <c r="G57" s="292">
        <v>2</v>
      </c>
      <c r="H57" s="292"/>
      <c r="I57" s="292">
        <v>3</v>
      </c>
      <c r="J57" s="292"/>
      <c r="K57" s="292">
        <v>4</v>
      </c>
      <c r="L57" s="292"/>
      <c r="M57" s="292">
        <v>5</v>
      </c>
      <c r="N57" s="292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35">
        <v>500</v>
      </c>
      <c r="B58" s="290"/>
      <c r="C58" s="278">
        <f>'Pilih Standar'!AC61</f>
        <v>0</v>
      </c>
      <c r="D58" s="278">
        <f t="shared" ref="D58:D72" si="0">IF(A58="","",C58/25.4)</f>
        <v>0</v>
      </c>
      <c r="E58" s="286">
        <v>76</v>
      </c>
      <c r="F58" s="287"/>
      <c r="G58" s="286">
        <v>7</v>
      </c>
      <c r="H58" s="287"/>
      <c r="I58" s="286">
        <v>77</v>
      </c>
      <c r="J58" s="287"/>
      <c r="K58" s="286">
        <v>7</v>
      </c>
      <c r="L58" s="287"/>
      <c r="M58" s="286">
        <v>7</v>
      </c>
      <c r="N58" s="288"/>
      <c r="O58" s="225">
        <f t="shared" ref="O58:O72" si="1">IF(E58="","",STDEV(E58:N58))</f>
        <v>38.068359565392363</v>
      </c>
      <c r="P58" s="42"/>
      <c r="Q58" s="225">
        <f>INDEX(C58:D58,'TABEL DATA'!$K$4)</f>
        <v>0</v>
      </c>
      <c r="R58" s="226">
        <f>IF(E58="","",ROUND(AVERAGE(E58:N58),'TABEL DATA'!$N$5))</f>
        <v>34.799999999999997</v>
      </c>
      <c r="S58" s="226">
        <f t="shared" ref="S58:S72" si="2">IF(E58="","",Q58-R58)</f>
        <v>-34.799999999999997</v>
      </c>
    </row>
    <row r="59" spans="1:23" ht="15" customHeight="1" x14ac:dyDescent="0.25">
      <c r="A59" s="289">
        <v>502.5</v>
      </c>
      <c r="B59" s="290"/>
      <c r="C59" s="278">
        <f>'Pilih Standar'!AC62</f>
        <v>2.5000499999999999</v>
      </c>
      <c r="D59" s="279">
        <f t="shared" si="0"/>
        <v>9.8427165354330715E-2</v>
      </c>
      <c r="E59" s="286">
        <v>7</v>
      </c>
      <c r="F59" s="287"/>
      <c r="G59" s="286">
        <v>7</v>
      </c>
      <c r="H59" s="287"/>
      <c r="I59" s="286">
        <v>7</v>
      </c>
      <c r="J59" s="287"/>
      <c r="K59" s="286">
        <v>7</v>
      </c>
      <c r="L59" s="287"/>
      <c r="M59" s="286">
        <v>7</v>
      </c>
      <c r="N59" s="288"/>
      <c r="O59" s="225">
        <f t="shared" si="1"/>
        <v>0</v>
      </c>
      <c r="P59" s="42"/>
      <c r="Q59" s="225">
        <f>INDEX(C59:D59,'TABEL DATA'!$K$4)</f>
        <v>2.5000499999999999</v>
      </c>
      <c r="R59" s="226">
        <f>IF(E59="","",ROUND(AVERAGE(E59:N59),'TABEL DATA'!$N$5))</f>
        <v>7</v>
      </c>
      <c r="S59" s="226">
        <f t="shared" si="2"/>
        <v>-4.4999500000000001</v>
      </c>
    </row>
    <row r="60" spans="1:23" ht="15" customHeight="1" x14ac:dyDescent="0.25">
      <c r="A60" s="289">
        <v>505.1</v>
      </c>
      <c r="B60" s="290"/>
      <c r="C60" s="278">
        <f>'Pilih Standar'!AC63</f>
        <v>5.1000899999999998</v>
      </c>
      <c r="D60" s="279">
        <f t="shared" si="0"/>
        <v>0.20079094488188975</v>
      </c>
      <c r="E60" s="286">
        <v>7</v>
      </c>
      <c r="F60" s="287"/>
      <c r="G60" s="286">
        <v>7</v>
      </c>
      <c r="H60" s="287"/>
      <c r="I60" s="286">
        <v>77</v>
      </c>
      <c r="J60" s="287"/>
      <c r="K60" s="286">
        <v>7</v>
      </c>
      <c r="L60" s="287"/>
      <c r="M60" s="286">
        <v>7</v>
      </c>
      <c r="N60" s="288"/>
      <c r="O60" s="225">
        <f t="shared" si="1"/>
        <v>31.304951684997057</v>
      </c>
      <c r="P60" s="42"/>
      <c r="Q60" s="225">
        <f>INDEX(C60:D60,'TABEL DATA'!$K$4)</f>
        <v>5.1000899999999998</v>
      </c>
      <c r="R60" s="226">
        <f>IF(E60="","",ROUND(AVERAGE(E60:N60),'TABEL DATA'!$N$5))</f>
        <v>21</v>
      </c>
      <c r="S60" s="226">
        <f t="shared" si="2"/>
        <v>-15.89991</v>
      </c>
    </row>
    <row r="61" spans="1:23" ht="15" customHeight="1" x14ac:dyDescent="0.25">
      <c r="A61" s="289">
        <v>507.7</v>
      </c>
      <c r="B61" s="290"/>
      <c r="C61" s="278">
        <f>'Pilih Standar'!AC64</f>
        <v>7.6998899999999999</v>
      </c>
      <c r="D61" s="279">
        <f t="shared" si="0"/>
        <v>0.30314527559055121</v>
      </c>
      <c r="E61" s="286">
        <v>7</v>
      </c>
      <c r="F61" s="287"/>
      <c r="G61" s="286">
        <v>7</v>
      </c>
      <c r="H61" s="287"/>
      <c r="I61" s="286">
        <v>7</v>
      </c>
      <c r="J61" s="287"/>
      <c r="K61" s="286">
        <v>7</v>
      </c>
      <c r="L61" s="287"/>
      <c r="M61" s="286">
        <v>7</v>
      </c>
      <c r="N61" s="288"/>
      <c r="O61" s="225">
        <f t="shared" si="1"/>
        <v>0</v>
      </c>
      <c r="P61" s="42"/>
      <c r="Q61" s="225">
        <f>INDEX(C61:D61,'TABEL DATA'!$K$4)</f>
        <v>7.6998899999999999</v>
      </c>
      <c r="R61" s="226">
        <f>IF(E61="","",ROUND(AVERAGE(E61:N61),'TABEL DATA'!$N$5))</f>
        <v>7</v>
      </c>
      <c r="S61" s="226">
        <f t="shared" si="2"/>
        <v>0.6998899999999999</v>
      </c>
    </row>
    <row r="62" spans="1:23" ht="15" customHeight="1" x14ac:dyDescent="0.25">
      <c r="A62" s="289">
        <v>510.3</v>
      </c>
      <c r="B62" s="290"/>
      <c r="C62" s="278">
        <f>'Pilih Standar'!AC65</f>
        <v>10.299930000000002</v>
      </c>
      <c r="D62" s="279">
        <f t="shared" si="0"/>
        <v>0.40550905511811031</v>
      </c>
      <c r="E62" s="286">
        <v>8</v>
      </c>
      <c r="F62" s="287"/>
      <c r="G62" s="286">
        <v>8</v>
      </c>
      <c r="H62" s="287"/>
      <c r="I62" s="286">
        <v>8</v>
      </c>
      <c r="J62" s="287"/>
      <c r="K62" s="286">
        <v>88</v>
      </c>
      <c r="L62" s="287"/>
      <c r="M62" s="286">
        <v>8</v>
      </c>
      <c r="N62" s="288"/>
      <c r="O62" s="225">
        <f t="shared" si="1"/>
        <v>35.777087639996637</v>
      </c>
      <c r="P62" s="42"/>
      <c r="Q62" s="225">
        <f>INDEX(C62:D62,'TABEL DATA'!$K$4)</f>
        <v>10.299930000000002</v>
      </c>
      <c r="R62" s="226">
        <f>IF(E62="","",ROUND(AVERAGE(E62:N62),'TABEL DATA'!$N$5))</f>
        <v>24</v>
      </c>
      <c r="S62" s="226">
        <f t="shared" si="2"/>
        <v>-13.700069999999998</v>
      </c>
    </row>
    <row r="63" spans="1:23" ht="15" customHeight="1" x14ac:dyDescent="0.25">
      <c r="A63" s="289">
        <v>512.9</v>
      </c>
      <c r="B63" s="290"/>
      <c r="C63" s="278">
        <f>'Pilih Standar'!AC66</f>
        <v>12.89992</v>
      </c>
      <c r="D63" s="279">
        <f t="shared" si="0"/>
        <v>0.50787086614173227</v>
      </c>
      <c r="E63" s="286">
        <v>8</v>
      </c>
      <c r="F63" s="287"/>
      <c r="G63" s="286">
        <v>8</v>
      </c>
      <c r="H63" s="287"/>
      <c r="I63" s="286">
        <v>8</v>
      </c>
      <c r="J63" s="287"/>
      <c r="K63" s="286">
        <v>8</v>
      </c>
      <c r="L63" s="287"/>
      <c r="M63" s="286">
        <v>8</v>
      </c>
      <c r="N63" s="288"/>
      <c r="O63" s="225">
        <f t="shared" si="1"/>
        <v>0</v>
      </c>
      <c r="P63" s="42"/>
      <c r="Q63" s="225">
        <f>INDEX(C63:D63,'TABEL DATA'!$K$4)</f>
        <v>12.89992</v>
      </c>
      <c r="R63" s="226">
        <f>IF(E63="","",ROUND(AVERAGE(E63:N63),'TABEL DATA'!$N$5))</f>
        <v>8</v>
      </c>
      <c r="S63" s="226">
        <f t="shared" si="2"/>
        <v>4.8999199999999998</v>
      </c>
    </row>
    <row r="64" spans="1:23" ht="15" customHeight="1" x14ac:dyDescent="0.25">
      <c r="A64" s="289">
        <v>515</v>
      </c>
      <c r="B64" s="290"/>
      <c r="C64" s="278">
        <f>'Pilih Standar'!AC67</f>
        <v>14.999969999999999</v>
      </c>
      <c r="D64" s="279">
        <f t="shared" si="0"/>
        <v>0.59055000000000002</v>
      </c>
      <c r="E64" s="286">
        <v>8</v>
      </c>
      <c r="F64" s="287"/>
      <c r="G64" s="286">
        <v>8</v>
      </c>
      <c r="H64" s="287"/>
      <c r="I64" s="286">
        <v>88</v>
      </c>
      <c r="J64" s="287"/>
      <c r="K64" s="286">
        <v>8</v>
      </c>
      <c r="L64" s="287"/>
      <c r="M64" s="286">
        <v>8</v>
      </c>
      <c r="N64" s="288"/>
      <c r="O64" s="225">
        <f t="shared" si="1"/>
        <v>35.777087639996637</v>
      </c>
      <c r="P64" s="42"/>
      <c r="Q64" s="225">
        <f>INDEX(C64:D64,'TABEL DATA'!$K$4)</f>
        <v>14.999969999999999</v>
      </c>
      <c r="R64" s="226">
        <f>IF(E64="","",ROUND(AVERAGE(E64:N64),'TABEL DATA'!$N$5))</f>
        <v>24</v>
      </c>
      <c r="S64" s="226">
        <f t="shared" si="2"/>
        <v>-9.0000300000000006</v>
      </c>
    </row>
    <row r="65" spans="1:39" ht="15" customHeight="1" x14ac:dyDescent="0.25">
      <c r="A65" s="289">
        <v>517.6</v>
      </c>
      <c r="B65" s="290"/>
      <c r="C65" s="278">
        <f>'Pilih Standar'!AC68</f>
        <v>17.599920000000001</v>
      </c>
      <c r="D65" s="279">
        <f t="shared" si="0"/>
        <v>0.69291023622047254</v>
      </c>
      <c r="E65" s="286">
        <v>8</v>
      </c>
      <c r="F65" s="287"/>
      <c r="G65" s="286">
        <v>8</v>
      </c>
      <c r="H65" s="287"/>
      <c r="I65" s="286">
        <v>8</v>
      </c>
      <c r="J65" s="287"/>
      <c r="K65" s="286">
        <v>88</v>
      </c>
      <c r="L65" s="287"/>
      <c r="M65" s="286">
        <v>3</v>
      </c>
      <c r="N65" s="288"/>
      <c r="O65" s="225">
        <f t="shared" si="1"/>
        <v>36.400549446402593</v>
      </c>
      <c r="P65" s="42"/>
      <c r="Q65" s="225">
        <f>INDEX(C65:D65,'TABEL DATA'!$K$4)</f>
        <v>17.599920000000001</v>
      </c>
      <c r="R65" s="226">
        <f>IF(E65="","",ROUND(AVERAGE(E65:N65),'TABEL DATA'!$N$5))</f>
        <v>23</v>
      </c>
      <c r="S65" s="226">
        <f t="shared" si="2"/>
        <v>-5.4000799999999991</v>
      </c>
    </row>
    <row r="66" spans="1:39" ht="15" customHeight="1" x14ac:dyDescent="0.25">
      <c r="A66" s="289">
        <v>520.20000000000005</v>
      </c>
      <c r="B66" s="290"/>
      <c r="C66" s="278">
        <f>'Pilih Standar'!AC69</f>
        <v>20.199909999999999</v>
      </c>
      <c r="D66" s="279">
        <f t="shared" si="0"/>
        <v>0.7952720472440945</v>
      </c>
      <c r="E66" s="286">
        <v>8</v>
      </c>
      <c r="F66" s="287"/>
      <c r="G66" s="286">
        <v>8</v>
      </c>
      <c r="H66" s="287"/>
      <c r="I66" s="286">
        <v>8</v>
      </c>
      <c r="J66" s="287"/>
      <c r="K66" s="286">
        <v>8</v>
      </c>
      <c r="L66" s="287"/>
      <c r="M66" s="286">
        <v>8</v>
      </c>
      <c r="N66" s="288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8</v>
      </c>
      <c r="S66" s="226">
        <f t="shared" si="2"/>
        <v>12.199909999999999</v>
      </c>
    </row>
    <row r="67" spans="1:39" ht="15" customHeight="1" x14ac:dyDescent="0.25">
      <c r="A67" s="289">
        <v>522.79999999999995</v>
      </c>
      <c r="B67" s="290"/>
      <c r="C67" s="278">
        <f>'Pilih Standar'!AC70</f>
        <v>22.799890000000001</v>
      </c>
      <c r="D67" s="279">
        <f t="shared" si="0"/>
        <v>0.89763346456692927</v>
      </c>
      <c r="E67" s="286">
        <v>8</v>
      </c>
      <c r="F67" s="287"/>
      <c r="G67" s="286">
        <v>8</v>
      </c>
      <c r="H67" s="287"/>
      <c r="I67" s="286">
        <v>8</v>
      </c>
      <c r="J67" s="287"/>
      <c r="K67" s="286">
        <v>8</v>
      </c>
      <c r="L67" s="287"/>
      <c r="M67" s="286">
        <v>8</v>
      </c>
      <c r="N67" s="288"/>
      <c r="O67" s="225">
        <f t="shared" si="1"/>
        <v>0</v>
      </c>
      <c r="P67" s="42"/>
      <c r="Q67" s="225">
        <f>INDEX(C67:D67,'TABEL DATA'!$K$4)</f>
        <v>22.799890000000001</v>
      </c>
      <c r="R67" s="226">
        <f>IF(E67="","",ROUND(AVERAGE(E67:N67),'TABEL DATA'!$N$5))</f>
        <v>8</v>
      </c>
      <c r="S67" s="226">
        <f t="shared" si="2"/>
        <v>14.799890000000001</v>
      </c>
    </row>
    <row r="68" spans="1:39" ht="15" customHeight="1" x14ac:dyDescent="0.25">
      <c r="A68" s="289">
        <v>525</v>
      </c>
      <c r="B68" s="290"/>
      <c r="C68" s="278">
        <f>'Pilih Standar'!AC71</f>
        <v>25.000080000000001</v>
      </c>
      <c r="D68" s="279">
        <f t="shared" si="0"/>
        <v>0.98425511811023625</v>
      </c>
      <c r="E68" s="286">
        <v>22</v>
      </c>
      <c r="F68" s="287"/>
      <c r="G68" s="286">
        <v>2</v>
      </c>
      <c r="H68" s="287"/>
      <c r="I68" s="286">
        <v>2</v>
      </c>
      <c r="J68" s="287"/>
      <c r="K68" s="286">
        <v>3</v>
      </c>
      <c r="L68" s="287"/>
      <c r="M68" s="286">
        <v>2</v>
      </c>
      <c r="N68" s="288"/>
      <c r="O68" s="225">
        <f t="shared" si="1"/>
        <v>8.8430763877736585</v>
      </c>
      <c r="P68" s="42"/>
      <c r="Q68" s="225">
        <f>INDEX(C68:D68,'TABEL DATA'!$K$4)</f>
        <v>25.000080000000001</v>
      </c>
      <c r="R68" s="226">
        <f>IF(E68="","",ROUND(AVERAGE(E68:N68),'TABEL DATA'!$N$5))</f>
        <v>6.2</v>
      </c>
      <c r="S68" s="226">
        <f t="shared" si="2"/>
        <v>18.800080000000001</v>
      </c>
    </row>
    <row r="69" spans="1:39" ht="15" customHeight="1" x14ac:dyDescent="0.25">
      <c r="A69" s="289"/>
      <c r="B69" s="290"/>
      <c r="C69" s="278" t="str">
        <f>'Pilih Standar'!AC72</f>
        <v/>
      </c>
      <c r="D69" s="279" t="str">
        <f t="shared" si="0"/>
        <v/>
      </c>
      <c r="E69" s="286"/>
      <c r="F69" s="287"/>
      <c r="G69" s="286"/>
      <c r="H69" s="287"/>
      <c r="I69" s="286"/>
      <c r="J69" s="287"/>
      <c r="K69" s="286"/>
      <c r="L69" s="287"/>
      <c r="M69" s="286"/>
      <c r="N69" s="288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289"/>
      <c r="B70" s="290"/>
      <c r="C70" s="278" t="str">
        <f>'Pilih Standar'!AC73</f>
        <v/>
      </c>
      <c r="D70" s="279" t="str">
        <f t="shared" si="0"/>
        <v/>
      </c>
      <c r="E70" s="286"/>
      <c r="F70" s="287"/>
      <c r="G70" s="286"/>
      <c r="H70" s="287"/>
      <c r="I70" s="286"/>
      <c r="J70" s="287"/>
      <c r="K70" s="286"/>
      <c r="L70" s="287"/>
      <c r="M70" s="286"/>
      <c r="N70" s="288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289"/>
      <c r="B71" s="290"/>
      <c r="C71" s="278" t="str">
        <f>'Pilih Standar'!AC74</f>
        <v/>
      </c>
      <c r="D71" s="279" t="str">
        <f t="shared" si="0"/>
        <v/>
      </c>
      <c r="E71" s="286"/>
      <c r="F71" s="287"/>
      <c r="G71" s="286"/>
      <c r="H71" s="287"/>
      <c r="I71" s="286"/>
      <c r="J71" s="287"/>
      <c r="K71" s="286"/>
      <c r="L71" s="287"/>
      <c r="M71" s="286"/>
      <c r="N71" s="288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289"/>
      <c r="B72" s="290"/>
      <c r="C72" s="278" t="str">
        <f>'Pilih Standar'!AC75</f>
        <v/>
      </c>
      <c r="D72" s="279" t="str">
        <f t="shared" si="0"/>
        <v/>
      </c>
      <c r="E72" s="286"/>
      <c r="F72" s="287"/>
      <c r="G72" s="286"/>
      <c r="H72" s="287"/>
      <c r="I72" s="286"/>
      <c r="J72" s="287"/>
      <c r="K72" s="286"/>
      <c r="L72" s="287"/>
      <c r="M72" s="286"/>
      <c r="N72" s="288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291"/>
      <c r="B73" s="291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114</v>
      </c>
      <c r="P73" s="42"/>
      <c r="Q73" s="42"/>
    </row>
    <row r="74" spans="1:39" ht="15" customHeight="1" x14ac:dyDescent="0.25">
      <c r="A74" s="181" t="s">
        <v>115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116</v>
      </c>
      <c r="B75" s="42"/>
      <c r="C75" s="284">
        <v>0</v>
      </c>
      <c r="D75" s="285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103</v>
      </c>
      <c r="Q75" s="42"/>
    </row>
    <row r="76" spans="1:39" ht="15" customHeight="1" x14ac:dyDescent="0.25">
      <c r="A76" s="42" t="s">
        <v>117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118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E39:L39"/>
    <mergeCell ref="E45:G45"/>
    <mergeCell ref="A50:B50"/>
    <mergeCell ref="C50:C51"/>
    <mergeCell ref="A56:B56"/>
    <mergeCell ref="A57:B57"/>
    <mergeCell ref="A58:B58"/>
    <mergeCell ref="A59:B59"/>
    <mergeCell ref="E64:F64"/>
    <mergeCell ref="E62:F62"/>
    <mergeCell ref="A64:B64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F6:G6"/>
    <mergeCell ref="F10:G10"/>
    <mergeCell ref="A2:F2"/>
    <mergeCell ref="G2:L2"/>
    <mergeCell ref="E3:H3"/>
    <mergeCell ref="E4:H4"/>
    <mergeCell ref="A8:L8"/>
    <mergeCell ref="E27:F27"/>
    <mergeCell ref="F38:G38"/>
    <mergeCell ref="E31:L31"/>
    <mergeCell ref="E33:L33"/>
    <mergeCell ref="E30:L30"/>
    <mergeCell ref="E34:L34"/>
    <mergeCell ref="F37:G37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E41:G41"/>
    <mergeCell ref="I51:J51"/>
    <mergeCell ref="H50:H51"/>
    <mergeCell ref="D50:E50"/>
    <mergeCell ref="F50:G50"/>
    <mergeCell ref="I50:J50"/>
    <mergeCell ref="A49:E49"/>
    <mergeCell ref="F49:J49"/>
    <mergeCell ref="A48:J48"/>
    <mergeCell ref="A65:B65"/>
    <mergeCell ref="G57:H57"/>
    <mergeCell ref="E57:F57"/>
    <mergeCell ref="F52:G52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zoomScale="85" zoomScaleSheetLayoutView="85" workbookViewId="0">
      <selection activeCell="U37" sqref="U37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57" t="s">
        <v>119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</row>
    <row r="2" spans="1:14" ht="13.95" customHeight="1" x14ac:dyDescent="0.25">
      <c r="A2" s="46" t="s">
        <v>120</v>
      </c>
      <c r="B2" s="358" t="s">
        <v>51</v>
      </c>
      <c r="C2" s="359" t="str">
        <f>CONCATENATE('INPUT DATA'!E11,"-",'INPUT DATA'!F11,'INPUT DATA'!G11,"-",'INPUT DATA'!H11)</f>
        <v>PAS-K25-999999</v>
      </c>
      <c r="D2" s="359"/>
      <c r="E2" s="359"/>
      <c r="F2" s="359"/>
      <c r="I2" s="47" t="s">
        <v>121</v>
      </c>
      <c r="J2" s="360" t="s">
        <v>51</v>
      </c>
      <c r="K2" s="358">
        <v>1</v>
      </c>
      <c r="L2" s="360" t="s">
        <v>122</v>
      </c>
      <c r="M2" s="360"/>
      <c r="N2" s="358">
        <v>2</v>
      </c>
    </row>
    <row r="3" spans="1:14" ht="12" customHeight="1" x14ac:dyDescent="0.25">
      <c r="A3" s="48" t="s">
        <v>123</v>
      </c>
      <c r="B3" s="358"/>
      <c r="C3" s="359"/>
      <c r="D3" s="359"/>
      <c r="E3" s="359"/>
      <c r="F3" s="359"/>
      <c r="I3" s="49" t="s">
        <v>124</v>
      </c>
      <c r="J3" s="360"/>
      <c r="K3" s="358"/>
      <c r="L3" s="361" t="s">
        <v>125</v>
      </c>
      <c r="M3" s="361"/>
      <c r="N3" s="358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126</v>
      </c>
      <c r="B5" s="358" t="s">
        <v>51</v>
      </c>
      <c r="C5" s="364" t="str">
        <f>CONCATENATE('INPUT DATA'!E10," ",'INPUT DATA'!F10," ",'INPUT DATA'!H10)</f>
        <v xml:space="preserve"> September 2025</v>
      </c>
      <c r="D5" s="364"/>
      <c r="E5" s="364"/>
      <c r="F5" s="364"/>
    </row>
    <row r="6" spans="1:14" ht="12" customHeight="1" x14ac:dyDescent="0.25">
      <c r="A6" s="48" t="s">
        <v>127</v>
      </c>
      <c r="B6" s="358"/>
      <c r="C6" s="364"/>
      <c r="D6" s="364"/>
      <c r="E6" s="364"/>
      <c r="F6" s="364"/>
    </row>
    <row r="7" spans="1:14" ht="10.199999999999999" customHeight="1" x14ac:dyDescent="0.25"/>
    <row r="8" spans="1:14" ht="13.95" customHeight="1" x14ac:dyDescent="0.25">
      <c r="A8" s="365" t="s">
        <v>128</v>
      </c>
      <c r="B8" s="365"/>
      <c r="C8" s="365"/>
      <c r="D8" s="365"/>
      <c r="E8" s="365"/>
      <c r="F8" s="365"/>
      <c r="G8" s="365"/>
      <c r="H8" s="365"/>
      <c r="I8" s="365"/>
      <c r="J8" s="365"/>
      <c r="K8" s="365"/>
      <c r="L8" s="365"/>
      <c r="M8" s="365"/>
      <c r="N8" s="365"/>
    </row>
    <row r="9" spans="1:14" ht="13.95" customHeight="1" x14ac:dyDescent="0.25">
      <c r="A9" s="366" t="s">
        <v>129</v>
      </c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</row>
    <row r="10" spans="1:14" ht="6" customHeight="1" x14ac:dyDescent="0.25"/>
    <row r="11" spans="1:14" ht="13.95" customHeight="1" x14ac:dyDescent="0.25">
      <c r="A11" s="46" t="s">
        <v>1</v>
      </c>
      <c r="B11" s="53" t="s">
        <v>51</v>
      </c>
      <c r="C11" s="364" t="str">
        <f>CONCATENATE('INPUT DATA'!E14)</f>
        <v>Inside Micrometer</v>
      </c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</row>
    <row r="12" spans="1:14" ht="12" customHeight="1" x14ac:dyDescent="0.25">
      <c r="A12" s="48" t="s">
        <v>130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131</v>
      </c>
      <c r="B14" s="53" t="s">
        <v>51</v>
      </c>
      <c r="C14" s="364" t="str">
        <f>CONCATENATE('INPUT DATA'!E18)</f>
        <v>sadsa</v>
      </c>
      <c r="D14" s="364"/>
      <c r="E14" s="364"/>
      <c r="F14" s="364"/>
      <c r="G14" s="364"/>
      <c r="H14" s="364"/>
      <c r="I14" s="364"/>
      <c r="J14" s="364"/>
      <c r="K14" s="364"/>
      <c r="L14" s="364"/>
      <c r="M14" s="364"/>
      <c r="N14" s="364"/>
    </row>
    <row r="15" spans="1:14" ht="12" customHeight="1" x14ac:dyDescent="0.25">
      <c r="A15" s="48" t="s">
        <v>132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133</v>
      </c>
      <c r="B17" s="53" t="s">
        <v>51</v>
      </c>
      <c r="C17" s="364" t="str">
        <f>CONCATENATE('INPUT DATA'!E19,"    /   ",'INPUT DATA'!E20)</f>
        <v>asdas    /   asda</v>
      </c>
      <c r="D17" s="364"/>
      <c r="E17" s="364"/>
      <c r="F17" s="364"/>
      <c r="G17" s="364"/>
      <c r="H17" s="364"/>
      <c r="I17" s="364"/>
      <c r="J17" s="364"/>
      <c r="K17" s="364"/>
      <c r="L17" s="364"/>
      <c r="M17" s="364"/>
      <c r="N17" s="364"/>
    </row>
    <row r="18" spans="1:14" ht="12" customHeight="1" x14ac:dyDescent="0.25">
      <c r="A18" s="48" t="s">
        <v>134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67</v>
      </c>
      <c r="B20" s="53" t="s">
        <v>51</v>
      </c>
      <c r="C20" s="362" t="str">
        <f>'INPUT DATA'!E21</f>
        <v>asdasd</v>
      </c>
      <c r="D20" s="363"/>
      <c r="E20" s="363"/>
      <c r="F20" s="363"/>
      <c r="G20" s="363"/>
      <c r="H20" s="363"/>
      <c r="I20" s="363"/>
      <c r="J20" s="363"/>
      <c r="K20" s="363"/>
      <c r="L20" s="363"/>
      <c r="M20" s="363"/>
      <c r="N20" s="363"/>
    </row>
    <row r="21" spans="1:14" ht="12" customHeight="1" x14ac:dyDescent="0.25">
      <c r="A21" s="48" t="s">
        <v>135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136</v>
      </c>
      <c r="B23" s="53" t="s">
        <v>51</v>
      </c>
      <c r="C23" s="362" t="str">
        <f>CONCATENATE('INPUT DATA'!E25,"  ~  ",'INPUT DATA'!I25," ",'INPUT DATA'!K25,"    /    ",'INPUT DATA'!E27," ",'INPUT DATA'!G27)</f>
        <v>44  ~  432 mm    /    eqrq mm</v>
      </c>
      <c r="D23" s="363"/>
      <c r="E23" s="363"/>
      <c r="F23" s="363"/>
      <c r="G23" s="363"/>
      <c r="H23" s="363"/>
      <c r="I23" s="363"/>
      <c r="J23" s="363"/>
      <c r="K23" s="363"/>
      <c r="L23" s="363"/>
      <c r="M23" s="363"/>
      <c r="N23" s="363"/>
    </row>
    <row r="24" spans="1:14" ht="12" customHeight="1" x14ac:dyDescent="0.25">
      <c r="A24" s="48" t="s">
        <v>137</v>
      </c>
      <c r="B24" s="46"/>
    </row>
    <row r="25" spans="1:14" ht="10.199999999999999" customHeight="1" x14ac:dyDescent="0.25"/>
    <row r="26" spans="1:14" ht="13.95" customHeight="1" x14ac:dyDescent="0.25">
      <c r="A26" s="365" t="s">
        <v>138</v>
      </c>
      <c r="B26" s="365"/>
      <c r="C26" s="365"/>
      <c r="D26" s="365"/>
      <c r="E26" s="365"/>
      <c r="F26" s="365"/>
      <c r="G26" s="365"/>
      <c r="H26" s="365"/>
      <c r="I26" s="365"/>
      <c r="J26" s="365"/>
      <c r="K26" s="365"/>
      <c r="L26" s="365"/>
      <c r="M26" s="365"/>
      <c r="N26" s="365"/>
    </row>
    <row r="27" spans="1:14" ht="13.95" customHeight="1" x14ac:dyDescent="0.25">
      <c r="A27" s="367" t="s">
        <v>139</v>
      </c>
      <c r="B27" s="367"/>
      <c r="C27" s="367"/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367"/>
    </row>
    <row r="28" spans="1:14" ht="6" customHeight="1" x14ac:dyDescent="0.25"/>
    <row r="29" spans="1:14" ht="13.95" customHeight="1" x14ac:dyDescent="0.25">
      <c r="A29" s="46" t="s">
        <v>140</v>
      </c>
      <c r="B29" s="46" t="s">
        <v>51</v>
      </c>
      <c r="C29" s="359" t="str">
        <f>CONCATENATE('INPUT DATA'!E30)</f>
        <v>qasda</v>
      </c>
      <c r="D29" s="359"/>
      <c r="E29" s="359"/>
      <c r="F29" s="359"/>
      <c r="G29" s="359"/>
      <c r="H29" s="359"/>
      <c r="I29" s="359"/>
      <c r="J29" s="359"/>
      <c r="K29" s="359"/>
      <c r="L29" s="359"/>
      <c r="M29" s="359"/>
      <c r="N29" s="359"/>
    </row>
    <row r="30" spans="1:14" ht="12" customHeight="1" x14ac:dyDescent="0.25">
      <c r="A30" s="48" t="s">
        <v>141</v>
      </c>
      <c r="B30" s="46"/>
      <c r="C30" s="359" t="str">
        <f>CONCATENATE('INPUT DATA'!E31)</f>
        <v/>
      </c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</row>
    <row r="31" spans="1:14" ht="6" customHeight="1" x14ac:dyDescent="0.25">
      <c r="A31" s="48"/>
      <c r="B31" s="46"/>
    </row>
    <row r="32" spans="1:14" ht="13.95" customHeight="1" x14ac:dyDescent="0.25">
      <c r="A32" s="46" t="s">
        <v>142</v>
      </c>
      <c r="B32" s="46" t="s">
        <v>51</v>
      </c>
      <c r="C32" s="364" t="str">
        <f>CONCATENATE('INPUT DATA'!E33)</f>
        <v>asd</v>
      </c>
      <c r="D32" s="364"/>
      <c r="E32" s="364"/>
      <c r="F32" s="364"/>
      <c r="G32" s="364"/>
      <c r="H32" s="364"/>
      <c r="I32" s="364"/>
      <c r="J32" s="364"/>
      <c r="K32" s="364"/>
      <c r="L32" s="364"/>
      <c r="M32" s="364"/>
      <c r="N32" s="364"/>
    </row>
    <row r="33" spans="1:14" ht="12" customHeight="1" x14ac:dyDescent="0.25">
      <c r="A33" s="48" t="s">
        <v>143</v>
      </c>
      <c r="B33" s="46"/>
      <c r="C33" s="364" t="str">
        <f>CONCATENATE('INPUT DATA'!E34)</f>
        <v/>
      </c>
      <c r="D33" s="364"/>
      <c r="E33" s="364"/>
      <c r="F33" s="364"/>
      <c r="G33" s="364"/>
      <c r="H33" s="364"/>
      <c r="I33" s="364"/>
      <c r="J33" s="364"/>
      <c r="K33" s="364"/>
      <c r="L33" s="364"/>
      <c r="M33" s="364"/>
      <c r="N33" s="364"/>
    </row>
    <row r="34" spans="1:14" ht="10.199999999999999" customHeight="1" x14ac:dyDescent="0.25"/>
    <row r="35" spans="1:14" ht="13.95" customHeight="1" x14ac:dyDescent="0.25">
      <c r="A35" s="365" t="s">
        <v>144</v>
      </c>
      <c r="B35" s="365"/>
      <c r="C35" s="365"/>
      <c r="D35" s="365"/>
      <c r="E35" s="365"/>
      <c r="F35" s="365"/>
      <c r="G35" s="365"/>
      <c r="H35" s="365"/>
      <c r="I35" s="365"/>
      <c r="J35" s="365"/>
      <c r="K35" s="365"/>
      <c r="L35" s="365"/>
      <c r="M35" s="365"/>
      <c r="N35" s="365"/>
    </row>
    <row r="36" spans="1:14" ht="13.95" customHeight="1" x14ac:dyDescent="0.25">
      <c r="A36" s="367" t="s">
        <v>145</v>
      </c>
      <c r="B36" s="367"/>
      <c r="C36" s="367"/>
      <c r="D36" s="367"/>
      <c r="E36" s="367"/>
      <c r="F36" s="367"/>
      <c r="G36" s="367"/>
      <c r="H36" s="367"/>
      <c r="I36" s="367"/>
      <c r="J36" s="367"/>
      <c r="K36" s="367"/>
      <c r="L36" s="367"/>
      <c r="M36" s="367"/>
      <c r="N36" s="367"/>
    </row>
    <row r="37" spans="1:14" ht="6" customHeight="1" x14ac:dyDescent="0.25"/>
    <row r="38" spans="1:14" ht="13.95" customHeight="1" x14ac:dyDescent="0.25">
      <c r="A38" s="46" t="s">
        <v>146</v>
      </c>
      <c r="B38" s="46" t="s">
        <v>51</v>
      </c>
      <c r="C38" s="364" t="str">
        <f>'INPUT DATA'!E3</f>
        <v>PAS-IK-1102-02</v>
      </c>
      <c r="D38" s="364"/>
      <c r="E38" s="364"/>
      <c r="F38" s="364"/>
      <c r="G38" s="364"/>
      <c r="H38" s="364"/>
      <c r="I38" s="364"/>
      <c r="J38" s="364"/>
      <c r="K38" s="364"/>
      <c r="L38" s="364"/>
      <c r="M38" s="364"/>
      <c r="N38" s="364"/>
    </row>
    <row r="39" spans="1:14" ht="12" customHeight="1" x14ac:dyDescent="0.25">
      <c r="A39" s="48" t="s">
        <v>147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148</v>
      </c>
      <c r="B41" s="46" t="s">
        <v>51</v>
      </c>
      <c r="C41" s="364" t="str">
        <f>'INPUT DATA'!E4</f>
        <v>JIS B 7502:2016 (JMA/JSA); SNSU PK.P-01:2020.</v>
      </c>
      <c r="D41" s="364"/>
      <c r="E41" s="364"/>
      <c r="F41" s="364"/>
      <c r="G41" s="364"/>
      <c r="H41" s="364"/>
      <c r="I41" s="364"/>
      <c r="J41" s="364"/>
      <c r="K41" s="364"/>
      <c r="L41" s="364"/>
      <c r="M41" s="364"/>
      <c r="N41" s="364"/>
    </row>
    <row r="42" spans="1:14" ht="12" customHeight="1" x14ac:dyDescent="0.25">
      <c r="A42" s="48" t="s">
        <v>149</v>
      </c>
      <c r="B42" s="46"/>
      <c r="C42" s="367"/>
      <c r="D42" s="367"/>
      <c r="E42" s="367"/>
      <c r="F42" s="367"/>
      <c r="G42" s="367"/>
      <c r="H42" s="367"/>
      <c r="I42" s="367"/>
      <c r="J42" s="367"/>
      <c r="K42" s="367"/>
      <c r="L42" s="367"/>
      <c r="M42" s="367"/>
      <c r="N42" s="367"/>
    </row>
    <row r="43" spans="1:14" ht="6" customHeight="1" x14ac:dyDescent="0.25">
      <c r="A43" s="48"/>
      <c r="B43" s="46"/>
    </row>
    <row r="44" spans="1:14" ht="13.95" customHeight="1" x14ac:dyDescent="0.25">
      <c r="A44" s="46" t="s">
        <v>150</v>
      </c>
      <c r="B44" s="46" t="s">
        <v>51</v>
      </c>
      <c r="C44" s="369" t="str">
        <f>"Gauge Block, Grade 0, "&amp;'Pilih Standar'!CU16</f>
        <v>Gauge Block, Grade 0, Mitutoyo, 516-106-10, S/N. 1103008.</v>
      </c>
      <c r="D44" s="369"/>
      <c r="E44" s="369"/>
      <c r="F44" s="369"/>
      <c r="G44" s="369"/>
      <c r="H44" s="369"/>
      <c r="I44" s="369"/>
      <c r="J44" s="369"/>
      <c r="K44" s="369"/>
      <c r="L44" s="369"/>
      <c r="M44" s="369"/>
      <c r="N44" s="369"/>
    </row>
    <row r="45" spans="1:14" ht="15.6" customHeight="1" x14ac:dyDescent="0.25">
      <c r="A45" s="172" t="s">
        <v>151</v>
      </c>
      <c r="B45" s="46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M45" s="369"/>
      <c r="N45" s="369"/>
    </row>
    <row r="46" spans="1:14" ht="6" customHeight="1" x14ac:dyDescent="0.25">
      <c r="A46" s="48"/>
      <c r="B46" s="46"/>
    </row>
    <row r="47" spans="1:14" ht="13.95" customHeight="1" x14ac:dyDescent="0.25">
      <c r="A47" s="46" t="s">
        <v>152</v>
      </c>
      <c r="B47" s="46" t="s">
        <v>51</v>
      </c>
      <c r="C47" s="369" t="str">
        <f>"Hasil kalibrasi yang dilaporkan tertelusur ke SI melalui "&amp;'Pilih Standar'!BZ16</f>
        <v>Hasil kalibrasi yang dilaporkan tertelusur ke SI melalui LK-066-IDN.</v>
      </c>
      <c r="D47" s="369"/>
      <c r="E47" s="369"/>
      <c r="F47" s="369"/>
      <c r="G47" s="369"/>
      <c r="H47" s="369"/>
      <c r="I47" s="369"/>
      <c r="J47" s="369"/>
      <c r="K47" s="369"/>
      <c r="L47" s="369"/>
      <c r="M47" s="369"/>
      <c r="N47" s="369"/>
    </row>
    <row r="48" spans="1:14" ht="17.399999999999999" customHeight="1" x14ac:dyDescent="0.25">
      <c r="A48" s="172" t="s">
        <v>153</v>
      </c>
      <c r="B48" s="46"/>
      <c r="C48" s="369"/>
      <c r="D48" s="369"/>
      <c r="E48" s="369"/>
      <c r="F48" s="369"/>
      <c r="G48" s="369"/>
      <c r="H48" s="369"/>
      <c r="I48" s="369"/>
      <c r="J48" s="369"/>
      <c r="K48" s="369"/>
      <c r="L48" s="369"/>
      <c r="M48" s="369"/>
      <c r="N48" s="369"/>
    </row>
    <row r="50" spans="1:14" ht="13.95" customHeight="1" x14ac:dyDescent="0.25">
      <c r="H50" s="46"/>
      <c r="I50" s="273" t="str">
        <f>C66</f>
        <v>https://pascalibration.com/PAS-K25-999999-INSIDE MICROMETER-qasda|Signed and Approved by M. Iqbal Fauzi</v>
      </c>
      <c r="J50" s="272"/>
      <c r="K50" s="272"/>
      <c r="L50" s="272"/>
      <c r="M50" s="272"/>
    </row>
    <row r="51" spans="1:14" ht="13.95" customHeight="1" x14ac:dyDescent="0.25">
      <c r="H51" s="48"/>
      <c r="I51" s="272"/>
      <c r="J51" s="272"/>
      <c r="K51" s="272"/>
      <c r="L51" s="272"/>
      <c r="M51" s="272"/>
    </row>
    <row r="52" spans="1:14" ht="13.95" customHeight="1" x14ac:dyDescent="0.25">
      <c r="I52" s="272"/>
      <c r="J52" s="272"/>
      <c r="K52" s="272"/>
      <c r="L52" s="272"/>
      <c r="M52" s="272"/>
    </row>
    <row r="53" spans="1:14" ht="13.95" customHeight="1" x14ac:dyDescent="0.25">
      <c r="I53" s="272"/>
      <c r="J53" s="272"/>
      <c r="K53" s="272"/>
      <c r="L53" s="272"/>
      <c r="M53" s="272"/>
    </row>
    <row r="54" spans="1:14" ht="13.95" customHeight="1" x14ac:dyDescent="0.25">
      <c r="I54" s="272"/>
      <c r="J54" s="272"/>
      <c r="K54" s="272"/>
      <c r="L54" s="272"/>
      <c r="M54" s="272"/>
    </row>
    <row r="55" spans="1:14" ht="13.95" customHeight="1" x14ac:dyDescent="0.25">
      <c r="I55" s="272"/>
      <c r="J55" s="272"/>
      <c r="K55" s="272"/>
      <c r="L55" s="272"/>
      <c r="M55" s="272"/>
    </row>
    <row r="56" spans="1:14" ht="13.95" customHeight="1" x14ac:dyDescent="0.25">
      <c r="H56" s="46"/>
      <c r="I56" s="272"/>
      <c r="J56" s="272"/>
      <c r="K56" s="272"/>
      <c r="L56" s="272"/>
      <c r="M56" s="272"/>
    </row>
    <row r="57" spans="1:14" ht="13.95" customHeight="1" x14ac:dyDescent="0.25">
      <c r="I57" s="272"/>
      <c r="J57" s="272"/>
      <c r="K57" s="272"/>
      <c r="L57" s="272"/>
      <c r="M57" s="272"/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8" t="s">
        <v>154</v>
      </c>
      <c r="K59" s="368"/>
      <c r="L59" s="368"/>
      <c r="M59" s="368"/>
      <c r="N59" s="368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155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154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156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157</v>
      </c>
      <c r="C63" s="271" t="s">
        <v>158</v>
      </c>
    </row>
    <row r="64" spans="1:14" ht="13.95" customHeight="1" x14ac:dyDescent="0.25">
      <c r="A64" s="45" t="s">
        <v>159</v>
      </c>
      <c r="C64" s="45" t="str">
        <f>C2</f>
        <v>PAS-K25-999999</v>
      </c>
    </row>
    <row r="65" spans="1:3" ht="13.95" customHeight="1" x14ac:dyDescent="0.25">
      <c r="A65" s="45" t="s">
        <v>160</v>
      </c>
      <c r="C65" s="45" t="str">
        <f>_xlfn.VALUETOTEXT(C64&amp;"-"&amp;UPPER(C11)&amp;"-"&amp;C29&amp;IF(C30&lt;&gt;""," ("&amp;C30&amp;")",""))</f>
        <v>PAS-K25-999999-INSIDE MICROMETER-qasda</v>
      </c>
    </row>
    <row r="66" spans="1:3" ht="13.95" customHeight="1" x14ac:dyDescent="0.25">
      <c r="A66" s="45" t="s">
        <v>161</v>
      </c>
      <c r="C66" s="45" t="str">
        <f>C63&amp;C65&amp;"|"&amp;H59</f>
        <v>https://pascalibration.com/PAS-K25-999999-INSIDE MICROMETER-qasda|Signed and Approved by M. Iqbal Fauzi</v>
      </c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162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163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164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165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166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167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168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3" t="s">
        <v>169</v>
      </c>
      <c r="B4" s="375" t="s">
        <v>170</v>
      </c>
      <c r="C4" s="375" t="s">
        <v>171</v>
      </c>
      <c r="D4" s="189" t="s">
        <v>172</v>
      </c>
      <c r="E4" s="189" t="s">
        <v>98</v>
      </c>
      <c r="F4" s="189" t="s">
        <v>173</v>
      </c>
      <c r="G4" s="189" t="s">
        <v>174</v>
      </c>
      <c r="H4" s="189" t="s">
        <v>175</v>
      </c>
      <c r="I4" s="189" t="s">
        <v>176</v>
      </c>
      <c r="J4" s="189" t="s">
        <v>177</v>
      </c>
      <c r="K4" s="227" t="s">
        <v>178</v>
      </c>
      <c r="L4" s="191">
        <f>'INPUT DATA'!$A58</f>
        <v>500</v>
      </c>
      <c r="M4" s="191">
        <f>'INPUT DATA'!$A59</f>
        <v>502.5</v>
      </c>
      <c r="N4" s="191">
        <f>'INPUT DATA'!$A60</f>
        <v>505.1</v>
      </c>
      <c r="O4" s="191">
        <f>'INPUT DATA'!$A61</f>
        <v>507.7</v>
      </c>
      <c r="P4" s="191">
        <f>'INPUT DATA'!$A62</f>
        <v>510.3</v>
      </c>
      <c r="Q4" s="191">
        <f>'INPUT DATA'!$A63</f>
        <v>512.9</v>
      </c>
      <c r="R4" s="191">
        <f>'INPUT DATA'!$A64</f>
        <v>515</v>
      </c>
      <c r="S4" s="191">
        <f>'INPUT DATA'!$A65</f>
        <v>517.6</v>
      </c>
      <c r="T4" s="191">
        <f>'INPUT DATA'!$A66</f>
        <v>520.20000000000005</v>
      </c>
      <c r="U4" s="191">
        <f>'INPUT DATA'!$A67</f>
        <v>522.79999999999995</v>
      </c>
      <c r="V4" s="191">
        <f>'INPUT DATA'!$A68</f>
        <v>525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179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180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4"/>
      <c r="B5" s="376"/>
      <c r="C5" s="376"/>
      <c r="D5" s="190"/>
      <c r="E5" s="190" t="s">
        <v>181</v>
      </c>
      <c r="F5" s="190" t="s">
        <v>182</v>
      </c>
      <c r="G5" s="190" t="s">
        <v>181</v>
      </c>
      <c r="H5" s="190" t="s">
        <v>182</v>
      </c>
      <c r="I5" s="190"/>
      <c r="J5" s="190"/>
      <c r="K5" s="227" t="s">
        <v>183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500</v>
      </c>
      <c r="AC5" s="162">
        <f t="shared" si="7"/>
        <v>502.5</v>
      </c>
      <c r="AD5" s="162">
        <f t="shared" si="7"/>
        <v>505.1</v>
      </c>
      <c r="AE5" s="162">
        <f t="shared" si="7"/>
        <v>507.7</v>
      </c>
      <c r="AF5" s="162">
        <f t="shared" si="7"/>
        <v>510.3</v>
      </c>
      <c r="AG5" s="162">
        <f t="shared" si="7"/>
        <v>512.9</v>
      </c>
      <c r="AH5" s="162">
        <f t="shared" si="7"/>
        <v>515</v>
      </c>
      <c r="AI5" s="162">
        <f t="shared" si="7"/>
        <v>517.6</v>
      </c>
      <c r="AJ5" s="162">
        <f t="shared" si="7"/>
        <v>520.20000000000005</v>
      </c>
      <c r="AK5" s="162">
        <f t="shared" si="7"/>
        <v>522.79999999999995</v>
      </c>
      <c r="AL5" s="162">
        <f t="shared" si="7"/>
        <v>525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500</v>
      </c>
      <c r="AS5" s="162">
        <f t="shared" si="8"/>
        <v>502.5</v>
      </c>
      <c r="AT5" s="162">
        <f t="shared" si="8"/>
        <v>505.1</v>
      </c>
      <c r="AU5" s="162">
        <f t="shared" si="8"/>
        <v>507.7</v>
      </c>
      <c r="AV5" s="162">
        <f t="shared" si="8"/>
        <v>510.3</v>
      </c>
      <c r="AW5" s="162">
        <f t="shared" si="8"/>
        <v>512.9</v>
      </c>
      <c r="AX5" s="162">
        <f t="shared" si="8"/>
        <v>515</v>
      </c>
      <c r="AY5" s="162">
        <f t="shared" si="8"/>
        <v>517.6</v>
      </c>
      <c r="AZ5" s="162">
        <f t="shared" si="8"/>
        <v>520.20000000000005</v>
      </c>
      <c r="BA5" s="162">
        <f t="shared" si="8"/>
        <v>522.79999999999995</v>
      </c>
      <c r="BB5" s="162">
        <f t="shared" si="8"/>
        <v>525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500</v>
      </c>
      <c r="BI5" s="162">
        <f t="shared" si="9"/>
        <v>502.5</v>
      </c>
      <c r="BJ5" s="162">
        <f t="shared" si="9"/>
        <v>505.1</v>
      </c>
      <c r="BK5" s="162">
        <f t="shared" si="9"/>
        <v>507.7</v>
      </c>
      <c r="BL5" s="162">
        <f t="shared" si="9"/>
        <v>510.3</v>
      </c>
      <c r="BM5" s="162">
        <f t="shared" si="9"/>
        <v>512.9</v>
      </c>
      <c r="BN5" s="162">
        <f t="shared" si="9"/>
        <v>515</v>
      </c>
      <c r="BO5" s="162">
        <f t="shared" si="9"/>
        <v>517.6</v>
      </c>
      <c r="BP5" s="162">
        <f t="shared" si="9"/>
        <v>520.20000000000005</v>
      </c>
      <c r="BQ5" s="162">
        <f t="shared" si="9"/>
        <v>522.79999999999995</v>
      </c>
      <c r="BR5" s="162">
        <f t="shared" si="9"/>
        <v>525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184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512.9</v>
      </c>
      <c r="CD5" s="162">
        <f t="shared" si="10"/>
        <v>515</v>
      </c>
      <c r="CE5" s="162">
        <f t="shared" si="10"/>
        <v>517.6</v>
      </c>
      <c r="CF5" s="162">
        <f t="shared" si="10"/>
        <v>520.20000000000005</v>
      </c>
      <c r="CG5" s="162">
        <f t="shared" si="10"/>
        <v>522.79999999999995</v>
      </c>
      <c r="CH5" s="162">
        <f t="shared" si="10"/>
        <v>525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500</v>
      </c>
      <c r="CO5" s="162">
        <f t="shared" si="10"/>
        <v>502.5</v>
      </c>
      <c r="CP5" s="162">
        <f t="shared" si="10"/>
        <v>505.1</v>
      </c>
      <c r="CQ5" s="162">
        <f t="shared" si="10"/>
        <v>507.7</v>
      </c>
      <c r="CS5" s="171" t="s">
        <v>185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186</v>
      </c>
      <c r="B6" s="146" t="s">
        <v>180</v>
      </c>
      <c r="C6" s="263" t="s">
        <v>187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184</v>
      </c>
      <c r="K6" s="228"/>
      <c r="L6" s="230"/>
      <c r="M6" s="230" t="s">
        <v>188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189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190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186</v>
      </c>
      <c r="B7" s="146" t="s">
        <v>180</v>
      </c>
      <c r="C7" s="263" t="s">
        <v>187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184</v>
      </c>
      <c r="K7" s="228"/>
      <c r="L7" s="230"/>
      <c r="M7" s="230"/>
      <c r="N7" s="230" t="s">
        <v>188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189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191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186</v>
      </c>
      <c r="B8" s="146" t="s">
        <v>180</v>
      </c>
      <c r="C8" s="263" t="s">
        <v>187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184</v>
      </c>
      <c r="K8" s="228"/>
      <c r="L8" s="230"/>
      <c r="M8" s="230"/>
      <c r="N8" s="230"/>
      <c r="O8" s="230" t="s">
        <v>188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189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192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186</v>
      </c>
      <c r="B9" s="146" t="s">
        <v>180</v>
      </c>
      <c r="C9" s="263" t="s">
        <v>187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184</v>
      </c>
      <c r="K9" s="228"/>
      <c r="L9" s="230"/>
      <c r="M9" s="230"/>
      <c r="N9" s="230"/>
      <c r="O9" s="230"/>
      <c r="P9" s="230" t="s">
        <v>188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189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189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186</v>
      </c>
      <c r="B10" s="146" t="s">
        <v>180</v>
      </c>
      <c r="C10" s="263" t="s">
        <v>187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184</v>
      </c>
      <c r="K10" s="228"/>
      <c r="L10" s="230"/>
      <c r="M10" s="230"/>
      <c r="N10" s="230"/>
      <c r="O10" s="230"/>
      <c r="P10" s="230"/>
      <c r="Q10" s="231" t="s">
        <v>188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189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189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186</v>
      </c>
      <c r="B11" s="146" t="s">
        <v>180</v>
      </c>
      <c r="C11" s="263" t="s">
        <v>187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184</v>
      </c>
      <c r="K11" s="228"/>
      <c r="L11" s="230"/>
      <c r="M11" s="230"/>
      <c r="N11" s="230"/>
      <c r="O11" s="230"/>
      <c r="P11" s="230"/>
      <c r="Q11" s="231"/>
      <c r="R11" s="231" t="s">
        <v>188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189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189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186</v>
      </c>
      <c r="B12" s="146" t="s">
        <v>180</v>
      </c>
      <c r="C12" s="263" t="s">
        <v>187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184</v>
      </c>
      <c r="K12" s="228"/>
      <c r="L12" s="230"/>
      <c r="M12" s="230"/>
      <c r="N12" s="230"/>
      <c r="O12" s="230"/>
      <c r="P12" s="230"/>
      <c r="Q12" s="231"/>
      <c r="R12" s="231"/>
      <c r="S12" s="231" t="s">
        <v>188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186</v>
      </c>
      <c r="B13" s="146" t="s">
        <v>180</v>
      </c>
      <c r="C13" s="263" t="s">
        <v>187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184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188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186</v>
      </c>
      <c r="B14" s="146" t="s">
        <v>180</v>
      </c>
      <c r="C14" s="263" t="s">
        <v>187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184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188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186</v>
      </c>
      <c r="B15" s="146" t="s">
        <v>180</v>
      </c>
      <c r="C15" s="263" t="s">
        <v>187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184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188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193</v>
      </c>
      <c r="B16" s="171" t="s">
        <v>185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194</v>
      </c>
      <c r="J16" s="142" t="s">
        <v>184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193</v>
      </c>
      <c r="B17" s="171" t="s">
        <v>185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194</v>
      </c>
      <c r="J17" s="142" t="s">
        <v>184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193</v>
      </c>
      <c r="B18" s="171" t="s">
        <v>185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194</v>
      </c>
      <c r="J18" s="142" t="s">
        <v>184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193</v>
      </c>
      <c r="B19" s="171" t="s">
        <v>185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194</v>
      </c>
      <c r="J19" s="142" t="s">
        <v>184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195</v>
      </c>
      <c r="B20" s="161" t="s">
        <v>190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179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195</v>
      </c>
      <c r="B21" s="161" t="s">
        <v>191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196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195</v>
      </c>
      <c r="B22" s="161" t="s">
        <v>192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179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193</v>
      </c>
      <c r="B23" s="171" t="s">
        <v>185</v>
      </c>
      <c r="C23" s="262" t="s">
        <v>197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194</v>
      </c>
      <c r="J23" s="142" t="s">
        <v>184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193</v>
      </c>
      <c r="B24" s="171" t="s">
        <v>185</v>
      </c>
      <c r="C24" s="262" t="s">
        <v>197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194</v>
      </c>
      <c r="J24" s="142" t="s">
        <v>184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193</v>
      </c>
      <c r="B25" s="171" t="s">
        <v>185</v>
      </c>
      <c r="C25" s="262" t="s">
        <v>197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194</v>
      </c>
      <c r="J25" s="142" t="s">
        <v>184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193</v>
      </c>
      <c r="B26" s="171" t="s">
        <v>185</v>
      </c>
      <c r="C26" s="262" t="s">
        <v>197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194</v>
      </c>
      <c r="J26" s="142" t="s">
        <v>184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193</v>
      </c>
      <c r="B27" s="171" t="s">
        <v>185</v>
      </c>
      <c r="C27" s="262" t="s">
        <v>197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194</v>
      </c>
      <c r="J27" s="142" t="s">
        <v>184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193</v>
      </c>
      <c r="B28" s="171" t="s">
        <v>185</v>
      </c>
      <c r="C28" s="262" t="s">
        <v>197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194</v>
      </c>
      <c r="J28" s="142" t="s">
        <v>184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193</v>
      </c>
      <c r="B29" s="171" t="s">
        <v>185</v>
      </c>
      <c r="C29" s="262" t="s">
        <v>197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194</v>
      </c>
      <c r="J29" s="142" t="s">
        <v>184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193</v>
      </c>
      <c r="B30" s="171" t="s">
        <v>185</v>
      </c>
      <c r="C30" s="262" t="s">
        <v>197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194</v>
      </c>
      <c r="J30" s="142" t="s">
        <v>184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193</v>
      </c>
      <c r="B31" s="171" t="s">
        <v>185</v>
      </c>
      <c r="C31" s="262" t="s">
        <v>197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194</v>
      </c>
      <c r="J31" s="142" t="s">
        <v>184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193</v>
      </c>
      <c r="B32" s="171" t="s">
        <v>185</v>
      </c>
      <c r="C32" s="262" t="s">
        <v>197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194</v>
      </c>
      <c r="J32" s="142" t="s">
        <v>184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x14ac:dyDescent="0.3">
      <c r="A33" s="141" t="s">
        <v>193</v>
      </c>
      <c r="B33" s="171" t="s">
        <v>185</v>
      </c>
      <c r="C33" s="262" t="s">
        <v>197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194</v>
      </c>
      <c r="J33" s="142" t="s">
        <v>184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x14ac:dyDescent="0.3">
      <c r="A34" s="141" t="s">
        <v>193</v>
      </c>
      <c r="B34" s="171" t="s">
        <v>185</v>
      </c>
      <c r="C34" s="262" t="s">
        <v>197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194</v>
      </c>
      <c r="J34" s="142" t="s">
        <v>184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x14ac:dyDescent="0.3">
      <c r="A35" s="141" t="s">
        <v>193</v>
      </c>
      <c r="B35" s="171" t="s">
        <v>185</v>
      </c>
      <c r="C35" s="262" t="s">
        <v>197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194</v>
      </c>
      <c r="J35" s="142" t="s">
        <v>184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x14ac:dyDescent="0.3">
      <c r="A36" s="141" t="s">
        <v>193</v>
      </c>
      <c r="B36" s="171" t="s">
        <v>185</v>
      </c>
      <c r="C36" s="262" t="s">
        <v>197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194</v>
      </c>
      <c r="J36" s="142" t="s">
        <v>184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x14ac:dyDescent="0.3">
      <c r="A37" s="141" t="s">
        <v>193</v>
      </c>
      <c r="B37" s="171" t="s">
        <v>185</v>
      </c>
      <c r="C37" s="262" t="s">
        <v>197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194</v>
      </c>
      <c r="J37" s="142" t="s">
        <v>184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x14ac:dyDescent="0.3">
      <c r="A38" s="141" t="s">
        <v>193</v>
      </c>
      <c r="B38" s="171" t="s">
        <v>185</v>
      </c>
      <c r="C38" s="262" t="s">
        <v>197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194</v>
      </c>
      <c r="J38" s="142" t="s">
        <v>184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x14ac:dyDescent="0.3">
      <c r="A39" s="141" t="s">
        <v>193</v>
      </c>
      <c r="B39" s="171" t="s">
        <v>185</v>
      </c>
      <c r="C39" s="262" t="s">
        <v>197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194</v>
      </c>
      <c r="J39" s="142" t="s">
        <v>184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x14ac:dyDescent="0.3">
      <c r="A40" s="141" t="s">
        <v>193</v>
      </c>
      <c r="B40" s="171" t="s">
        <v>185</v>
      </c>
      <c r="C40" s="262" t="s">
        <v>197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194</v>
      </c>
      <c r="J40" s="142" t="s">
        <v>184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x14ac:dyDescent="0.3">
      <c r="A41" s="141" t="s">
        <v>193</v>
      </c>
      <c r="B41" s="171" t="s">
        <v>185</v>
      </c>
      <c r="C41" s="262" t="s">
        <v>197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194</v>
      </c>
      <c r="J41" s="142" t="s">
        <v>184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x14ac:dyDescent="0.3">
      <c r="A42" s="141" t="s">
        <v>193</v>
      </c>
      <c r="B42" s="171" t="s">
        <v>185</v>
      </c>
      <c r="C42" s="262" t="s">
        <v>197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194</v>
      </c>
      <c r="J42" s="142" t="s">
        <v>184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x14ac:dyDescent="0.3">
      <c r="A43" s="141" t="s">
        <v>193</v>
      </c>
      <c r="B43" s="171" t="s">
        <v>185</v>
      </c>
      <c r="C43" s="262" t="s">
        <v>197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194</v>
      </c>
      <c r="J43" s="142" t="s">
        <v>184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x14ac:dyDescent="0.3">
      <c r="A44" s="141" t="s">
        <v>193</v>
      </c>
      <c r="B44" s="171" t="s">
        <v>185</v>
      </c>
      <c r="C44" s="262" t="s">
        <v>197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194</v>
      </c>
      <c r="J44" s="142" t="s">
        <v>184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x14ac:dyDescent="0.3">
      <c r="A45" s="141" t="s">
        <v>193</v>
      </c>
      <c r="B45" s="171" t="s">
        <v>185</v>
      </c>
      <c r="C45" s="262" t="s">
        <v>197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194</v>
      </c>
      <c r="J45" s="142" t="s">
        <v>184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x14ac:dyDescent="0.3">
      <c r="A46" s="141" t="s">
        <v>193</v>
      </c>
      <c r="B46" s="171" t="s">
        <v>185</v>
      </c>
      <c r="C46" s="262" t="s">
        <v>197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194</v>
      </c>
      <c r="J46" s="142" t="s">
        <v>184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x14ac:dyDescent="0.3">
      <c r="A47" s="141" t="s">
        <v>193</v>
      </c>
      <c r="B47" s="171" t="s">
        <v>185</v>
      </c>
      <c r="C47" s="262" t="s">
        <v>197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194</v>
      </c>
      <c r="J47" s="142" t="s">
        <v>184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x14ac:dyDescent="0.3">
      <c r="A48" s="141" t="s">
        <v>193</v>
      </c>
      <c r="B48" s="171" t="s">
        <v>185</v>
      </c>
      <c r="C48" s="262" t="s">
        <v>197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194</v>
      </c>
      <c r="J48" s="142" t="s">
        <v>184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193</v>
      </c>
      <c r="B49" s="171" t="s">
        <v>185</v>
      </c>
      <c r="C49" s="262" t="s">
        <v>197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194</v>
      </c>
      <c r="J49" s="142" t="s">
        <v>184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198</v>
      </c>
      <c r="B50" s="194" t="str">
        <f>""</f>
        <v/>
      </c>
      <c r="C50" s="194"/>
      <c r="D50" s="193" t="s">
        <v>189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idden="1" x14ac:dyDescent="0.3">
      <c r="E55" s="136"/>
    </row>
    <row r="56" spans="1:95" hidden="1" x14ac:dyDescent="0.3">
      <c r="E56" s="136"/>
      <c r="L56" s="236" t="s">
        <v>199</v>
      </c>
      <c r="AB56" s="134" t="s">
        <v>200</v>
      </c>
      <c r="AR56" s="134" t="s">
        <v>201</v>
      </c>
      <c r="BH56" s="134"/>
      <c r="CC56" s="134"/>
    </row>
    <row r="57" spans="1:95" hidden="1" x14ac:dyDescent="0.3">
      <c r="E57" s="136"/>
      <c r="BH57" s="134"/>
      <c r="CC57" s="134"/>
    </row>
    <row r="58" spans="1:95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idden="1" x14ac:dyDescent="0.3">
      <c r="E59" s="136"/>
      <c r="L59" s="370">
        <f>MAX(L58:Z58)</f>
        <v>0</v>
      </c>
      <c r="M59" s="371"/>
      <c r="N59" s="371"/>
      <c r="O59" s="371"/>
      <c r="P59" s="371"/>
      <c r="Q59" s="371"/>
      <c r="R59" s="371"/>
      <c r="S59" s="371"/>
      <c r="T59" s="371"/>
      <c r="U59" s="371"/>
      <c r="V59" s="371"/>
      <c r="W59" s="371"/>
      <c r="X59" s="371"/>
      <c r="Y59" s="371"/>
      <c r="Z59" s="371"/>
      <c r="AR59" s="372">
        <f>MAX(AR58:BF58)</f>
        <v>0.14000000000000001</v>
      </c>
      <c r="AS59" s="372"/>
      <c r="AT59" s="372"/>
      <c r="AU59" s="372"/>
      <c r="AV59" s="372"/>
      <c r="AW59" s="372"/>
      <c r="AX59" s="372"/>
      <c r="AY59" s="372"/>
      <c r="AZ59" s="372"/>
      <c r="BA59" s="372"/>
      <c r="BB59" s="372"/>
      <c r="BC59" s="372"/>
      <c r="BD59" s="372"/>
      <c r="BE59" s="372"/>
      <c r="BF59" s="372"/>
      <c r="BH59" s="134"/>
      <c r="CC59" s="134"/>
    </row>
    <row r="60" spans="1:95" hidden="1" x14ac:dyDescent="0.3">
      <c r="E60" s="136"/>
      <c r="AB60" s="134" t="s">
        <v>202</v>
      </c>
    </row>
    <row r="61" spans="1:95" hidden="1" x14ac:dyDescent="0.3">
      <c r="E61" s="136"/>
      <c r="AB61" s="137">
        <f>AB58</f>
        <v>0</v>
      </c>
      <c r="AC61" s="137">
        <f>AB61</f>
        <v>0</v>
      </c>
    </row>
    <row r="62" spans="1:95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idden="1" x14ac:dyDescent="0.3">
      <c r="E72" s="136"/>
      <c r="AB72" s="137">
        <f>AM58</f>
        <v>0</v>
      </c>
      <c r="AC72" s="18" t="str">
        <f t="shared" si="135"/>
        <v/>
      </c>
    </row>
    <row r="73" spans="5:29" hidden="1" x14ac:dyDescent="0.3">
      <c r="E73" s="136"/>
      <c r="AB73" s="137">
        <f>AN58</f>
        <v>0</v>
      </c>
      <c r="AC73" s="18" t="str">
        <f t="shared" si="135"/>
        <v/>
      </c>
    </row>
    <row r="74" spans="5:29" hidden="1" x14ac:dyDescent="0.3">
      <c r="E74" s="136"/>
      <c r="AB74" s="137">
        <f>AO58</f>
        <v>0</v>
      </c>
      <c r="AC74" s="18" t="str">
        <f t="shared" si="135"/>
        <v/>
      </c>
    </row>
    <row r="75" spans="5:29" hidden="1" x14ac:dyDescent="0.3">
      <c r="E75" s="136"/>
      <c r="AB75" s="137">
        <f>AP58</f>
        <v>0</v>
      </c>
      <c r="AC75" s="18" t="str">
        <f t="shared" si="135"/>
        <v/>
      </c>
    </row>
    <row r="76" spans="5:29" hidden="1" x14ac:dyDescent="0.3">
      <c r="E76" s="136"/>
    </row>
    <row r="77" spans="5:29" hidden="1" x14ac:dyDescent="0.3">
      <c r="E77" s="136"/>
    </row>
    <row r="78" spans="5:29" hidden="1" x14ac:dyDescent="0.3">
      <c r="E78" s="136"/>
    </row>
    <row r="79" spans="5:29" hidden="1" x14ac:dyDescent="0.3">
      <c r="E79" s="136"/>
    </row>
    <row r="80" spans="5:29" hidden="1" x14ac:dyDescent="0.3">
      <c r="E80" s="136"/>
    </row>
    <row r="81" spans="5:5" hidden="1" x14ac:dyDescent="0.3">
      <c r="E81" s="136"/>
    </row>
    <row r="82" spans="5:5" hidden="1" x14ac:dyDescent="0.3">
      <c r="E82" s="136"/>
    </row>
    <row r="83" spans="5:5" hidden="1" x14ac:dyDescent="0.3">
      <c r="E83" s="136"/>
    </row>
    <row r="84" spans="5:5" hidden="1" x14ac:dyDescent="0.3">
      <c r="E84" s="136"/>
    </row>
    <row r="85" spans="5:5" hidden="1" x14ac:dyDescent="0.3">
      <c r="E85" s="136"/>
    </row>
    <row r="86" spans="5:5" hidden="1" x14ac:dyDescent="0.3">
      <c r="E86" s="136"/>
    </row>
    <row r="87" spans="5:5" hidden="1" x14ac:dyDescent="0.3">
      <c r="E87" s="136"/>
    </row>
    <row r="88" spans="5:5" hidden="1" x14ac:dyDescent="0.3">
      <c r="E88" s="136"/>
    </row>
    <row r="89" spans="5:5" hidden="1" x14ac:dyDescent="0.3">
      <c r="E89" s="136"/>
    </row>
    <row r="90" spans="5:5" hidden="1" x14ac:dyDescent="0.3">
      <c r="E90" s="136"/>
    </row>
    <row r="91" spans="5:5" hidden="1" x14ac:dyDescent="0.3">
      <c r="E91" s="136"/>
    </row>
    <row r="92" spans="5:5" hidden="1" x14ac:dyDescent="0.3">
      <c r="E92" s="136"/>
    </row>
    <row r="93" spans="5:5" hidden="1" x14ac:dyDescent="0.3">
      <c r="E93" s="136"/>
    </row>
    <row r="94" spans="5:5" hidden="1" x14ac:dyDescent="0.3">
      <c r="E94" s="136"/>
    </row>
    <row r="95" spans="5:5" hidden="1" x14ac:dyDescent="0.3">
      <c r="E95" s="136"/>
    </row>
    <row r="96" spans="5:5" hidden="1" x14ac:dyDescent="0.3">
      <c r="E96" s="136"/>
    </row>
    <row r="97" spans="5:5" hidden="1" x14ac:dyDescent="0.3">
      <c r="E97" s="136"/>
    </row>
    <row r="98" spans="5:5" hidden="1" x14ac:dyDescent="0.3">
      <c r="E98" s="136"/>
    </row>
    <row r="99" spans="5:5" hidden="1" x14ac:dyDescent="0.3">
      <c r="E99" s="136"/>
    </row>
    <row r="100" spans="5:5" hidden="1" x14ac:dyDescent="0.3">
      <c r="E100" s="136"/>
    </row>
    <row r="101" spans="5:5" hidden="1" x14ac:dyDescent="0.3">
      <c r="E101" s="136"/>
    </row>
    <row r="102" spans="5:5" hidden="1" x14ac:dyDescent="0.3">
      <c r="E102" s="136"/>
    </row>
    <row r="103" spans="5:5" hidden="1" x14ac:dyDescent="0.3">
      <c r="E103" s="136"/>
    </row>
    <row r="104" spans="5:5" hidden="1" x14ac:dyDescent="0.3">
      <c r="E104" s="136"/>
    </row>
    <row r="105" spans="5:5" hidden="1" x14ac:dyDescent="0.3">
      <c r="E105" s="136"/>
    </row>
    <row r="106" spans="5:5" hidden="1" x14ac:dyDescent="0.3">
      <c r="E106" s="136"/>
    </row>
    <row r="107" spans="5:5" hidden="1" x14ac:dyDescent="0.3">
      <c r="E107" s="136"/>
    </row>
    <row r="108" spans="5:5" hidden="1" x14ac:dyDescent="0.3">
      <c r="E108" s="136"/>
    </row>
    <row r="109" spans="5:5" hidden="1" x14ac:dyDescent="0.3">
      <c r="E109" s="136"/>
    </row>
    <row r="110" spans="5:5" hidden="1" x14ac:dyDescent="0.3">
      <c r="E110" s="136"/>
    </row>
    <row r="111" spans="5:5" hidden="1" x14ac:dyDescent="0.3">
      <c r="E111" s="136"/>
    </row>
    <row r="112" spans="5:5" hidden="1" x14ac:dyDescent="0.3">
      <c r="E112" s="136"/>
    </row>
    <row r="113" spans="5:5" hidden="1" x14ac:dyDescent="0.3">
      <c r="E113" s="136"/>
    </row>
    <row r="114" spans="5:5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203</v>
      </c>
      <c r="K1" s="5" t="s">
        <v>204</v>
      </c>
    </row>
    <row r="2" spans="1:19" s="5" customFormat="1" x14ac:dyDescent="0.25">
      <c r="C2" s="5" t="s">
        <v>205</v>
      </c>
    </row>
    <row r="3" spans="1:19" s="5" customFormat="1" x14ac:dyDescent="0.25">
      <c r="C3" s="5" t="s">
        <v>206</v>
      </c>
    </row>
    <row r="4" spans="1:19" s="5" customFormat="1" x14ac:dyDescent="0.25">
      <c r="C4" s="5" t="s">
        <v>207</v>
      </c>
    </row>
    <row r="5" spans="1:19" s="5" customFormat="1" x14ac:dyDescent="0.25">
      <c r="A5" s="6" t="s">
        <v>208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209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210</v>
      </c>
      <c r="B7" s="5" t="s">
        <v>51</v>
      </c>
      <c r="C7" s="5" t="s">
        <v>211</v>
      </c>
    </row>
    <row r="8" spans="1:19" s="5" customFormat="1" x14ac:dyDescent="0.25">
      <c r="A8" s="5" t="s">
        <v>142</v>
      </c>
      <c r="B8" s="5" t="s">
        <v>51</v>
      </c>
      <c r="C8" s="5" t="s">
        <v>212</v>
      </c>
    </row>
    <row r="9" spans="1:19" s="5" customFormat="1" x14ac:dyDescent="0.25">
      <c r="C9" s="5" t="s">
        <v>213</v>
      </c>
      <c r="N9" s="381" t="s">
        <v>214</v>
      </c>
      <c r="O9" s="381"/>
      <c r="P9" s="215"/>
    </row>
    <row r="10" spans="1:19" s="5" customFormat="1" x14ac:dyDescent="0.25">
      <c r="A10" s="8" t="s">
        <v>215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188</v>
      </c>
      <c r="O10" s="12" t="s">
        <v>216</v>
      </c>
      <c r="P10" s="12" t="s">
        <v>188</v>
      </c>
      <c r="Q10" s="12" t="s">
        <v>217</v>
      </c>
      <c r="R10" s="12" t="s">
        <v>188</v>
      </c>
      <c r="S10" s="12" t="s">
        <v>218</v>
      </c>
    </row>
    <row r="11" spans="1:19" s="5" customFormat="1" x14ac:dyDescent="0.25">
      <c r="A11" s="5" t="s">
        <v>219</v>
      </c>
      <c r="B11" s="5" t="s">
        <v>51</v>
      </c>
      <c r="C11" s="5" t="s">
        <v>220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221</v>
      </c>
      <c r="B12" s="5" t="s">
        <v>51</v>
      </c>
      <c r="C12" s="5" t="s">
        <v>222</v>
      </c>
      <c r="J12" s="5" t="s">
        <v>223</v>
      </c>
      <c r="K12" s="5">
        <f>11.5*10^-6</f>
        <v>1.15E-5</v>
      </c>
      <c r="L12" s="5" t="s">
        <v>224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225</v>
      </c>
      <c r="B13" s="5" t="s">
        <v>51</v>
      </c>
      <c r="C13" s="5" t="s">
        <v>226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227</v>
      </c>
      <c r="B14" s="5" t="s">
        <v>51</v>
      </c>
      <c r="C14" s="5" t="s">
        <v>228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229</v>
      </c>
      <c r="B15" s="5" t="s">
        <v>51</v>
      </c>
      <c r="C15" s="17" t="e">
        <f>'INPUT DATA'!E26*'TABEL DATA'!M5</f>
        <v>#VALUE!</v>
      </c>
      <c r="D15" s="5" t="s">
        <v>103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9" t="s">
        <v>230</v>
      </c>
      <c r="B16" s="379"/>
      <c r="C16" s="10" t="s">
        <v>231</v>
      </c>
      <c r="D16" s="10" t="s">
        <v>232</v>
      </c>
      <c r="E16" s="10" t="s">
        <v>233</v>
      </c>
      <c r="F16" s="10" t="s">
        <v>234</v>
      </c>
      <c r="G16" s="205" t="s">
        <v>235</v>
      </c>
      <c r="H16" s="10" t="s">
        <v>236</v>
      </c>
      <c r="I16" s="10" t="s">
        <v>237</v>
      </c>
      <c r="J16" s="10" t="s">
        <v>238</v>
      </c>
      <c r="K16" s="10" t="s">
        <v>239</v>
      </c>
      <c r="L16" s="10" t="s">
        <v>240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80" t="s">
        <v>241</v>
      </c>
      <c r="B17" s="380"/>
      <c r="C17" s="11" t="s">
        <v>242</v>
      </c>
      <c r="D17" s="11" t="s">
        <v>243</v>
      </c>
      <c r="E17" s="11" t="s">
        <v>244</v>
      </c>
      <c r="F17" s="11" t="s">
        <v>245</v>
      </c>
      <c r="G17" s="11" t="s">
        <v>246</v>
      </c>
      <c r="H17" s="11" t="s">
        <v>247</v>
      </c>
      <c r="I17" s="11" t="s">
        <v>248</v>
      </c>
      <c r="J17" s="11" t="s">
        <v>249</v>
      </c>
      <c r="K17" s="11" t="s">
        <v>250</v>
      </c>
      <c r="L17" s="11" t="s">
        <v>251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7" t="s">
        <v>252</v>
      </c>
      <c r="B18" s="378"/>
      <c r="C18" s="206" t="s">
        <v>253</v>
      </c>
      <c r="D18" s="206" t="s">
        <v>254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7" t="s">
        <v>255</v>
      </c>
      <c r="B19" s="378"/>
      <c r="C19" s="206" t="s">
        <v>253</v>
      </c>
      <c r="D19" s="206" t="s">
        <v>256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7" t="s">
        <v>257</v>
      </c>
      <c r="B20" s="378"/>
      <c r="C20" s="206" t="s">
        <v>253</v>
      </c>
      <c r="D20" s="206" t="s">
        <v>254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7" t="s">
        <v>258</v>
      </c>
      <c r="B21" s="378"/>
      <c r="C21" s="206" t="s">
        <v>259</v>
      </c>
      <c r="D21" s="206" t="s">
        <v>256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 t="e">
        <f>C15*1000*K12</f>
        <v>#VALUE!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7" t="s">
        <v>260</v>
      </c>
      <c r="B22" s="378"/>
      <c r="C22" s="206" t="s">
        <v>259</v>
      </c>
      <c r="D22" s="206" t="s">
        <v>256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7" t="s">
        <v>261</v>
      </c>
      <c r="B23" s="378"/>
      <c r="C23" s="206" t="s">
        <v>262</v>
      </c>
      <c r="D23" s="206" t="s">
        <v>256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7" t="s">
        <v>263</v>
      </c>
      <c r="B24" s="378"/>
      <c r="C24" s="206" t="s">
        <v>253</v>
      </c>
      <c r="D24" s="206" t="s">
        <v>256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7" t="s">
        <v>264</v>
      </c>
      <c r="B25" s="378"/>
      <c r="C25" s="206" t="s">
        <v>253</v>
      </c>
      <c r="D25" s="206" t="s">
        <v>256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7" t="s">
        <v>265</v>
      </c>
      <c r="B26" s="378"/>
      <c r="C26" s="206" t="s">
        <v>253</v>
      </c>
      <c r="D26" s="206" t="s">
        <v>256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266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267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268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269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270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216</v>
      </c>
      <c r="O35" s="138" t="e">
        <f>O33</f>
        <v>#VALUE!</v>
      </c>
    </row>
    <row r="36" spans="14:19" x14ac:dyDescent="0.25">
      <c r="N36" s="18" t="s">
        <v>217</v>
      </c>
      <c r="O36" s="138" t="e">
        <f>Q33</f>
        <v>#VALUE!</v>
      </c>
    </row>
    <row r="37" spans="14:19" x14ac:dyDescent="0.25">
      <c r="N37" s="18" t="s">
        <v>218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271</v>
      </c>
      <c r="O42" s="219" t="e">
        <f ca="1">IF(J31&lt;O40,O40,J31)</f>
        <v>#NAME?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19" zoomScale="115" zoomScaleSheetLayoutView="115" workbookViewId="0">
      <selection activeCell="K37" sqref="K37:L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57" t="s">
        <v>119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</row>
    <row r="2" spans="1:29" ht="13.95" customHeight="1" x14ac:dyDescent="0.25">
      <c r="A2" s="364" t="s">
        <v>272</v>
      </c>
      <c r="B2" s="364"/>
      <c r="C2" s="364"/>
      <c r="D2" s="364"/>
      <c r="E2" s="53" t="s">
        <v>51</v>
      </c>
      <c r="F2" s="359" t="str">
        <f>SERTIFIKAT!C2</f>
        <v>PAS-K25-999999</v>
      </c>
      <c r="G2" s="359"/>
      <c r="H2" s="359"/>
      <c r="I2" s="359"/>
      <c r="J2" s="359"/>
      <c r="K2" s="359"/>
      <c r="L2" s="359"/>
      <c r="M2" s="359"/>
      <c r="N2" s="359"/>
      <c r="O2" s="394" t="s">
        <v>121</v>
      </c>
      <c r="P2" s="394"/>
      <c r="Q2" s="360" t="s">
        <v>51</v>
      </c>
      <c r="R2" s="358">
        <v>2</v>
      </c>
      <c r="S2" s="360" t="s">
        <v>122</v>
      </c>
      <c r="T2" s="360"/>
      <c r="U2" s="358">
        <v>2</v>
      </c>
      <c r="W2" s="45">
        <v>0</v>
      </c>
    </row>
    <row r="3" spans="1:29" ht="13.95" customHeight="1" x14ac:dyDescent="0.25">
      <c r="A3" s="364" t="s">
        <v>273</v>
      </c>
      <c r="B3" s="364"/>
      <c r="C3" s="364"/>
      <c r="D3" s="364"/>
      <c r="E3" s="53" t="s">
        <v>51</v>
      </c>
      <c r="F3" s="45" t="str">
        <f>IF('INPUT DATA'!E39="Lab. Kalibrasi PT Pananjung Anugrah Solution.",CONCATENATE('INPUT DATA'!E37," ",'INPUT DATA'!F37," ",'INPUT DATA'!H37),LAMPIRAN!F5)</f>
        <v>22 4 2025</v>
      </c>
      <c r="O3" s="395" t="s">
        <v>124</v>
      </c>
      <c r="P3" s="395"/>
      <c r="Q3" s="360"/>
      <c r="R3" s="358"/>
      <c r="S3" s="361" t="s">
        <v>125</v>
      </c>
      <c r="T3" s="361"/>
      <c r="U3" s="358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64" t="s">
        <v>274</v>
      </c>
      <c r="B5" s="364"/>
      <c r="C5" s="364"/>
      <c r="D5" s="364"/>
      <c r="E5" s="53" t="s">
        <v>51</v>
      </c>
      <c r="F5" s="45" t="str">
        <f>CONCATENATE('INPUT DATA'!E38," ",'INPUT DATA'!F38," ",'INPUT DATA'!H38)</f>
        <v>22 4 2025</v>
      </c>
      <c r="O5" s="59"/>
      <c r="P5" s="396" t="s">
        <v>275</v>
      </c>
      <c r="Q5" s="397"/>
      <c r="R5" s="397"/>
      <c r="S5" s="397"/>
      <c r="T5" s="397"/>
      <c r="U5" s="398"/>
      <c r="W5" s="45">
        <v>0</v>
      </c>
    </row>
    <row r="6" spans="1:29" ht="13.95" customHeight="1" x14ac:dyDescent="0.25">
      <c r="A6" s="364" t="s">
        <v>276</v>
      </c>
      <c r="B6" s="364"/>
      <c r="C6" s="364"/>
      <c r="D6" s="364"/>
      <c r="E6" s="53" t="s">
        <v>51</v>
      </c>
      <c r="F6" s="369" t="str">
        <f>'INPUT DATA'!E39</f>
        <v>lab</v>
      </c>
      <c r="G6" s="369"/>
      <c r="H6" s="369"/>
      <c r="I6" s="369"/>
      <c r="J6" s="369"/>
      <c r="K6" s="369"/>
      <c r="L6" s="369"/>
      <c r="M6" s="369"/>
      <c r="N6" s="369"/>
      <c r="O6" s="386"/>
      <c r="P6" s="56" t="s">
        <v>277</v>
      </c>
      <c r="Q6" s="54" t="s">
        <v>51</v>
      </c>
      <c r="R6" s="57" t="e">
        <f ca="1">"("&amp;FIXED('INPUT DATA'!H42,1)</f>
        <v>#N/A</v>
      </c>
      <c r="S6" s="57" t="s">
        <v>89</v>
      </c>
      <c r="T6" s="58" t="str">
        <f>FIXED('INPUT DATA'!J42,1)&amp;")"</f>
        <v>0.6)</v>
      </c>
      <c r="U6" s="59" t="s">
        <v>278</v>
      </c>
      <c r="W6" s="45">
        <v>0</v>
      </c>
    </row>
    <row r="7" spans="1:29" ht="13.95" customHeight="1" x14ac:dyDescent="0.25">
      <c r="A7" s="364"/>
      <c r="B7" s="364"/>
      <c r="C7" s="364"/>
      <c r="D7" s="364"/>
      <c r="E7" s="53"/>
      <c r="F7" s="369"/>
      <c r="G7" s="369"/>
      <c r="H7" s="369"/>
      <c r="I7" s="369"/>
      <c r="J7" s="369"/>
      <c r="K7" s="369"/>
      <c r="L7" s="369"/>
      <c r="M7" s="369"/>
      <c r="N7" s="369"/>
      <c r="O7" s="386"/>
      <c r="P7" s="60" t="s">
        <v>279</v>
      </c>
      <c r="Q7" s="61" t="s">
        <v>51</v>
      </c>
      <c r="R7" s="62" t="e">
        <f ca="1">"("&amp;FIXED('INPUT DATA'!H43,1)</f>
        <v>#N/A</v>
      </c>
      <c r="S7" s="62" t="s">
        <v>89</v>
      </c>
      <c r="T7" s="63" t="str">
        <f>FIXED('INPUT DATA'!J43,1)&amp;")"</f>
        <v>2.8)</v>
      </c>
      <c r="U7" s="64" t="s">
        <v>92</v>
      </c>
      <c r="W7" s="45">
        <v>0</v>
      </c>
    </row>
    <row r="8" spans="1:29" ht="13.95" customHeight="1" x14ac:dyDescent="0.25">
      <c r="A8" s="364"/>
      <c r="B8" s="364"/>
      <c r="C8" s="364"/>
      <c r="D8" s="364"/>
      <c r="E8" s="53"/>
      <c r="F8" s="120"/>
      <c r="W8" s="45">
        <v>0</v>
      </c>
    </row>
    <row r="9" spans="1:29" ht="13.95" customHeight="1" x14ac:dyDescent="0.25">
      <c r="A9" s="365" t="s">
        <v>280</v>
      </c>
      <c r="B9" s="365"/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W9" s="45">
        <v>0</v>
      </c>
    </row>
    <row r="10" spans="1:29" ht="13.95" customHeight="1" x14ac:dyDescent="0.25">
      <c r="A10" s="382" t="s">
        <v>281</v>
      </c>
      <c r="B10" s="382"/>
      <c r="C10" s="382"/>
      <c r="D10" s="382"/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2"/>
      <c r="R10" s="382"/>
      <c r="S10" s="382"/>
      <c r="T10" s="382"/>
      <c r="U10" s="382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282</v>
      </c>
    </row>
    <row r="12" spans="1:29" ht="13.95" customHeight="1" x14ac:dyDescent="0.25">
      <c r="A12" s="65"/>
      <c r="B12" s="65"/>
      <c r="C12" s="65"/>
      <c r="D12" s="402" t="s">
        <v>283</v>
      </c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4"/>
      <c r="S12" s="65"/>
      <c r="T12" s="65"/>
      <c r="U12" s="65"/>
      <c r="W12" s="45" t="s">
        <v>282</v>
      </c>
      <c r="Y12" s="248" t="s">
        <v>283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90" t="s">
        <v>100</v>
      </c>
      <c r="E13" s="391"/>
      <c r="F13" s="391"/>
      <c r="G13" s="391"/>
      <c r="H13" s="392"/>
      <c r="I13" s="390" t="s">
        <v>96</v>
      </c>
      <c r="J13" s="391"/>
      <c r="K13" s="391"/>
      <c r="L13" s="391"/>
      <c r="M13" s="392"/>
      <c r="N13" s="390" t="s">
        <v>97</v>
      </c>
      <c r="O13" s="391"/>
      <c r="P13" s="391"/>
      <c r="Q13" s="391"/>
      <c r="R13" s="392"/>
      <c r="S13" s="71"/>
      <c r="T13" s="71"/>
      <c r="U13" s="71"/>
      <c r="W13" s="45" t="s">
        <v>282</v>
      </c>
      <c r="Y13" s="221" t="s">
        <v>284</v>
      </c>
      <c r="Z13" s="222"/>
      <c r="AB13" s="222" t="s">
        <v>285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3" t="str">
        <f>"( "&amp;'TABEL DATA'!K5&amp;" )"</f>
        <v>( mm )</v>
      </c>
      <c r="E14" s="384"/>
      <c r="F14" s="384"/>
      <c r="G14" s="384"/>
      <c r="H14" s="385"/>
      <c r="I14" s="383" t="str">
        <f>"( "&amp;'TABEL DATA'!L5&amp;" )"</f>
        <v>( μm )</v>
      </c>
      <c r="J14" s="384"/>
      <c r="K14" s="384"/>
      <c r="L14" s="384"/>
      <c r="M14" s="385"/>
      <c r="N14" s="383" t="str">
        <f>I14</f>
        <v>( μm )</v>
      </c>
      <c r="O14" s="384"/>
      <c r="P14" s="384"/>
      <c r="Q14" s="384"/>
      <c r="R14" s="385"/>
      <c r="S14" s="71"/>
      <c r="T14" s="71"/>
      <c r="U14" s="71"/>
      <c r="V14" s="66"/>
      <c r="W14" s="45" t="s">
        <v>282</v>
      </c>
      <c r="X14" s="66"/>
      <c r="Y14" s="240" t="s">
        <v>103</v>
      </c>
      <c r="Z14" s="240">
        <v>2</v>
      </c>
      <c r="AA14" s="412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393" t="str">
        <f>FIXED('INPUT DATA'!Q52,AA14)</f>
        <v>0.00</v>
      </c>
      <c r="E15" s="393"/>
      <c r="F15" s="393"/>
      <c r="G15" s="393"/>
      <c r="H15" s="393"/>
      <c r="I15" s="393" t="str">
        <f>FIXED('INPUT DATA'!R52,AA14)</f>
        <v>0.00</v>
      </c>
      <c r="J15" s="393"/>
      <c r="K15" s="393"/>
      <c r="L15" s="393"/>
      <c r="M15" s="393"/>
      <c r="N15" s="393" t="str">
        <f>FIXED('INPUT DATA'!S52,AA14)</f>
        <v>0.00</v>
      </c>
      <c r="O15" s="393"/>
      <c r="P15" s="393"/>
      <c r="Q15" s="393"/>
      <c r="R15" s="393"/>
      <c r="S15" s="45"/>
      <c r="T15" s="45"/>
      <c r="U15" s="45"/>
      <c r="V15" s="109"/>
      <c r="W15" s="45" t="s">
        <v>282</v>
      </c>
      <c r="X15" s="109"/>
      <c r="Y15" s="240" t="s">
        <v>113</v>
      </c>
      <c r="Z15" s="240">
        <v>3</v>
      </c>
      <c r="AA15" s="413"/>
    </row>
    <row r="16" spans="1:29" s="48" customFormat="1" ht="13.95" customHeight="1" x14ac:dyDescent="0.35">
      <c r="A16" s="71"/>
      <c r="B16" s="71"/>
      <c r="C16" s="71"/>
      <c r="D16" s="389"/>
      <c r="E16" s="389"/>
      <c r="F16" s="389"/>
      <c r="G16" s="389"/>
      <c r="H16" s="389"/>
      <c r="I16" s="389"/>
      <c r="J16" s="389"/>
      <c r="K16" s="389"/>
      <c r="L16" s="389"/>
      <c r="M16" s="389"/>
      <c r="N16" s="389"/>
      <c r="O16" s="389"/>
      <c r="P16" s="389"/>
      <c r="Q16" s="389"/>
      <c r="R16" s="389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9" t="s">
        <v>286</v>
      </c>
      <c r="E17" s="400"/>
      <c r="F17" s="400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1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90" t="s">
        <v>287</v>
      </c>
      <c r="E18" s="391"/>
      <c r="F18" s="391"/>
      <c r="G18" s="391"/>
      <c r="H18" s="392"/>
      <c r="I18" s="390" t="s">
        <v>107</v>
      </c>
      <c r="J18" s="391"/>
      <c r="K18" s="391"/>
      <c r="L18" s="391"/>
      <c r="M18" s="392"/>
      <c r="N18" s="390" t="s">
        <v>288</v>
      </c>
      <c r="O18" s="391"/>
      <c r="P18" s="391"/>
      <c r="Q18" s="391"/>
      <c r="R18" s="392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05" t="s">
        <v>289</v>
      </c>
      <c r="E19" s="406"/>
      <c r="F19" s="406"/>
      <c r="G19" s="406"/>
      <c r="H19" s="407"/>
      <c r="I19" s="405" t="s">
        <v>290</v>
      </c>
      <c r="J19" s="406"/>
      <c r="K19" s="406"/>
      <c r="L19" s="406"/>
      <c r="M19" s="407"/>
      <c r="N19" s="405" t="s">
        <v>291</v>
      </c>
      <c r="O19" s="406"/>
      <c r="P19" s="406"/>
      <c r="Q19" s="406"/>
      <c r="R19" s="407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3" t="str">
        <f>"( "&amp;'TABEL DATA'!K5&amp;" )"</f>
        <v>( mm )</v>
      </c>
      <c r="E20" s="384"/>
      <c r="F20" s="384"/>
      <c r="G20" s="384"/>
      <c r="H20" s="385"/>
      <c r="I20" s="383" t="str">
        <f>D20</f>
        <v>( mm )</v>
      </c>
      <c r="J20" s="384"/>
      <c r="K20" s="384"/>
      <c r="L20" s="384"/>
      <c r="M20" s="385"/>
      <c r="N20" s="383" t="str">
        <f>D20</f>
        <v>( mm )</v>
      </c>
      <c r="O20" s="384"/>
      <c r="P20" s="384"/>
      <c r="Q20" s="384"/>
      <c r="R20" s="385"/>
      <c r="S20" s="71"/>
      <c r="T20" s="71"/>
      <c r="U20" s="71"/>
      <c r="V20" s="66"/>
      <c r="W20" s="45">
        <v>0</v>
      </c>
      <c r="X20" s="66"/>
      <c r="Y20" s="248" t="s">
        <v>286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8" t="str">
        <f>IF('INPUT DATA'!Q58="","",FIXED('INPUT DATA'!Q58,$AA$22))</f>
        <v>0.000</v>
      </c>
      <c r="E21" s="388"/>
      <c r="F21" s="388"/>
      <c r="G21" s="388"/>
      <c r="H21" s="388"/>
      <c r="I21" s="388" t="str">
        <f>IF(D21="","",FIXED('INPUT DATA'!R58,$AA$22))</f>
        <v>34.800</v>
      </c>
      <c r="J21" s="388"/>
      <c r="K21" s="388"/>
      <c r="L21" s="388"/>
      <c r="M21" s="388"/>
      <c r="N21" s="388" t="str">
        <f>IF(D21="","",FIXED('INPUT DATA'!S58,$AA$22))</f>
        <v>-34.800</v>
      </c>
      <c r="O21" s="388"/>
      <c r="P21" s="388"/>
      <c r="Q21" s="388"/>
      <c r="R21" s="388"/>
      <c r="S21" s="54"/>
      <c r="T21" s="54"/>
      <c r="U21" s="54"/>
      <c r="V21" s="74"/>
      <c r="W21" s="45">
        <v>1</v>
      </c>
      <c r="X21" s="220"/>
      <c r="Y21" s="221" t="s">
        <v>284</v>
      </c>
      <c r="Z21" s="222"/>
      <c r="AA21" s="222"/>
      <c r="AB21" s="222" t="s">
        <v>285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8" t="str">
        <f>IF('INPUT DATA'!Q59="","",FIXED('INPUT DATA'!Q59,$AA$22))</f>
        <v>2.500</v>
      </c>
      <c r="E22" s="388"/>
      <c r="F22" s="388"/>
      <c r="G22" s="388"/>
      <c r="H22" s="388"/>
      <c r="I22" s="388" t="str">
        <f>IF(D22="","",FIXED('INPUT DATA'!R59,$AA$22))</f>
        <v>7.000</v>
      </c>
      <c r="J22" s="388"/>
      <c r="K22" s="388"/>
      <c r="L22" s="388"/>
      <c r="M22" s="388"/>
      <c r="N22" s="388" t="str">
        <f>IF(D22="","",FIXED('INPUT DATA'!S59,$AA$22))</f>
        <v>-4.500</v>
      </c>
      <c r="O22" s="388"/>
      <c r="P22" s="388"/>
      <c r="Q22" s="388"/>
      <c r="R22" s="388"/>
      <c r="S22" s="54"/>
      <c r="T22" s="54"/>
      <c r="U22" s="54"/>
      <c r="V22" s="74"/>
      <c r="W22" s="45">
        <v>2</v>
      </c>
      <c r="X22" s="74"/>
      <c r="Y22" s="240" t="s">
        <v>103</v>
      </c>
      <c r="Z22" s="240">
        <v>3</v>
      </c>
      <c r="AA22" s="412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8" t="str">
        <f>IF('INPUT DATA'!Q60="","",FIXED('INPUT DATA'!Q60,$AA$22))</f>
        <v>5.100</v>
      </c>
      <c r="E23" s="388"/>
      <c r="F23" s="388"/>
      <c r="G23" s="388"/>
      <c r="H23" s="388"/>
      <c r="I23" s="388" t="str">
        <f>IF(D23="","",FIXED('INPUT DATA'!R60,$AA$22))</f>
        <v>21.000</v>
      </c>
      <c r="J23" s="388"/>
      <c r="K23" s="388"/>
      <c r="L23" s="388"/>
      <c r="M23" s="388"/>
      <c r="N23" s="388" t="str">
        <f>IF(D23="","",FIXED('INPUT DATA'!S60,$AA$22))</f>
        <v>-15.900</v>
      </c>
      <c r="O23" s="388"/>
      <c r="P23" s="388"/>
      <c r="Q23" s="388"/>
      <c r="R23" s="388"/>
      <c r="S23" s="54"/>
      <c r="T23" s="54"/>
      <c r="U23" s="54"/>
      <c r="V23" s="74"/>
      <c r="W23" s="45">
        <v>3</v>
      </c>
      <c r="X23" s="74"/>
      <c r="Y23" s="240" t="s">
        <v>113</v>
      </c>
      <c r="Z23" s="240">
        <v>5</v>
      </c>
      <c r="AA23" s="413"/>
      <c r="AB23" s="222"/>
    </row>
    <row r="24" spans="1:29" s="55" customFormat="1" ht="18" customHeight="1" x14ac:dyDescent="0.25">
      <c r="A24" s="54"/>
      <c r="B24" s="54"/>
      <c r="C24" s="54"/>
      <c r="D24" s="388" t="str">
        <f>IF('INPUT DATA'!Q61="","",FIXED('INPUT DATA'!Q61,$AA$22))</f>
        <v>7.700</v>
      </c>
      <c r="E24" s="388"/>
      <c r="F24" s="388"/>
      <c r="G24" s="388"/>
      <c r="H24" s="388"/>
      <c r="I24" s="388" t="str">
        <f>IF(D24="","",FIXED('INPUT DATA'!R61,$AA$22))</f>
        <v>7.000</v>
      </c>
      <c r="J24" s="388"/>
      <c r="K24" s="388"/>
      <c r="L24" s="388"/>
      <c r="M24" s="388"/>
      <c r="N24" s="388" t="str">
        <f>IF(D24="","",FIXED('INPUT DATA'!S61,$AA$22))</f>
        <v>0.700</v>
      </c>
      <c r="O24" s="388"/>
      <c r="P24" s="388"/>
      <c r="Q24" s="388"/>
      <c r="R24" s="388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8" t="str">
        <f>IF('INPUT DATA'!Q62="","",FIXED('INPUT DATA'!Q62,$AA$22))</f>
        <v>10.300</v>
      </c>
      <c r="E25" s="388"/>
      <c r="F25" s="388"/>
      <c r="G25" s="388"/>
      <c r="H25" s="388"/>
      <c r="I25" s="388" t="str">
        <f>IF(D25="","",FIXED('INPUT DATA'!R62,$AA$22))</f>
        <v>24.000</v>
      </c>
      <c r="J25" s="388"/>
      <c r="K25" s="388"/>
      <c r="L25" s="388"/>
      <c r="M25" s="388"/>
      <c r="N25" s="388" t="str">
        <f>IF(D25="","",FIXED('INPUT DATA'!S62,$AA$22))</f>
        <v>-13.700</v>
      </c>
      <c r="O25" s="388"/>
      <c r="P25" s="388"/>
      <c r="Q25" s="388"/>
      <c r="R25" s="388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8" t="str">
        <f>IF('INPUT DATA'!Q63="","",FIXED('INPUT DATA'!Q63,$AA$22))</f>
        <v>12.900</v>
      </c>
      <c r="E26" s="388"/>
      <c r="F26" s="388"/>
      <c r="G26" s="388"/>
      <c r="H26" s="388"/>
      <c r="I26" s="388" t="str">
        <f>IF(D26="","",FIXED('INPUT DATA'!R63,$AA$22))</f>
        <v>8.000</v>
      </c>
      <c r="J26" s="388"/>
      <c r="K26" s="388"/>
      <c r="L26" s="388"/>
      <c r="M26" s="388"/>
      <c r="N26" s="388" t="str">
        <f>IF(D26="","",FIXED('INPUT DATA'!S63,$AA$22))</f>
        <v>4.900</v>
      </c>
      <c r="O26" s="388"/>
      <c r="P26" s="388"/>
      <c r="Q26" s="388"/>
      <c r="R26" s="388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8" t="str">
        <f>IF('INPUT DATA'!Q64="","",FIXED('INPUT DATA'!Q64,$AA$22))</f>
        <v>15.000</v>
      </c>
      <c r="E27" s="388"/>
      <c r="F27" s="388"/>
      <c r="G27" s="388"/>
      <c r="H27" s="388"/>
      <c r="I27" s="388" t="str">
        <f>IF(D27="","",FIXED('INPUT DATA'!R64,$AA$22))</f>
        <v>24.000</v>
      </c>
      <c r="J27" s="388"/>
      <c r="K27" s="388"/>
      <c r="L27" s="388"/>
      <c r="M27" s="388"/>
      <c r="N27" s="388" t="str">
        <f>IF(D27="","",FIXED('INPUT DATA'!S64,$AA$22))</f>
        <v>-9.000</v>
      </c>
      <c r="O27" s="388"/>
      <c r="P27" s="388"/>
      <c r="Q27" s="388"/>
      <c r="R27" s="388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8" t="str">
        <f>IF('INPUT DATA'!Q65="","",FIXED('INPUT DATA'!Q65,$AA$22))</f>
        <v>17.600</v>
      </c>
      <c r="E28" s="388"/>
      <c r="F28" s="388"/>
      <c r="G28" s="388"/>
      <c r="H28" s="388"/>
      <c r="I28" s="388" t="str">
        <f>IF(D28="","",FIXED('INPUT DATA'!R65,$AA$22))</f>
        <v>23.000</v>
      </c>
      <c r="J28" s="388"/>
      <c r="K28" s="388"/>
      <c r="L28" s="388"/>
      <c r="M28" s="388"/>
      <c r="N28" s="388" t="str">
        <f>IF(D28="","",FIXED('INPUT DATA'!S65,$AA$22))</f>
        <v>-5.400</v>
      </c>
      <c r="O28" s="388"/>
      <c r="P28" s="388"/>
      <c r="Q28" s="388"/>
      <c r="R28" s="388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8" t="str">
        <f>IF('INPUT DATA'!Q66="","",FIXED('INPUT DATA'!Q66,$AA$22))</f>
        <v>20.200</v>
      </c>
      <c r="E29" s="388"/>
      <c r="F29" s="388"/>
      <c r="G29" s="388"/>
      <c r="H29" s="388"/>
      <c r="I29" s="388" t="str">
        <f>IF(D29="","",FIXED('INPUT DATA'!R66,$AA$22))</f>
        <v>8.000</v>
      </c>
      <c r="J29" s="388"/>
      <c r="K29" s="388"/>
      <c r="L29" s="388"/>
      <c r="M29" s="388"/>
      <c r="N29" s="388" t="str">
        <f>IF(D29="","",FIXED('INPUT DATA'!S66,$AA$22))</f>
        <v>12.200</v>
      </c>
      <c r="O29" s="388"/>
      <c r="P29" s="388"/>
      <c r="Q29" s="388"/>
      <c r="R29" s="388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8" t="str">
        <f>IF('INPUT DATA'!Q67="","",FIXED('INPUT DATA'!Q67,$AA$22))</f>
        <v>22.800</v>
      </c>
      <c r="E30" s="388"/>
      <c r="F30" s="388"/>
      <c r="G30" s="388"/>
      <c r="H30" s="388"/>
      <c r="I30" s="388" t="str">
        <f>IF(D30="","",FIXED('INPUT DATA'!R67,$AA$22))</f>
        <v>8.000</v>
      </c>
      <c r="J30" s="388"/>
      <c r="K30" s="388"/>
      <c r="L30" s="388"/>
      <c r="M30" s="388"/>
      <c r="N30" s="388" t="str">
        <f>IF(D30="","",FIXED('INPUT DATA'!S67,$AA$22))</f>
        <v>14.800</v>
      </c>
      <c r="O30" s="388"/>
      <c r="P30" s="388"/>
      <c r="Q30" s="388"/>
      <c r="R30" s="388"/>
      <c r="W30" s="45">
        <v>10</v>
      </c>
      <c r="Y30" s="55"/>
      <c r="Z30" s="241"/>
      <c r="AA30" s="241"/>
    </row>
    <row r="31" spans="1:29" s="54" customFormat="1" ht="18" customHeight="1" x14ac:dyDescent="0.25">
      <c r="D31" s="388" t="str">
        <f>IF('INPUT DATA'!Q68="","",FIXED('INPUT DATA'!Q68,$AA$22))</f>
        <v>25.000</v>
      </c>
      <c r="E31" s="388"/>
      <c r="F31" s="388"/>
      <c r="G31" s="388"/>
      <c r="H31" s="388"/>
      <c r="I31" s="388" t="str">
        <f>IF(D31="","",FIXED('INPUT DATA'!R68,$AA$22))</f>
        <v>6.200</v>
      </c>
      <c r="J31" s="388"/>
      <c r="K31" s="388"/>
      <c r="L31" s="388"/>
      <c r="M31" s="388"/>
      <c r="N31" s="388" t="str">
        <f>IF(D31="","",FIXED('INPUT DATA'!S68,$AA$22))</f>
        <v>18.800</v>
      </c>
      <c r="O31" s="388"/>
      <c r="P31" s="388"/>
      <c r="Q31" s="388"/>
      <c r="R31" s="388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8" t="str">
        <f>IF('INPUT DATA'!Q69="","",FIXED('INPUT DATA'!Q69,$AA$22))</f>
        <v/>
      </c>
      <c r="E32" s="388"/>
      <c r="F32" s="388"/>
      <c r="G32" s="388"/>
      <c r="H32" s="388"/>
      <c r="I32" s="388" t="str">
        <f>IF(D32="","",FIXED('INPUT DATA'!R69,$AA$22))</f>
        <v/>
      </c>
      <c r="J32" s="388"/>
      <c r="K32" s="388"/>
      <c r="L32" s="388"/>
      <c r="M32" s="388"/>
      <c r="N32" s="388" t="str">
        <f>IF(D32="","",FIXED('INPUT DATA'!S69,$AA$22))</f>
        <v/>
      </c>
      <c r="O32" s="388"/>
      <c r="P32" s="388"/>
      <c r="Q32" s="388"/>
      <c r="R32" s="388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8" t="str">
        <f>IF('INPUT DATA'!Q70="","",FIXED('INPUT DATA'!Q70,$AA$22))</f>
        <v/>
      </c>
      <c r="E33" s="388"/>
      <c r="F33" s="388"/>
      <c r="G33" s="388"/>
      <c r="H33" s="388"/>
      <c r="I33" s="388" t="str">
        <f>IF(D33="","",FIXED('INPUT DATA'!R70,$AA$22))</f>
        <v/>
      </c>
      <c r="J33" s="388"/>
      <c r="K33" s="388"/>
      <c r="L33" s="388"/>
      <c r="M33" s="388"/>
      <c r="N33" s="388" t="str">
        <f>IF(D33="","",FIXED('INPUT DATA'!S70,$AA$22))</f>
        <v/>
      </c>
      <c r="O33" s="388"/>
      <c r="P33" s="388"/>
      <c r="Q33" s="388"/>
      <c r="R33" s="388"/>
      <c r="V33" s="74"/>
      <c r="W33" s="45">
        <v>13</v>
      </c>
      <c r="X33" s="74"/>
    </row>
    <row r="34" spans="1:38" s="54" customFormat="1" ht="18" hidden="1" customHeight="1" x14ac:dyDescent="0.25">
      <c r="D34" s="388" t="str">
        <f>IF('INPUT DATA'!Q71="","",FIXED('INPUT DATA'!Q71,$AA$22))</f>
        <v/>
      </c>
      <c r="E34" s="388"/>
      <c r="F34" s="388"/>
      <c r="G34" s="388"/>
      <c r="H34" s="388"/>
      <c r="I34" s="388" t="str">
        <f>IF(D34="","",FIXED('INPUT DATA'!R71,$AA$22))</f>
        <v/>
      </c>
      <c r="J34" s="388"/>
      <c r="K34" s="388"/>
      <c r="L34" s="388"/>
      <c r="M34" s="388"/>
      <c r="N34" s="388" t="str">
        <f>IF(D34="","",FIXED('INPUT DATA'!S71,$AA$22))</f>
        <v/>
      </c>
      <c r="O34" s="388"/>
      <c r="P34" s="388"/>
      <c r="Q34" s="388"/>
      <c r="R34" s="388"/>
      <c r="V34" s="74"/>
      <c r="W34" s="45">
        <v>14</v>
      </c>
      <c r="X34" s="74"/>
    </row>
    <row r="35" spans="1:38" s="54" customFormat="1" ht="18" hidden="1" customHeight="1" x14ac:dyDescent="0.25">
      <c r="D35" s="388" t="str">
        <f>IF('INPUT DATA'!Q72="","",FIXED('INPUT DATA'!Q72,$AA$22))</f>
        <v/>
      </c>
      <c r="E35" s="388"/>
      <c r="F35" s="388"/>
      <c r="G35" s="388"/>
      <c r="H35" s="388"/>
      <c r="I35" s="388" t="str">
        <f>IF(D35="","",FIXED('INPUT DATA'!R72,$AA$22))</f>
        <v/>
      </c>
      <c r="J35" s="388"/>
      <c r="K35" s="388"/>
      <c r="L35" s="388"/>
      <c r="M35" s="388"/>
      <c r="N35" s="388" t="str">
        <f>IF(D35="","",FIXED('INPUT DATA'!S72,$AA$22))</f>
        <v/>
      </c>
      <c r="O35" s="388"/>
      <c r="P35" s="388"/>
      <c r="Q35" s="388"/>
      <c r="R35" s="388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292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409" t="s">
        <v>293</v>
      </c>
      <c r="E37" s="409"/>
      <c r="F37" s="409"/>
      <c r="G37" s="409"/>
      <c r="H37" s="409"/>
      <c r="I37" s="409"/>
      <c r="J37" s="408" t="s">
        <v>89</v>
      </c>
      <c r="K37" s="411" t="e">
        <f ca="1">IF(Y37="","",ROUND(Y37,IF(Y37&lt;10,ABS(INT(LOG10(ABS(Y37))))+1,0)))</f>
        <v>#NAME?</v>
      </c>
      <c r="L37" s="411"/>
      <c r="M37" s="359" t="str">
        <f>'TABEL DATA'!L5</f>
        <v>μm</v>
      </c>
      <c r="N37" s="359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410" t="s">
        <v>294</v>
      </c>
      <c r="E38" s="410"/>
      <c r="F38" s="410"/>
      <c r="G38" s="410"/>
      <c r="H38" s="410"/>
      <c r="I38" s="410"/>
      <c r="J38" s="360"/>
      <c r="K38" s="411"/>
      <c r="L38" s="411"/>
      <c r="M38" s="359"/>
      <c r="N38" s="359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295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296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297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298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299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300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301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387" t="s">
        <v>302</v>
      </c>
      <c r="B52" s="387"/>
      <c r="C52" s="387"/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303</v>
      </c>
      <c r="B1" s="94" t="s">
        <v>304</v>
      </c>
      <c r="C1" s="95" t="s">
        <v>62</v>
      </c>
      <c r="D1" s="95" t="s">
        <v>305</v>
      </c>
      <c r="E1" s="95" t="s">
        <v>306</v>
      </c>
      <c r="F1" s="94" t="s">
        <v>307</v>
      </c>
      <c r="G1" s="94" t="s">
        <v>72</v>
      </c>
      <c r="H1" s="94" t="s">
        <v>73</v>
      </c>
      <c r="I1" s="94" t="s">
        <v>234</v>
      </c>
      <c r="J1" s="173" t="s">
        <v>308</v>
      </c>
      <c r="K1" s="173" t="s">
        <v>231</v>
      </c>
      <c r="L1" s="173" t="s">
        <v>309</v>
      </c>
      <c r="M1" s="173" t="s">
        <v>310</v>
      </c>
      <c r="N1" s="173" t="s">
        <v>311</v>
      </c>
      <c r="O1" s="173" t="s">
        <v>312</v>
      </c>
      <c r="P1" s="173" t="s">
        <v>313</v>
      </c>
      <c r="Q1" s="173" t="s">
        <v>314</v>
      </c>
      <c r="R1" s="173" t="s">
        <v>315</v>
      </c>
    </row>
    <row r="2" spans="1:18" ht="13.2" customHeight="1" x14ac:dyDescent="0.25">
      <c r="A2" s="97" t="s">
        <v>316</v>
      </c>
      <c r="B2" s="98" t="s">
        <v>317</v>
      </c>
      <c r="C2" s="98" t="s">
        <v>318</v>
      </c>
      <c r="D2" s="98" t="s">
        <v>155</v>
      </c>
      <c r="E2" s="118" t="s">
        <v>319</v>
      </c>
      <c r="F2" s="99" t="s">
        <v>320</v>
      </c>
      <c r="G2" s="98">
        <v>100</v>
      </c>
      <c r="H2" s="98">
        <v>0.01</v>
      </c>
      <c r="I2" s="174">
        <v>0.1</v>
      </c>
      <c r="J2" s="98">
        <v>0</v>
      </c>
      <c r="K2" s="98" t="s">
        <v>103</v>
      </c>
      <c r="L2" s="98" t="s">
        <v>321</v>
      </c>
      <c r="M2" s="98">
        <v>1</v>
      </c>
      <c r="N2" s="98">
        <v>3</v>
      </c>
      <c r="O2" s="16">
        <v>0</v>
      </c>
      <c r="P2" s="18" t="s">
        <v>216</v>
      </c>
      <c r="Q2" s="18" t="s">
        <v>322</v>
      </c>
      <c r="R2" s="18" t="s">
        <v>323</v>
      </c>
    </row>
    <row r="3" spans="1:18" ht="13.2" customHeight="1" x14ac:dyDescent="0.25">
      <c r="A3" s="97" t="s">
        <v>324</v>
      </c>
      <c r="B3" s="98" t="s">
        <v>325</v>
      </c>
      <c r="C3" s="98" t="s">
        <v>326</v>
      </c>
      <c r="D3" s="98" t="s">
        <v>154</v>
      </c>
      <c r="E3" s="118" t="str">
        <f>CONCATENATE('INPUT DATA'!E30)</f>
        <v>qasda</v>
      </c>
      <c r="F3" s="98" t="s">
        <v>327</v>
      </c>
      <c r="G3" s="98">
        <v>150</v>
      </c>
      <c r="H3" s="98">
        <v>1E-3</v>
      </c>
      <c r="I3" s="174">
        <v>0.5</v>
      </c>
      <c r="J3" s="98">
        <v>2.5</v>
      </c>
      <c r="K3" s="98" t="s">
        <v>113</v>
      </c>
      <c r="L3" s="98" t="s">
        <v>328</v>
      </c>
      <c r="M3" s="98">
        <v>25.4</v>
      </c>
      <c r="N3" s="98">
        <v>5</v>
      </c>
      <c r="O3" s="16">
        <v>25</v>
      </c>
      <c r="P3" s="18" t="s">
        <v>217</v>
      </c>
      <c r="Q3" s="18" t="s">
        <v>329</v>
      </c>
      <c r="R3" s="18" t="s">
        <v>323</v>
      </c>
    </row>
    <row r="4" spans="1:18" ht="13.2" customHeight="1" x14ac:dyDescent="0.25">
      <c r="A4" s="97" t="s">
        <v>330</v>
      </c>
      <c r="B4" s="98" t="s">
        <v>331</v>
      </c>
      <c r="C4" s="98" t="s">
        <v>332</v>
      </c>
      <c r="D4" s="16" t="s">
        <v>156</v>
      </c>
      <c r="F4" s="98" t="s">
        <v>333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218</v>
      </c>
      <c r="Q4" s="18" t="s">
        <v>334</v>
      </c>
      <c r="R4" s="18" t="s">
        <v>335</v>
      </c>
    </row>
    <row r="5" spans="1:18" ht="13.2" customHeight="1" x14ac:dyDescent="0.25">
      <c r="A5" s="97" t="s">
        <v>336</v>
      </c>
      <c r="B5" s="98" t="s">
        <v>337</v>
      </c>
      <c r="C5" s="98" t="s">
        <v>338</v>
      </c>
      <c r="F5" s="98" t="s">
        <v>339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340</v>
      </c>
      <c r="B6" s="98" t="s">
        <v>341</v>
      </c>
      <c r="C6" s="98" t="s">
        <v>342</v>
      </c>
      <c r="F6" s="98" t="s">
        <v>343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344</v>
      </c>
      <c r="B7" s="98" t="s">
        <v>345</v>
      </c>
      <c r="C7" s="98" t="str">
        <f>CONCATENATE('INPUT DATA'!E16)</f>
        <v/>
      </c>
      <c r="F7" s="98" t="s">
        <v>346</v>
      </c>
      <c r="J7" s="98">
        <v>12.9</v>
      </c>
      <c r="O7" s="16">
        <v>125</v>
      </c>
    </row>
    <row r="8" spans="1:18" ht="13.2" customHeight="1" x14ac:dyDescent="0.25">
      <c r="A8" s="97" t="s">
        <v>347</v>
      </c>
      <c r="B8" s="98" t="s">
        <v>348</v>
      </c>
      <c r="C8" s="98" t="str">
        <f>CONCATENATE('INPUT DATA'!E17)</f>
        <v/>
      </c>
      <c r="F8" s="98" t="s">
        <v>349</v>
      </c>
      <c r="J8" s="98">
        <v>15</v>
      </c>
      <c r="O8" s="16">
        <v>150</v>
      </c>
    </row>
    <row r="9" spans="1:18" ht="13.2" customHeight="1" x14ac:dyDescent="0.25">
      <c r="A9" s="97" t="s">
        <v>350</v>
      </c>
      <c r="B9" s="98" t="s">
        <v>351</v>
      </c>
      <c r="F9" s="98" t="s">
        <v>352</v>
      </c>
      <c r="J9" s="98">
        <v>17.600000000000001</v>
      </c>
      <c r="O9" s="16">
        <v>175</v>
      </c>
    </row>
    <row r="10" spans="1:18" ht="13.2" customHeight="1" x14ac:dyDescent="0.25">
      <c r="A10" s="97" t="s">
        <v>353</v>
      </c>
      <c r="B10" s="98" t="s">
        <v>56</v>
      </c>
      <c r="F10" s="98" t="s">
        <v>354</v>
      </c>
      <c r="J10" s="98">
        <v>20.2</v>
      </c>
      <c r="O10" s="16">
        <v>200</v>
      </c>
    </row>
    <row r="11" spans="1:18" ht="13.2" customHeight="1" x14ac:dyDescent="0.25">
      <c r="A11" s="97" t="s">
        <v>355</v>
      </c>
      <c r="B11" s="98" t="s">
        <v>356</v>
      </c>
      <c r="J11" s="98">
        <v>22.8</v>
      </c>
      <c r="O11" s="16">
        <v>225</v>
      </c>
    </row>
    <row r="12" spans="1:18" ht="13.2" customHeight="1" x14ac:dyDescent="0.25">
      <c r="A12" s="97" t="s">
        <v>357</v>
      </c>
      <c r="B12" s="98" t="s">
        <v>358</v>
      </c>
      <c r="J12" s="98">
        <v>25</v>
      </c>
      <c r="O12" s="16">
        <v>250</v>
      </c>
    </row>
    <row r="13" spans="1:18" ht="13.2" customHeight="1" x14ac:dyDescent="0.25">
      <c r="A13" s="97" t="s">
        <v>359</v>
      </c>
      <c r="B13" s="98" t="s">
        <v>360</v>
      </c>
      <c r="O13" s="16">
        <v>275</v>
      </c>
    </row>
    <row r="14" spans="1:18" ht="13.2" customHeight="1" x14ac:dyDescent="0.25">
      <c r="A14" s="97" t="s">
        <v>361</v>
      </c>
      <c r="O14" s="16">
        <v>300</v>
      </c>
    </row>
    <row r="15" spans="1:18" ht="13.2" customHeight="1" x14ac:dyDescent="0.25">
      <c r="A15" s="97" t="s">
        <v>362</v>
      </c>
      <c r="O15" s="16">
        <v>325</v>
      </c>
    </row>
    <row r="16" spans="1:18" ht="13.2" customHeight="1" x14ac:dyDescent="0.25">
      <c r="A16" s="97" t="s">
        <v>363</v>
      </c>
      <c r="O16" s="16">
        <v>350</v>
      </c>
    </row>
    <row r="17" spans="1:15" ht="13.2" customHeight="1" x14ac:dyDescent="0.25">
      <c r="A17" s="97" t="s">
        <v>364</v>
      </c>
      <c r="O17" s="16">
        <v>375</v>
      </c>
    </row>
    <row r="18" spans="1:15" ht="13.2" customHeight="1" x14ac:dyDescent="0.25">
      <c r="A18" s="97" t="s">
        <v>365</v>
      </c>
      <c r="O18" s="16">
        <v>400</v>
      </c>
    </row>
    <row r="19" spans="1:15" ht="13.2" customHeight="1" x14ac:dyDescent="0.25">
      <c r="A19" s="97" t="s">
        <v>366</v>
      </c>
      <c r="O19" s="16">
        <v>425</v>
      </c>
    </row>
    <row r="20" spans="1:15" ht="13.2" customHeight="1" x14ac:dyDescent="0.25">
      <c r="A20" s="97" t="s">
        <v>367</v>
      </c>
      <c r="O20" s="16">
        <v>450</v>
      </c>
    </row>
    <row r="21" spans="1:15" ht="13.2" customHeight="1" x14ac:dyDescent="0.25">
      <c r="A21" s="97" t="s">
        <v>368</v>
      </c>
      <c r="O21" s="16">
        <v>475</v>
      </c>
    </row>
    <row r="22" spans="1:15" ht="13.2" customHeight="1" x14ac:dyDescent="0.25">
      <c r="A22" s="97" t="s">
        <v>369</v>
      </c>
      <c r="O22" s="16">
        <v>500</v>
      </c>
    </row>
    <row r="23" spans="1:15" ht="13.2" customHeight="1" x14ac:dyDescent="0.25">
      <c r="A23" s="97" t="s">
        <v>370</v>
      </c>
      <c r="N23" s="93" t="s">
        <v>198</v>
      </c>
      <c r="O23" s="16">
        <f>'INPUT DATA'!C75*'TABEL DATA'!M5</f>
        <v>0</v>
      </c>
    </row>
    <row r="24" spans="1:15" x14ac:dyDescent="0.25">
      <c r="A24" s="97" t="s">
        <v>371</v>
      </c>
    </row>
    <row r="25" spans="1:15" x14ac:dyDescent="0.25">
      <c r="A25" s="97" t="s">
        <v>372</v>
      </c>
      <c r="O25" s="199">
        <v>1</v>
      </c>
    </row>
    <row r="26" spans="1:15" x14ac:dyDescent="0.25">
      <c r="A26" s="97" t="s">
        <v>373</v>
      </c>
      <c r="O26" s="178">
        <f>INDEX(O2:O23,O25)</f>
        <v>0</v>
      </c>
    </row>
    <row r="27" spans="1:15" x14ac:dyDescent="0.25">
      <c r="A27" s="97" t="s">
        <v>374</v>
      </c>
    </row>
    <row r="28" spans="1:15" x14ac:dyDescent="0.25">
      <c r="A28" s="97" t="s">
        <v>375</v>
      </c>
    </row>
    <row r="29" spans="1:15" x14ac:dyDescent="0.25">
      <c r="A29" s="97" t="s">
        <v>376</v>
      </c>
    </row>
    <row r="30" spans="1:15" x14ac:dyDescent="0.25">
      <c r="A30" s="97" t="s">
        <v>377</v>
      </c>
    </row>
    <row r="31" spans="1:15" x14ac:dyDescent="0.25">
      <c r="A31" s="97" t="s">
        <v>378</v>
      </c>
    </row>
    <row r="32" spans="1:15" x14ac:dyDescent="0.25">
      <c r="A32" s="97" t="s">
        <v>379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380</v>
      </c>
    </row>
    <row r="3" spans="2:10" s="3" customFormat="1" ht="16.2" customHeight="1" x14ac:dyDescent="0.25">
      <c r="B3" s="76" t="s">
        <v>64</v>
      </c>
      <c r="C3" s="414" t="s">
        <v>381</v>
      </c>
      <c r="D3" s="415"/>
      <c r="G3" s="77" t="s">
        <v>84</v>
      </c>
      <c r="H3" s="78"/>
      <c r="I3" s="416" t="s">
        <v>382</v>
      </c>
      <c r="J3" s="417"/>
    </row>
    <row r="4" spans="2:10" s="3" customFormat="1" ht="16.2" customHeight="1" x14ac:dyDescent="0.25">
      <c r="B4" s="76" t="s">
        <v>383</v>
      </c>
      <c r="C4" s="415" t="s">
        <v>384</v>
      </c>
      <c r="D4" s="415"/>
      <c r="G4" s="77" t="s">
        <v>85</v>
      </c>
      <c r="H4" s="78"/>
      <c r="I4" s="29" t="s">
        <v>385</v>
      </c>
      <c r="J4" s="79"/>
    </row>
    <row r="5" spans="2:10" s="3" customFormat="1" ht="16.2" customHeight="1" x14ac:dyDescent="0.25">
      <c r="B5" s="76" t="s">
        <v>386</v>
      </c>
      <c r="C5" s="414" t="s">
        <v>87</v>
      </c>
      <c r="D5" s="414"/>
    </row>
    <row r="6" spans="2:10" ht="15.6" customHeight="1" x14ac:dyDescent="0.25"/>
    <row r="7" spans="2:10" s="3" customFormat="1" ht="16.2" customHeight="1" x14ac:dyDescent="0.25">
      <c r="B7" s="418" t="s">
        <v>387</v>
      </c>
      <c r="C7" s="419"/>
      <c r="D7" s="420"/>
      <c r="G7" s="418" t="s">
        <v>388</v>
      </c>
      <c r="H7" s="419"/>
      <c r="I7" s="420"/>
    </row>
    <row r="8" spans="2:10" s="40" customFormat="1" ht="27" customHeight="1" x14ac:dyDescent="0.25">
      <c r="B8" s="80" t="s">
        <v>389</v>
      </c>
      <c r="C8" s="80" t="s">
        <v>390</v>
      </c>
      <c r="D8" s="80" t="s">
        <v>175</v>
      </c>
      <c r="G8" s="80" t="s">
        <v>389</v>
      </c>
      <c r="H8" s="80" t="s">
        <v>390</v>
      </c>
      <c r="I8" s="80" t="s">
        <v>175</v>
      </c>
    </row>
    <row r="9" spans="2:10" s="40" customFormat="1" ht="16.2" customHeight="1" x14ac:dyDescent="0.25">
      <c r="B9" s="80" t="s">
        <v>391</v>
      </c>
      <c r="C9" s="80" t="s">
        <v>391</v>
      </c>
      <c r="D9" s="80" t="s">
        <v>391</v>
      </c>
      <c r="G9" s="80" t="s">
        <v>92</v>
      </c>
      <c r="H9" s="80" t="s">
        <v>92</v>
      </c>
      <c r="I9" s="80" t="s">
        <v>92</v>
      </c>
    </row>
    <row r="10" spans="2:10" s="82" customFormat="1" ht="16.2" customHeight="1" x14ac:dyDescent="0.25">
      <c r="B10" s="81">
        <v>15.9</v>
      </c>
      <c r="C10" s="81">
        <v>0</v>
      </c>
      <c r="D10" s="421">
        <v>0.55000000000000004</v>
      </c>
      <c r="G10" s="81">
        <v>25</v>
      </c>
      <c r="H10" s="81">
        <v>-1</v>
      </c>
      <c r="I10" s="424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2"/>
      <c r="G11" s="81">
        <v>36</v>
      </c>
      <c r="H11" s="81">
        <v>1</v>
      </c>
      <c r="I11" s="424"/>
    </row>
    <row r="12" spans="2:10" s="82" customFormat="1" ht="16.2" customHeight="1" x14ac:dyDescent="0.25">
      <c r="B12" s="81">
        <v>24.9</v>
      </c>
      <c r="C12" s="81">
        <v>0.1</v>
      </c>
      <c r="D12" s="422"/>
      <c r="G12" s="81">
        <v>42</v>
      </c>
      <c r="H12" s="81">
        <v>4</v>
      </c>
      <c r="I12" s="424"/>
    </row>
    <row r="13" spans="2:10" s="82" customFormat="1" ht="16.2" customHeight="1" x14ac:dyDescent="0.25">
      <c r="B13" s="81">
        <v>29.5</v>
      </c>
      <c r="C13" s="81">
        <v>0.6</v>
      </c>
      <c r="D13" s="422"/>
      <c r="G13" s="81">
        <v>52</v>
      </c>
      <c r="H13" s="81">
        <v>4</v>
      </c>
      <c r="I13" s="424"/>
    </row>
    <row r="14" spans="2:10" ht="16.2" customHeight="1" x14ac:dyDescent="0.25">
      <c r="B14" s="122">
        <v>40.200000000000003</v>
      </c>
      <c r="C14" s="122">
        <v>0.1</v>
      </c>
      <c r="D14" s="422"/>
      <c r="E14" s="82"/>
      <c r="F14" s="82"/>
      <c r="G14" s="81">
        <v>68</v>
      </c>
      <c r="H14" s="81">
        <v>3</v>
      </c>
      <c r="I14" s="424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23"/>
      <c r="G15" s="33">
        <f>G312</f>
        <v>4</v>
      </c>
      <c r="H15" s="33" t="e">
        <f ca="1">FORECAST(G15,OFFSET($H$10:$H$14,MATCH(G15,$G$10:$G$14,1)-1,0,2),OFFSET($G$10:$G$14,MATCH(G15,$G$10:$G$14,1)-1,0,2))</f>
        <v>#N/A</v>
      </c>
      <c r="I15" s="424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64</v>
      </c>
      <c r="C18" s="414" t="s">
        <v>381</v>
      </c>
      <c r="D18" s="415"/>
      <c r="G18" s="77" t="s">
        <v>84</v>
      </c>
      <c r="H18" s="78"/>
      <c r="I18" s="416" t="s">
        <v>392</v>
      </c>
      <c r="J18" s="417"/>
    </row>
    <row r="19" spans="1:10" s="3" customFormat="1" ht="16.2" customHeight="1" x14ac:dyDescent="0.25">
      <c r="B19" s="76" t="s">
        <v>383</v>
      </c>
      <c r="C19" s="415" t="s">
        <v>384</v>
      </c>
      <c r="D19" s="415"/>
      <c r="G19" s="77" t="s">
        <v>85</v>
      </c>
      <c r="H19" s="78"/>
      <c r="I19" s="29" t="s">
        <v>385</v>
      </c>
      <c r="J19" s="79"/>
    </row>
    <row r="20" spans="1:10" s="3" customFormat="1" ht="16.2" customHeight="1" x14ac:dyDescent="0.25">
      <c r="B20" s="76" t="s">
        <v>386</v>
      </c>
      <c r="C20" s="414" t="s">
        <v>393</v>
      </c>
      <c r="D20" s="414"/>
    </row>
    <row r="21" spans="1:10" ht="15.6" customHeight="1" x14ac:dyDescent="0.25"/>
    <row r="22" spans="1:10" s="3" customFormat="1" ht="16.2" customHeight="1" x14ac:dyDescent="0.25">
      <c r="B22" s="418" t="s">
        <v>387</v>
      </c>
      <c r="C22" s="419"/>
      <c r="D22" s="420"/>
      <c r="G22" s="418" t="s">
        <v>388</v>
      </c>
      <c r="H22" s="419"/>
      <c r="I22" s="420"/>
    </row>
    <row r="23" spans="1:10" s="40" customFormat="1" ht="27" customHeight="1" x14ac:dyDescent="0.25">
      <c r="B23" s="80" t="s">
        <v>389</v>
      </c>
      <c r="C23" s="80" t="s">
        <v>390</v>
      </c>
      <c r="D23" s="80" t="s">
        <v>175</v>
      </c>
      <c r="G23" s="80" t="s">
        <v>389</v>
      </c>
      <c r="H23" s="80" t="s">
        <v>390</v>
      </c>
      <c r="I23" s="80" t="s">
        <v>175</v>
      </c>
    </row>
    <row r="24" spans="1:10" s="40" customFormat="1" ht="16.2" customHeight="1" x14ac:dyDescent="0.25">
      <c r="B24" s="80" t="s">
        <v>391</v>
      </c>
      <c r="C24" s="80" t="s">
        <v>391</v>
      </c>
      <c r="D24" s="80" t="s">
        <v>391</v>
      </c>
      <c r="G24" s="80" t="s">
        <v>92</v>
      </c>
      <c r="H24" s="80" t="s">
        <v>92</v>
      </c>
      <c r="I24" s="80" t="s">
        <v>92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5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4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5"/>
      <c r="F26" s="82">
        <v>40</v>
      </c>
      <c r="G26" s="81">
        <v>40</v>
      </c>
      <c r="H26" s="251">
        <v>0</v>
      </c>
      <c r="I26" s="424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5"/>
      <c r="F27" s="82">
        <v>50</v>
      </c>
      <c r="G27" s="81">
        <v>51</v>
      </c>
      <c r="H27" s="251">
        <v>-1</v>
      </c>
      <c r="I27" s="424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5"/>
      <c r="F28" s="82">
        <v>60</v>
      </c>
      <c r="G28" s="81">
        <v>60</v>
      </c>
      <c r="H28" s="251">
        <v>-1</v>
      </c>
      <c r="I28" s="424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5"/>
      <c r="F29" s="82">
        <v>70</v>
      </c>
      <c r="G29" s="81">
        <v>70</v>
      </c>
      <c r="H29" s="251">
        <v>-1</v>
      </c>
      <c r="I29" s="424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5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4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25"/>
      <c r="G31" s="33">
        <f>G312</f>
        <v>4</v>
      </c>
      <c r="H31" s="252" t="e">
        <f ca="1">FORECAST(G31,OFFSET($H$25:$H$30,MATCH(G31,$G$25:$G$30,1)-1,0,2),OFFSET($G$25:$G$30,MATCH(G31,$G$25:$G$30,1)-1,0,2))</f>
        <v>#N/A</v>
      </c>
      <c r="I31" s="424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64</v>
      </c>
      <c r="C34" s="414" t="s">
        <v>381</v>
      </c>
      <c r="D34" s="415"/>
      <c r="G34" s="77" t="s">
        <v>84</v>
      </c>
      <c r="H34" s="78"/>
      <c r="I34" s="416" t="s">
        <v>382</v>
      </c>
      <c r="J34" s="417"/>
    </row>
    <row r="35" spans="2:10" s="3" customFormat="1" ht="16.2" customHeight="1" x14ac:dyDescent="0.25">
      <c r="B35" s="76" t="s">
        <v>383</v>
      </c>
      <c r="C35" s="415" t="s">
        <v>384</v>
      </c>
      <c r="D35" s="415"/>
      <c r="G35" s="77" t="s">
        <v>85</v>
      </c>
      <c r="H35" s="78"/>
      <c r="I35" s="29" t="s">
        <v>385</v>
      </c>
      <c r="J35" s="79"/>
    </row>
    <row r="36" spans="2:10" s="3" customFormat="1" ht="16.2" customHeight="1" x14ac:dyDescent="0.25">
      <c r="B36" s="76" t="s">
        <v>386</v>
      </c>
      <c r="C36" s="414" t="s">
        <v>394</v>
      </c>
      <c r="D36" s="414"/>
    </row>
    <row r="37" spans="2:10" ht="15.6" customHeight="1" x14ac:dyDescent="0.25"/>
    <row r="38" spans="2:10" s="3" customFormat="1" ht="16.2" customHeight="1" x14ac:dyDescent="0.25">
      <c r="B38" s="418" t="s">
        <v>387</v>
      </c>
      <c r="C38" s="419"/>
      <c r="D38" s="420"/>
      <c r="G38" s="418" t="s">
        <v>388</v>
      </c>
      <c r="H38" s="419"/>
      <c r="I38" s="420"/>
    </row>
    <row r="39" spans="2:10" s="40" customFormat="1" ht="27" customHeight="1" x14ac:dyDescent="0.25">
      <c r="B39" s="80" t="s">
        <v>389</v>
      </c>
      <c r="C39" s="80" t="s">
        <v>390</v>
      </c>
      <c r="D39" s="80" t="s">
        <v>175</v>
      </c>
      <c r="G39" s="80" t="s">
        <v>389</v>
      </c>
      <c r="H39" s="80" t="s">
        <v>390</v>
      </c>
      <c r="I39" s="80" t="s">
        <v>175</v>
      </c>
    </row>
    <row r="40" spans="2:10" s="40" customFormat="1" ht="16.2" customHeight="1" x14ac:dyDescent="0.25">
      <c r="B40" s="80" t="s">
        <v>391</v>
      </c>
      <c r="C40" s="80" t="s">
        <v>391</v>
      </c>
      <c r="D40" s="80" t="s">
        <v>391</v>
      </c>
      <c r="G40" s="80" t="s">
        <v>92</v>
      </c>
      <c r="H40" s="80" t="s">
        <v>92</v>
      </c>
      <c r="I40" s="80" t="s">
        <v>92</v>
      </c>
    </row>
    <row r="41" spans="2:10" s="82" customFormat="1" ht="16.2" customHeight="1" x14ac:dyDescent="0.25">
      <c r="B41" s="81">
        <v>15.9</v>
      </c>
      <c r="C41" s="81">
        <v>0</v>
      </c>
      <c r="D41" s="421">
        <v>0.55000000000000004</v>
      </c>
      <c r="G41" s="81">
        <v>26</v>
      </c>
      <c r="H41" s="81">
        <v>-2</v>
      </c>
      <c r="I41" s="424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2"/>
      <c r="G42" s="81">
        <v>37</v>
      </c>
      <c r="H42" s="81">
        <v>0</v>
      </c>
      <c r="I42" s="424"/>
    </row>
    <row r="43" spans="2:10" s="82" customFormat="1" ht="16.2" customHeight="1" x14ac:dyDescent="0.25">
      <c r="B43" s="81">
        <v>24.8</v>
      </c>
      <c r="C43" s="81">
        <v>0.2</v>
      </c>
      <c r="D43" s="422"/>
      <c r="G43" s="81">
        <v>43</v>
      </c>
      <c r="H43" s="81">
        <v>3</v>
      </c>
      <c r="I43" s="424"/>
    </row>
    <row r="44" spans="2:10" s="82" customFormat="1" ht="16.2" customHeight="1" x14ac:dyDescent="0.25">
      <c r="B44" s="81">
        <v>29.5</v>
      </c>
      <c r="C44" s="81">
        <v>0.6</v>
      </c>
      <c r="D44" s="422"/>
      <c r="G44" s="81">
        <v>53</v>
      </c>
      <c r="H44" s="81">
        <v>3</v>
      </c>
      <c r="I44" s="424"/>
    </row>
    <row r="45" spans="2:10" ht="16.2" customHeight="1" x14ac:dyDescent="0.25">
      <c r="B45" s="122">
        <v>40.1</v>
      </c>
      <c r="C45" s="122">
        <v>0.2</v>
      </c>
      <c r="D45" s="422"/>
      <c r="E45" s="82"/>
      <c r="F45" s="82"/>
      <c r="G45" s="81">
        <v>70</v>
      </c>
      <c r="H45" s="119">
        <v>1</v>
      </c>
      <c r="I45" s="424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23"/>
      <c r="G46" s="33">
        <f>G312</f>
        <v>4</v>
      </c>
      <c r="H46" s="33" t="e">
        <f ca="1">FORECAST(G46,OFFSET($H$41:$H$45,MATCH(G46,$G$41:$G$45,1)-1,0,2),OFFSET($G$41:$G$45,MATCH(G46,$G$41:$G$45,1)-1,0,2))</f>
        <v>#N/A</v>
      </c>
      <c r="I46" s="424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64</v>
      </c>
      <c r="C49" s="414" t="s">
        <v>381</v>
      </c>
      <c r="D49" s="415"/>
      <c r="G49" s="77" t="s">
        <v>84</v>
      </c>
      <c r="H49" s="78"/>
      <c r="I49" s="416" t="s">
        <v>395</v>
      </c>
      <c r="J49" s="417"/>
    </row>
    <row r="50" spans="1:10" s="3" customFormat="1" ht="16.2" customHeight="1" x14ac:dyDescent="0.25">
      <c r="B50" s="76" t="s">
        <v>383</v>
      </c>
      <c r="C50" s="415" t="s">
        <v>384</v>
      </c>
      <c r="D50" s="415"/>
      <c r="G50" s="77" t="s">
        <v>85</v>
      </c>
      <c r="H50" s="78"/>
      <c r="I50" s="29" t="s">
        <v>385</v>
      </c>
      <c r="J50" s="79"/>
    </row>
    <row r="51" spans="1:10" s="3" customFormat="1" ht="16.2" customHeight="1" x14ac:dyDescent="0.25">
      <c r="B51" s="76" t="s">
        <v>386</v>
      </c>
      <c r="C51" s="426" t="s">
        <v>396</v>
      </c>
      <c r="D51" s="426"/>
    </row>
    <row r="52" spans="1:10" ht="15.6" customHeight="1" x14ac:dyDescent="0.25"/>
    <row r="53" spans="1:10" s="3" customFormat="1" ht="16.2" customHeight="1" x14ac:dyDescent="0.25">
      <c r="B53" s="418" t="s">
        <v>387</v>
      </c>
      <c r="C53" s="419"/>
      <c r="D53" s="420"/>
      <c r="G53" s="418" t="s">
        <v>388</v>
      </c>
      <c r="H53" s="419"/>
      <c r="I53" s="420"/>
    </row>
    <row r="54" spans="1:10" s="40" customFormat="1" ht="27" customHeight="1" x14ac:dyDescent="0.25">
      <c r="B54" s="80" t="s">
        <v>389</v>
      </c>
      <c r="C54" s="80" t="s">
        <v>390</v>
      </c>
      <c r="D54" s="80" t="s">
        <v>175</v>
      </c>
      <c r="G54" s="80" t="s">
        <v>389</v>
      </c>
      <c r="H54" s="80" t="s">
        <v>390</v>
      </c>
      <c r="I54" s="80" t="s">
        <v>175</v>
      </c>
    </row>
    <row r="55" spans="1:10" s="40" customFormat="1" ht="16.2" customHeight="1" x14ac:dyDescent="0.25">
      <c r="B55" s="80" t="s">
        <v>391</v>
      </c>
      <c r="C55" s="80" t="s">
        <v>391</v>
      </c>
      <c r="D55" s="80" t="s">
        <v>391</v>
      </c>
      <c r="G55" s="80" t="s">
        <v>92</v>
      </c>
      <c r="H55" s="80" t="s">
        <v>92</v>
      </c>
      <c r="I55" s="80" t="s">
        <v>92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5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4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5"/>
      <c r="F57" s="82">
        <v>40</v>
      </c>
      <c r="G57" s="81">
        <v>40</v>
      </c>
      <c r="H57" s="81">
        <v>-2</v>
      </c>
      <c r="I57" s="424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5"/>
      <c r="F58" s="82">
        <v>50</v>
      </c>
      <c r="G58" s="81">
        <v>51</v>
      </c>
      <c r="H58" s="81">
        <v>-1</v>
      </c>
      <c r="I58" s="424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5"/>
      <c r="G59" s="81">
        <v>64</v>
      </c>
      <c r="H59" s="81">
        <v>-4</v>
      </c>
      <c r="I59" s="424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5"/>
      <c r="G60" s="81">
        <v>75</v>
      </c>
      <c r="H60" s="81">
        <v>-6</v>
      </c>
      <c r="I60" s="424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25"/>
      <c r="E61" s="82"/>
      <c r="F61" s="82"/>
      <c r="G61" s="33">
        <f>G312</f>
        <v>4</v>
      </c>
      <c r="H61" s="33" t="e">
        <f ca="1">FORECAST(G61,OFFSET($H$56:$H$60,MATCH(G61,$G$56:$G$60,1)-1,0,2),OFFSET($G$56:$G$60,MATCH(G61,$G$56:$G$60,1)-1,0,2))</f>
        <v>#N/A</v>
      </c>
      <c r="I61" s="424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64</v>
      </c>
      <c r="C65" s="414" t="s">
        <v>381</v>
      </c>
      <c r="D65" s="415"/>
      <c r="G65" s="77" t="s">
        <v>84</v>
      </c>
      <c r="H65" s="78"/>
      <c r="I65" s="416" t="s">
        <v>382</v>
      </c>
      <c r="J65" s="417"/>
    </row>
    <row r="66" spans="2:10" s="3" customFormat="1" ht="16.2" customHeight="1" x14ac:dyDescent="0.25">
      <c r="B66" s="76" t="s">
        <v>383</v>
      </c>
      <c r="C66" s="415" t="s">
        <v>384</v>
      </c>
      <c r="D66" s="415"/>
      <c r="G66" s="77" t="s">
        <v>85</v>
      </c>
      <c r="H66" s="78"/>
      <c r="I66" s="29" t="s">
        <v>385</v>
      </c>
      <c r="J66" s="79"/>
    </row>
    <row r="67" spans="2:10" s="3" customFormat="1" ht="16.2" customHeight="1" x14ac:dyDescent="0.25">
      <c r="B67" s="76" t="s">
        <v>386</v>
      </c>
      <c r="C67" s="414" t="s">
        <v>397</v>
      </c>
      <c r="D67" s="414"/>
    </row>
    <row r="68" spans="2:10" ht="15.6" customHeight="1" x14ac:dyDescent="0.25"/>
    <row r="69" spans="2:10" s="3" customFormat="1" ht="16.2" customHeight="1" x14ac:dyDescent="0.25">
      <c r="B69" s="418" t="s">
        <v>387</v>
      </c>
      <c r="C69" s="419"/>
      <c r="D69" s="420"/>
      <c r="G69" s="418" t="s">
        <v>388</v>
      </c>
      <c r="H69" s="419"/>
      <c r="I69" s="420"/>
    </row>
    <row r="70" spans="2:10" s="40" customFormat="1" ht="27" customHeight="1" x14ac:dyDescent="0.25">
      <c r="B70" s="80" t="s">
        <v>389</v>
      </c>
      <c r="C70" s="80" t="s">
        <v>390</v>
      </c>
      <c r="D70" s="80" t="s">
        <v>175</v>
      </c>
      <c r="G70" s="80" t="s">
        <v>389</v>
      </c>
      <c r="H70" s="80" t="s">
        <v>390</v>
      </c>
      <c r="I70" s="80" t="s">
        <v>175</v>
      </c>
    </row>
    <row r="71" spans="2:10" s="40" customFormat="1" ht="16.2" customHeight="1" x14ac:dyDescent="0.25">
      <c r="B71" s="80" t="s">
        <v>391</v>
      </c>
      <c r="C71" s="80" t="s">
        <v>391</v>
      </c>
      <c r="D71" s="80" t="s">
        <v>391</v>
      </c>
      <c r="G71" s="80" t="s">
        <v>92</v>
      </c>
      <c r="H71" s="80" t="s">
        <v>92</v>
      </c>
      <c r="I71" s="80" t="s">
        <v>92</v>
      </c>
    </row>
    <row r="72" spans="2:10" s="82" customFormat="1" ht="16.2" customHeight="1" x14ac:dyDescent="0.25">
      <c r="B72" s="81">
        <v>15.4</v>
      </c>
      <c r="C72" s="81">
        <v>0.5</v>
      </c>
      <c r="D72" s="421">
        <v>0.55000000000000004</v>
      </c>
      <c r="G72" s="81">
        <v>24</v>
      </c>
      <c r="H72" s="81">
        <v>0</v>
      </c>
      <c r="I72" s="424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2"/>
      <c r="G73" s="81">
        <v>36</v>
      </c>
      <c r="H73" s="81">
        <v>1</v>
      </c>
      <c r="I73" s="424"/>
    </row>
    <row r="74" spans="2:10" s="82" customFormat="1" ht="16.2" customHeight="1" x14ac:dyDescent="0.25">
      <c r="B74" s="81">
        <v>24.9</v>
      </c>
      <c r="C74" s="81">
        <v>0.1</v>
      </c>
      <c r="D74" s="422"/>
      <c r="G74" s="81">
        <v>42</v>
      </c>
      <c r="H74" s="81">
        <v>4</v>
      </c>
      <c r="I74" s="424"/>
    </row>
    <row r="75" spans="2:10" s="82" customFormat="1" ht="16.2" customHeight="1" x14ac:dyDescent="0.25">
      <c r="B75" s="81">
        <v>29.9</v>
      </c>
      <c r="C75" s="81">
        <v>0.2</v>
      </c>
      <c r="D75" s="422"/>
      <c r="G75" s="81">
        <v>52</v>
      </c>
      <c r="H75" s="81">
        <v>4</v>
      </c>
      <c r="I75" s="424"/>
    </row>
    <row r="76" spans="2:10" ht="16.2" customHeight="1" x14ac:dyDescent="0.25">
      <c r="B76" s="122">
        <v>40.4</v>
      </c>
      <c r="C76" s="122">
        <v>-0.1</v>
      </c>
      <c r="D76" s="422"/>
      <c r="E76" s="82"/>
      <c r="F76" s="82"/>
      <c r="G76" s="81">
        <v>70</v>
      </c>
      <c r="H76" s="119">
        <v>1</v>
      </c>
      <c r="I76" s="424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23"/>
      <c r="G77" s="33">
        <f>G312</f>
        <v>4</v>
      </c>
      <c r="H77" s="33" t="e">
        <f ca="1">FORECAST(G77,OFFSET($H$72:$H$76,MATCH(G77,$G$72:$G$76,1)-1,0,2),OFFSET($G$72:$G$76,MATCH(G77,$G$72:$G$76,1)-1,0,2))</f>
        <v>#N/A</v>
      </c>
      <c r="I77" s="424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64</v>
      </c>
      <c r="C80" s="414" t="s">
        <v>381</v>
      </c>
      <c r="D80" s="415"/>
      <c r="G80" s="77" t="s">
        <v>84</v>
      </c>
      <c r="H80" s="78"/>
      <c r="I80" s="416" t="s">
        <v>395</v>
      </c>
      <c r="J80" s="417"/>
    </row>
    <row r="81" spans="1:10" s="3" customFormat="1" ht="16.2" customHeight="1" x14ac:dyDescent="0.25">
      <c r="B81" s="76" t="s">
        <v>383</v>
      </c>
      <c r="C81" s="415" t="s">
        <v>384</v>
      </c>
      <c r="D81" s="415"/>
      <c r="G81" s="77" t="s">
        <v>85</v>
      </c>
      <c r="H81" s="78"/>
      <c r="I81" s="29" t="s">
        <v>385</v>
      </c>
      <c r="J81" s="79"/>
    </row>
    <row r="82" spans="1:10" s="3" customFormat="1" ht="16.2" customHeight="1" x14ac:dyDescent="0.25">
      <c r="B82" s="76" t="s">
        <v>386</v>
      </c>
      <c r="C82" s="426" t="s">
        <v>398</v>
      </c>
      <c r="D82" s="426"/>
    </row>
    <row r="83" spans="1:10" ht="15.6" customHeight="1" x14ac:dyDescent="0.25"/>
    <row r="84" spans="1:10" s="3" customFormat="1" ht="16.2" customHeight="1" x14ac:dyDescent="0.25">
      <c r="B84" s="418" t="s">
        <v>387</v>
      </c>
      <c r="C84" s="419"/>
      <c r="D84" s="420"/>
      <c r="G84" s="418" t="s">
        <v>388</v>
      </c>
      <c r="H84" s="419"/>
      <c r="I84" s="420"/>
    </row>
    <row r="85" spans="1:10" s="40" customFormat="1" ht="27" customHeight="1" x14ac:dyDescent="0.25">
      <c r="B85" s="80" t="s">
        <v>389</v>
      </c>
      <c r="C85" s="80" t="s">
        <v>390</v>
      </c>
      <c r="D85" s="80" t="s">
        <v>175</v>
      </c>
      <c r="G85" s="80" t="s">
        <v>389</v>
      </c>
      <c r="H85" s="80" t="s">
        <v>390</v>
      </c>
      <c r="I85" s="80" t="s">
        <v>175</v>
      </c>
    </row>
    <row r="86" spans="1:10" s="40" customFormat="1" ht="16.2" customHeight="1" x14ac:dyDescent="0.25">
      <c r="B86" s="80" t="s">
        <v>391</v>
      </c>
      <c r="C86" s="80" t="s">
        <v>391</v>
      </c>
      <c r="D86" s="80" t="s">
        <v>391</v>
      </c>
      <c r="G86" s="80" t="s">
        <v>92</v>
      </c>
      <c r="H86" s="80" t="s">
        <v>92</v>
      </c>
      <c r="I86" s="80" t="s">
        <v>92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21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7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2"/>
      <c r="F88" s="82">
        <v>40</v>
      </c>
      <c r="G88" s="81">
        <v>39</v>
      </c>
      <c r="H88" s="81">
        <v>-1</v>
      </c>
      <c r="I88" s="428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2"/>
      <c r="F89" s="82">
        <v>50</v>
      </c>
      <c r="G89" s="81">
        <v>50</v>
      </c>
      <c r="H89" s="81">
        <v>0</v>
      </c>
      <c r="I89" s="428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2"/>
      <c r="G90" s="81">
        <v>62</v>
      </c>
      <c r="H90" s="81">
        <v>-2</v>
      </c>
      <c r="I90" s="428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2"/>
      <c r="G91" s="81">
        <v>74</v>
      </c>
      <c r="H91" s="81">
        <v>-5</v>
      </c>
      <c r="I91" s="428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22"/>
      <c r="E92" s="82"/>
      <c r="F92" s="82"/>
      <c r="G92" s="33">
        <f>G312</f>
        <v>4</v>
      </c>
      <c r="H92" s="33" t="e">
        <f ca="1">FORECAST(G92,OFFSET($H$87:$H$91,MATCH(G92,$G$87:$G$91,1)-1,0,2),OFFSET($G$87:$G$91,MATCH(G92,$G$87:$G$91,1)-1,0,2))</f>
        <v>#N/A</v>
      </c>
      <c r="I92" s="428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64</v>
      </c>
      <c r="C96" s="414" t="s">
        <v>381</v>
      </c>
      <c r="D96" s="415"/>
      <c r="G96" s="77" t="s">
        <v>84</v>
      </c>
      <c r="H96" s="78"/>
      <c r="I96" s="416" t="s">
        <v>382</v>
      </c>
      <c r="J96" s="417"/>
    </row>
    <row r="97" spans="2:10" s="3" customFormat="1" ht="16.2" customHeight="1" x14ac:dyDescent="0.25">
      <c r="B97" s="76" t="s">
        <v>383</v>
      </c>
      <c r="C97" s="415" t="s">
        <v>384</v>
      </c>
      <c r="D97" s="415"/>
      <c r="G97" s="77" t="s">
        <v>85</v>
      </c>
      <c r="H97" s="78"/>
      <c r="I97" s="29" t="s">
        <v>385</v>
      </c>
      <c r="J97" s="79"/>
    </row>
    <row r="98" spans="2:10" s="3" customFormat="1" ht="16.2" customHeight="1" x14ac:dyDescent="0.25">
      <c r="B98" s="76" t="s">
        <v>386</v>
      </c>
      <c r="C98" s="414" t="s">
        <v>399</v>
      </c>
      <c r="D98" s="414"/>
    </row>
    <row r="99" spans="2:10" ht="15.6" customHeight="1" x14ac:dyDescent="0.25"/>
    <row r="100" spans="2:10" s="3" customFormat="1" ht="16.2" customHeight="1" x14ac:dyDescent="0.25">
      <c r="B100" s="418" t="s">
        <v>387</v>
      </c>
      <c r="C100" s="419"/>
      <c r="D100" s="420"/>
      <c r="G100" s="418" t="s">
        <v>388</v>
      </c>
      <c r="H100" s="419"/>
      <c r="I100" s="420"/>
    </row>
    <row r="101" spans="2:10" s="40" customFormat="1" ht="27" customHeight="1" x14ac:dyDescent="0.25">
      <c r="B101" s="80" t="s">
        <v>389</v>
      </c>
      <c r="C101" s="80" t="s">
        <v>390</v>
      </c>
      <c r="D101" s="80" t="s">
        <v>175</v>
      </c>
      <c r="G101" s="80" t="s">
        <v>389</v>
      </c>
      <c r="H101" s="80" t="s">
        <v>390</v>
      </c>
      <c r="I101" s="80" t="s">
        <v>175</v>
      </c>
    </row>
    <row r="102" spans="2:10" s="40" customFormat="1" ht="16.2" customHeight="1" x14ac:dyDescent="0.25">
      <c r="B102" s="80" t="s">
        <v>391</v>
      </c>
      <c r="C102" s="80" t="s">
        <v>391</v>
      </c>
      <c r="D102" s="80" t="s">
        <v>391</v>
      </c>
      <c r="G102" s="80" t="s">
        <v>92</v>
      </c>
      <c r="H102" s="80" t="s">
        <v>92</v>
      </c>
      <c r="I102" s="80" t="s">
        <v>92</v>
      </c>
    </row>
    <row r="103" spans="2:10" s="82" customFormat="1" ht="16.2" customHeight="1" x14ac:dyDescent="0.25">
      <c r="B103" s="81">
        <v>15.7</v>
      </c>
      <c r="C103" s="81">
        <v>0.2</v>
      </c>
      <c r="D103" s="421">
        <v>0.55000000000000004</v>
      </c>
      <c r="G103" s="81">
        <v>27</v>
      </c>
      <c r="H103" s="81">
        <v>-3</v>
      </c>
      <c r="I103" s="424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2"/>
      <c r="G104" s="81">
        <v>38</v>
      </c>
      <c r="H104" s="81">
        <v>-1</v>
      </c>
      <c r="I104" s="424"/>
    </row>
    <row r="105" spans="2:10" s="82" customFormat="1" ht="16.2" customHeight="1" x14ac:dyDescent="0.25">
      <c r="B105" s="81">
        <v>24.4</v>
      </c>
      <c r="C105" s="81">
        <v>0.6</v>
      </c>
      <c r="D105" s="422"/>
      <c r="G105" s="81">
        <v>45</v>
      </c>
      <c r="H105" s="81">
        <v>-1</v>
      </c>
      <c r="I105" s="424"/>
    </row>
    <row r="106" spans="2:10" s="82" customFormat="1" ht="16.2" customHeight="1" x14ac:dyDescent="0.25">
      <c r="B106" s="81">
        <v>28.9</v>
      </c>
      <c r="C106" s="81">
        <v>1.2</v>
      </c>
      <c r="D106" s="422"/>
      <c r="G106" s="81">
        <v>57</v>
      </c>
      <c r="H106" s="81">
        <v>1</v>
      </c>
      <c r="I106" s="424"/>
    </row>
    <row r="107" spans="2:10" ht="16.2" customHeight="1" x14ac:dyDescent="0.25">
      <c r="B107" s="122">
        <v>39.299999999999997</v>
      </c>
      <c r="C107" s="122">
        <v>1</v>
      </c>
      <c r="D107" s="422"/>
      <c r="E107" s="82"/>
      <c r="F107" s="82"/>
      <c r="G107" s="81">
        <v>72</v>
      </c>
      <c r="H107" s="81">
        <v>-1</v>
      </c>
      <c r="I107" s="424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23"/>
      <c r="G108" s="33">
        <f>G312</f>
        <v>4</v>
      </c>
      <c r="H108" s="33" t="e">
        <f ca="1">FORECAST(G108,OFFSET($H$103:$H$107,MATCH(G108,$G$103:$G$107,1)-1,0,2),OFFSET($G$103:$G$107,MATCH(G108,$G$103:$G$107,1)-1,0,2))</f>
        <v>#N/A</v>
      </c>
      <c r="I108" s="424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64</v>
      </c>
      <c r="C111" s="414" t="s">
        <v>381</v>
      </c>
      <c r="D111" s="415"/>
      <c r="G111" s="77" t="s">
        <v>84</v>
      </c>
      <c r="H111" s="78"/>
      <c r="I111" s="416" t="s">
        <v>400</v>
      </c>
      <c r="J111" s="417"/>
    </row>
    <row r="112" spans="2:10" s="3" customFormat="1" ht="16.2" customHeight="1" x14ac:dyDescent="0.25">
      <c r="B112" s="76" t="s">
        <v>383</v>
      </c>
      <c r="C112" s="415" t="s">
        <v>384</v>
      </c>
      <c r="D112" s="415"/>
      <c r="G112" s="77" t="s">
        <v>85</v>
      </c>
      <c r="H112" s="78"/>
      <c r="I112" s="29" t="s">
        <v>385</v>
      </c>
      <c r="J112" s="79"/>
    </row>
    <row r="113" spans="1:10" s="3" customFormat="1" ht="16.2" customHeight="1" x14ac:dyDescent="0.25">
      <c r="B113" s="76" t="s">
        <v>386</v>
      </c>
      <c r="C113" s="426" t="s">
        <v>401</v>
      </c>
      <c r="D113" s="426"/>
    </row>
    <row r="114" spans="1:10" ht="15.6" customHeight="1" x14ac:dyDescent="0.25"/>
    <row r="115" spans="1:10" s="3" customFormat="1" ht="16.2" customHeight="1" x14ac:dyDescent="0.25">
      <c r="B115" s="418" t="s">
        <v>387</v>
      </c>
      <c r="C115" s="419"/>
      <c r="D115" s="420"/>
      <c r="G115" s="418" t="s">
        <v>388</v>
      </c>
      <c r="H115" s="419"/>
      <c r="I115" s="420"/>
    </row>
    <row r="116" spans="1:10" s="40" customFormat="1" ht="27" customHeight="1" x14ac:dyDescent="0.25">
      <c r="B116" s="80" t="s">
        <v>389</v>
      </c>
      <c r="C116" s="80" t="s">
        <v>390</v>
      </c>
      <c r="D116" s="80" t="s">
        <v>175</v>
      </c>
      <c r="G116" s="80" t="s">
        <v>389</v>
      </c>
      <c r="H116" s="80" t="s">
        <v>390</v>
      </c>
      <c r="I116" s="80" t="s">
        <v>175</v>
      </c>
    </row>
    <row r="117" spans="1:10" s="40" customFormat="1" ht="16.2" customHeight="1" x14ac:dyDescent="0.25">
      <c r="B117" s="80" t="s">
        <v>391</v>
      </c>
      <c r="C117" s="80" t="s">
        <v>391</v>
      </c>
      <c r="D117" s="80" t="s">
        <v>391</v>
      </c>
      <c r="G117" s="80" t="s">
        <v>92</v>
      </c>
      <c r="H117" s="80" t="s">
        <v>92</v>
      </c>
      <c r="I117" s="80" t="s">
        <v>92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21">
        <v>0.57999999999999996</v>
      </c>
      <c r="G118" s="81">
        <v>19</v>
      </c>
      <c r="H118" s="81">
        <v>-1</v>
      </c>
      <c r="I118" s="427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2"/>
      <c r="G119" s="81">
        <v>38</v>
      </c>
      <c r="H119" s="81">
        <v>-1</v>
      </c>
      <c r="I119" s="428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2"/>
      <c r="G120" s="81">
        <v>54</v>
      </c>
      <c r="H120" s="81">
        <v>-3</v>
      </c>
      <c r="I120" s="428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2"/>
      <c r="G121" s="81">
        <v>73</v>
      </c>
      <c r="H121" s="81">
        <v>-5</v>
      </c>
      <c r="I121" s="428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2"/>
      <c r="G122" s="81">
        <v>83</v>
      </c>
      <c r="H122" s="81">
        <v>-5</v>
      </c>
      <c r="I122" s="428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23"/>
      <c r="E123" s="82"/>
      <c r="F123" s="82"/>
      <c r="G123" s="33">
        <f>G312</f>
        <v>4</v>
      </c>
      <c r="H123" s="33" t="e">
        <f ca="1">FORECAST(G123,OFFSET($H$118:$H$122,MATCH(G123,$G$118:$G$122,1)-1,0,2),OFFSET($G$118:$G$122,MATCH(G123,$G$118:$G$122,1)-1,0,2))</f>
        <v>#N/A</v>
      </c>
      <c r="I123" s="429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64</v>
      </c>
      <c r="C126" s="414" t="s">
        <v>381</v>
      </c>
      <c r="D126" s="415"/>
      <c r="G126" s="77" t="s">
        <v>84</v>
      </c>
      <c r="H126" s="78"/>
      <c r="I126" s="416" t="s">
        <v>392</v>
      </c>
      <c r="J126" s="417"/>
    </row>
    <row r="127" spans="1:10" s="3" customFormat="1" ht="16.2" customHeight="1" x14ac:dyDescent="0.25">
      <c r="B127" s="76" t="s">
        <v>383</v>
      </c>
      <c r="C127" s="415" t="s">
        <v>384</v>
      </c>
      <c r="D127" s="415"/>
      <c r="G127" s="77" t="s">
        <v>85</v>
      </c>
      <c r="H127" s="78"/>
      <c r="I127" s="29" t="s">
        <v>385</v>
      </c>
      <c r="J127" s="79"/>
    </row>
    <row r="128" spans="1:10" s="3" customFormat="1" ht="16.2" customHeight="1" x14ac:dyDescent="0.25">
      <c r="B128" s="76" t="s">
        <v>386</v>
      </c>
      <c r="C128" s="414" t="s">
        <v>402</v>
      </c>
      <c r="D128" s="414"/>
    </row>
    <row r="129" spans="1:10" ht="15.6" customHeight="1" x14ac:dyDescent="0.25"/>
    <row r="130" spans="1:10" s="3" customFormat="1" ht="16.2" customHeight="1" x14ac:dyDescent="0.25">
      <c r="B130" s="418" t="s">
        <v>387</v>
      </c>
      <c r="C130" s="419"/>
      <c r="D130" s="420"/>
      <c r="G130" s="418" t="s">
        <v>388</v>
      </c>
      <c r="H130" s="419"/>
      <c r="I130" s="420"/>
    </row>
    <row r="131" spans="1:10" s="40" customFormat="1" ht="27" customHeight="1" x14ac:dyDescent="0.25">
      <c r="B131" s="80" t="s">
        <v>389</v>
      </c>
      <c r="C131" s="80" t="s">
        <v>390</v>
      </c>
      <c r="D131" s="80" t="s">
        <v>175</v>
      </c>
      <c r="G131" s="80" t="s">
        <v>389</v>
      </c>
      <c r="H131" s="80" t="s">
        <v>390</v>
      </c>
      <c r="I131" s="80" t="s">
        <v>175</v>
      </c>
    </row>
    <row r="132" spans="1:10" s="40" customFormat="1" ht="16.2" customHeight="1" x14ac:dyDescent="0.25">
      <c r="B132" s="80" t="s">
        <v>391</v>
      </c>
      <c r="C132" s="80" t="s">
        <v>391</v>
      </c>
      <c r="D132" s="80" t="s">
        <v>391</v>
      </c>
      <c r="G132" s="80" t="s">
        <v>92</v>
      </c>
      <c r="H132" s="80" t="s">
        <v>92</v>
      </c>
      <c r="I132" s="80" t="s">
        <v>92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21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4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2"/>
      <c r="F134" s="82">
        <v>40</v>
      </c>
      <c r="G134" s="81">
        <v>40</v>
      </c>
      <c r="H134" s="251">
        <v>0</v>
      </c>
      <c r="I134" s="424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2"/>
      <c r="F135" s="82">
        <v>50</v>
      </c>
      <c r="G135" s="81">
        <v>51</v>
      </c>
      <c r="H135" s="251">
        <v>-1</v>
      </c>
      <c r="I135" s="424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2"/>
      <c r="F136" s="82">
        <v>60</v>
      </c>
      <c r="G136" s="81">
        <v>60</v>
      </c>
      <c r="H136" s="251">
        <v>-1</v>
      </c>
      <c r="I136" s="424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2"/>
      <c r="F137" s="82">
        <v>70</v>
      </c>
      <c r="G137" s="81">
        <v>70</v>
      </c>
      <c r="H137" s="251">
        <v>-1</v>
      </c>
      <c r="I137" s="424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2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4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23"/>
      <c r="E139" s="82"/>
      <c r="F139" s="82"/>
      <c r="G139" s="33">
        <f>G312</f>
        <v>4</v>
      </c>
      <c r="H139" s="252" t="e">
        <f ca="1">FORECAST(G139,OFFSET($H$133:$H$138,MATCH(G139,$G$133:$G$138,1)-1,0,2),OFFSET($G$133:$G$138,MATCH(G139,$G$133:$G$138,1)-1,0,2))</f>
        <v>#N/A</v>
      </c>
      <c r="I139" s="424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64</v>
      </c>
      <c r="C142" s="414" t="s">
        <v>381</v>
      </c>
      <c r="D142" s="415"/>
      <c r="G142" s="77" t="s">
        <v>84</v>
      </c>
      <c r="H142" s="78"/>
      <c r="I142" s="416" t="s">
        <v>392</v>
      </c>
      <c r="J142" s="417"/>
    </row>
    <row r="143" spans="1:10" s="3" customFormat="1" ht="16.2" customHeight="1" x14ac:dyDescent="0.25">
      <c r="B143" s="76" t="s">
        <v>383</v>
      </c>
      <c r="C143" s="415" t="s">
        <v>384</v>
      </c>
      <c r="D143" s="415"/>
      <c r="G143" s="77" t="s">
        <v>85</v>
      </c>
      <c r="H143" s="78"/>
      <c r="I143" s="29" t="s">
        <v>385</v>
      </c>
      <c r="J143" s="79"/>
    </row>
    <row r="144" spans="1:10" s="3" customFormat="1" ht="16.2" customHeight="1" x14ac:dyDescent="0.25">
      <c r="B144" s="76" t="s">
        <v>386</v>
      </c>
      <c r="C144" s="426" t="s">
        <v>403</v>
      </c>
      <c r="D144" s="426"/>
    </row>
    <row r="145" spans="1:10" ht="15.6" customHeight="1" x14ac:dyDescent="0.25"/>
    <row r="146" spans="1:10" s="3" customFormat="1" ht="16.2" customHeight="1" x14ac:dyDescent="0.25">
      <c r="B146" s="418" t="s">
        <v>387</v>
      </c>
      <c r="C146" s="419"/>
      <c r="D146" s="420"/>
      <c r="G146" s="418" t="s">
        <v>388</v>
      </c>
      <c r="H146" s="419"/>
      <c r="I146" s="420"/>
    </row>
    <row r="147" spans="1:10" s="40" customFormat="1" ht="27" customHeight="1" x14ac:dyDescent="0.25">
      <c r="B147" s="80" t="s">
        <v>389</v>
      </c>
      <c r="C147" s="80" t="s">
        <v>390</v>
      </c>
      <c r="D147" s="80" t="s">
        <v>175</v>
      </c>
      <c r="G147" s="80" t="s">
        <v>389</v>
      </c>
      <c r="H147" s="80" t="s">
        <v>390</v>
      </c>
      <c r="I147" s="80" t="s">
        <v>175</v>
      </c>
    </row>
    <row r="148" spans="1:10" s="40" customFormat="1" ht="16.2" customHeight="1" x14ac:dyDescent="0.25">
      <c r="B148" s="80" t="s">
        <v>391</v>
      </c>
      <c r="C148" s="80" t="s">
        <v>391</v>
      </c>
      <c r="D148" s="80" t="s">
        <v>391</v>
      </c>
      <c r="G148" s="80" t="s">
        <v>92</v>
      </c>
      <c r="H148" s="80" t="s">
        <v>92</v>
      </c>
      <c r="I148" s="80" t="s">
        <v>92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21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7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2"/>
      <c r="F150" s="82">
        <v>40</v>
      </c>
      <c r="G150" s="81">
        <v>38</v>
      </c>
      <c r="H150" s="81">
        <v>2</v>
      </c>
      <c r="I150" s="428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2"/>
      <c r="F151" s="82">
        <v>50</v>
      </c>
      <c r="G151" s="81">
        <v>47</v>
      </c>
      <c r="H151" s="81">
        <v>3</v>
      </c>
      <c r="I151" s="428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2"/>
      <c r="F152" s="82">
        <v>60</v>
      </c>
      <c r="G152" s="81">
        <v>56</v>
      </c>
      <c r="H152" s="81">
        <v>3</v>
      </c>
      <c r="I152" s="428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2"/>
      <c r="F153" s="82">
        <v>70</v>
      </c>
      <c r="G153" s="81">
        <v>66</v>
      </c>
      <c r="H153" s="81">
        <v>3</v>
      </c>
      <c r="I153" s="428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2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8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22"/>
      <c r="E155" s="82"/>
      <c r="F155" s="82"/>
      <c r="G155" s="33">
        <f>G312</f>
        <v>4</v>
      </c>
      <c r="H155" s="33" t="e">
        <f ca="1">FORECAST(G155,OFFSET($H$149:$H$154,MATCH(G155,$G$149:$G$154,1)-1,0,2),OFFSET($G$149:$G$154,MATCH(G155,$G$149:$G$154,1)-1,0,2))</f>
        <v>#N/A</v>
      </c>
      <c r="I155" s="428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64</v>
      </c>
      <c r="C158" s="414" t="s">
        <v>381</v>
      </c>
      <c r="D158" s="415"/>
      <c r="G158" s="77" t="s">
        <v>84</v>
      </c>
      <c r="H158" s="78"/>
      <c r="I158" s="416" t="s">
        <v>400</v>
      </c>
      <c r="J158" s="417"/>
    </row>
    <row r="159" spans="1:10" s="3" customFormat="1" ht="16.2" customHeight="1" x14ac:dyDescent="0.25">
      <c r="B159" s="76" t="s">
        <v>383</v>
      </c>
      <c r="C159" s="415" t="s">
        <v>384</v>
      </c>
      <c r="D159" s="415"/>
      <c r="G159" s="77" t="s">
        <v>85</v>
      </c>
      <c r="H159" s="78"/>
      <c r="I159" s="29" t="s">
        <v>385</v>
      </c>
      <c r="J159" s="79"/>
    </row>
    <row r="160" spans="1:10" s="3" customFormat="1" ht="16.2" customHeight="1" x14ac:dyDescent="0.25">
      <c r="B160" s="76" t="s">
        <v>386</v>
      </c>
      <c r="C160" s="414" t="s">
        <v>404</v>
      </c>
      <c r="D160" s="414"/>
    </row>
    <row r="161" spans="1:10" ht="15.6" customHeight="1" x14ac:dyDescent="0.25"/>
    <row r="162" spans="1:10" s="3" customFormat="1" ht="16.2" customHeight="1" x14ac:dyDescent="0.25">
      <c r="B162" s="418" t="s">
        <v>387</v>
      </c>
      <c r="C162" s="419"/>
      <c r="D162" s="420"/>
      <c r="G162" s="418" t="s">
        <v>388</v>
      </c>
      <c r="H162" s="419"/>
      <c r="I162" s="420"/>
    </row>
    <row r="163" spans="1:10" s="40" customFormat="1" ht="27" customHeight="1" x14ac:dyDescent="0.25">
      <c r="B163" s="80" t="s">
        <v>389</v>
      </c>
      <c r="C163" s="80" t="s">
        <v>390</v>
      </c>
      <c r="D163" s="80" t="s">
        <v>175</v>
      </c>
      <c r="G163" s="80" t="s">
        <v>389</v>
      </c>
      <c r="H163" s="80" t="s">
        <v>390</v>
      </c>
      <c r="I163" s="80" t="s">
        <v>175</v>
      </c>
    </row>
    <row r="164" spans="1:10" s="40" customFormat="1" ht="16.2" customHeight="1" x14ac:dyDescent="0.25">
      <c r="B164" s="80" t="s">
        <v>391</v>
      </c>
      <c r="C164" s="80" t="s">
        <v>391</v>
      </c>
      <c r="D164" s="80" t="s">
        <v>391</v>
      </c>
      <c r="G164" s="80" t="s">
        <v>92</v>
      </c>
      <c r="H164" s="80" t="s">
        <v>92</v>
      </c>
      <c r="I164" s="80" t="s">
        <v>92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21">
        <v>0.57999999999999996</v>
      </c>
      <c r="F165" s="82">
        <v>30</v>
      </c>
      <c r="G165" s="256">
        <v>20</v>
      </c>
      <c r="H165" s="256">
        <v>-2</v>
      </c>
      <c r="I165" s="424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2"/>
      <c r="F166" s="82">
        <v>40</v>
      </c>
      <c r="G166" s="81">
        <v>38</v>
      </c>
      <c r="H166" s="81">
        <v>-1</v>
      </c>
      <c r="I166" s="424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2"/>
      <c r="F167" s="82">
        <v>50</v>
      </c>
      <c r="G167" s="81">
        <v>53</v>
      </c>
      <c r="H167" s="81">
        <v>-2</v>
      </c>
      <c r="I167" s="424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2"/>
      <c r="F168" s="82">
        <v>60</v>
      </c>
      <c r="G168" s="81">
        <v>72</v>
      </c>
      <c r="H168" s="81">
        <v>-4</v>
      </c>
      <c r="I168" s="424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2"/>
      <c r="F169" s="82">
        <v>70</v>
      </c>
      <c r="G169" s="81">
        <v>83</v>
      </c>
      <c r="H169" s="81">
        <v>-5</v>
      </c>
      <c r="I169" s="424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2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4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23"/>
      <c r="E171" s="82"/>
      <c r="F171" s="82"/>
      <c r="G171" s="33">
        <f>G312</f>
        <v>4</v>
      </c>
      <c r="H171" s="33" t="e">
        <f ca="1">FORECAST(G171,OFFSET($H$165:$H$170,MATCH(G171,$G$165:$G$170,1)-1,0,2),OFFSET($G$165:$G$170,MATCH(G171,$G$165:$G$170,1)-1,0,2))</f>
        <v>#N/A</v>
      </c>
      <c r="I171" s="424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64</v>
      </c>
      <c r="C174" s="414" t="s">
        <v>381</v>
      </c>
      <c r="D174" s="415"/>
      <c r="G174" s="77" t="s">
        <v>84</v>
      </c>
      <c r="H174" s="78"/>
      <c r="I174" s="416" t="s">
        <v>392</v>
      </c>
      <c r="J174" s="417"/>
    </row>
    <row r="175" spans="1:10" s="3" customFormat="1" ht="16.2" customHeight="1" x14ac:dyDescent="0.25">
      <c r="B175" s="76" t="s">
        <v>383</v>
      </c>
      <c r="C175" s="415" t="s">
        <v>384</v>
      </c>
      <c r="D175" s="415"/>
      <c r="G175" s="77" t="s">
        <v>85</v>
      </c>
      <c r="H175" s="78"/>
      <c r="I175" s="29" t="s">
        <v>385</v>
      </c>
      <c r="J175" s="79"/>
    </row>
    <row r="176" spans="1:10" s="3" customFormat="1" ht="16.2" customHeight="1" x14ac:dyDescent="0.25">
      <c r="B176" s="76" t="s">
        <v>386</v>
      </c>
      <c r="C176" s="414" t="s">
        <v>405</v>
      </c>
      <c r="D176" s="414"/>
    </row>
    <row r="177" spans="1:10" ht="15.6" customHeight="1" x14ac:dyDescent="0.25"/>
    <row r="178" spans="1:10" s="3" customFormat="1" ht="16.2" customHeight="1" x14ac:dyDescent="0.25">
      <c r="B178" s="418" t="s">
        <v>387</v>
      </c>
      <c r="C178" s="419"/>
      <c r="D178" s="420"/>
      <c r="G178" s="418" t="s">
        <v>388</v>
      </c>
      <c r="H178" s="419"/>
      <c r="I178" s="420"/>
    </row>
    <row r="179" spans="1:10" s="40" customFormat="1" ht="27" customHeight="1" x14ac:dyDescent="0.25">
      <c r="B179" s="80" t="s">
        <v>389</v>
      </c>
      <c r="C179" s="80" t="s">
        <v>390</v>
      </c>
      <c r="D179" s="80" t="s">
        <v>175</v>
      </c>
      <c r="G179" s="80" t="s">
        <v>389</v>
      </c>
      <c r="H179" s="80" t="s">
        <v>390</v>
      </c>
      <c r="I179" s="80" t="s">
        <v>175</v>
      </c>
    </row>
    <row r="180" spans="1:10" s="40" customFormat="1" ht="16.2" customHeight="1" x14ac:dyDescent="0.25">
      <c r="B180" s="80" t="s">
        <v>391</v>
      </c>
      <c r="C180" s="80" t="s">
        <v>391</v>
      </c>
      <c r="D180" s="80" t="s">
        <v>391</v>
      </c>
      <c r="G180" s="80" t="s">
        <v>92</v>
      </c>
      <c r="H180" s="80" t="s">
        <v>92</v>
      </c>
      <c r="I180" s="80" t="s">
        <v>92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21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4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2"/>
      <c r="F182" s="82">
        <v>40</v>
      </c>
      <c r="G182" s="81">
        <v>41</v>
      </c>
      <c r="H182" s="81">
        <v>-1</v>
      </c>
      <c r="I182" s="424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2"/>
      <c r="F183" s="82">
        <v>50</v>
      </c>
      <c r="G183" s="81">
        <v>52</v>
      </c>
      <c r="H183" s="81">
        <v>-2</v>
      </c>
      <c r="I183" s="424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2"/>
      <c r="F184" s="82">
        <v>60</v>
      </c>
      <c r="G184" s="81">
        <v>61</v>
      </c>
      <c r="H184" s="81">
        <v>-2</v>
      </c>
      <c r="I184" s="424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2"/>
      <c r="F185" s="82">
        <v>70</v>
      </c>
      <c r="G185" s="81">
        <v>71</v>
      </c>
      <c r="H185" s="81">
        <v>-2</v>
      </c>
      <c r="I185" s="424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2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4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23"/>
      <c r="E187" s="82"/>
      <c r="F187" s="82"/>
      <c r="G187" s="33">
        <f>G312</f>
        <v>4</v>
      </c>
      <c r="H187" s="33" t="e">
        <f ca="1">FORECAST(G187,OFFSET($H$181:$H$186,MATCH(G187,$G$181:$G$186,1)-1,0,2),OFFSET($G$181:$G$186,MATCH(G187,$G$181:$G$186,1)-1,0,2))</f>
        <v>#N/A</v>
      </c>
      <c r="I187" s="424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64</v>
      </c>
      <c r="C190" s="414" t="s">
        <v>381</v>
      </c>
      <c r="D190" s="415"/>
      <c r="G190" s="77" t="s">
        <v>84</v>
      </c>
      <c r="H190" s="78"/>
      <c r="I190" s="416" t="s">
        <v>392</v>
      </c>
      <c r="J190" s="417"/>
    </row>
    <row r="191" spans="1:10" s="3" customFormat="1" ht="16.2" customHeight="1" x14ac:dyDescent="0.25">
      <c r="B191" s="76" t="s">
        <v>383</v>
      </c>
      <c r="C191" s="415" t="s">
        <v>384</v>
      </c>
      <c r="D191" s="415"/>
      <c r="G191" s="77" t="s">
        <v>85</v>
      </c>
      <c r="H191" s="78"/>
      <c r="I191" s="29" t="s">
        <v>385</v>
      </c>
      <c r="J191" s="79"/>
    </row>
    <row r="192" spans="1:10" s="3" customFormat="1" ht="16.2" customHeight="1" x14ac:dyDescent="0.25">
      <c r="B192" s="76" t="s">
        <v>386</v>
      </c>
      <c r="C192" s="414" t="s">
        <v>406</v>
      </c>
      <c r="D192" s="414"/>
    </row>
    <row r="193" spans="1:10" ht="15.6" customHeight="1" x14ac:dyDescent="0.25"/>
    <row r="194" spans="1:10" s="3" customFormat="1" ht="16.2" customHeight="1" x14ac:dyDescent="0.25">
      <c r="B194" s="418" t="s">
        <v>387</v>
      </c>
      <c r="C194" s="419"/>
      <c r="D194" s="420"/>
      <c r="G194" s="418" t="s">
        <v>388</v>
      </c>
      <c r="H194" s="419"/>
      <c r="I194" s="420"/>
    </row>
    <row r="195" spans="1:10" s="40" customFormat="1" ht="27" customHeight="1" x14ac:dyDescent="0.25">
      <c r="B195" s="80" t="s">
        <v>389</v>
      </c>
      <c r="C195" s="80" t="s">
        <v>390</v>
      </c>
      <c r="D195" s="80" t="s">
        <v>175</v>
      </c>
      <c r="G195" s="80" t="s">
        <v>389</v>
      </c>
      <c r="H195" s="80" t="s">
        <v>390</v>
      </c>
      <c r="I195" s="80" t="s">
        <v>175</v>
      </c>
    </row>
    <row r="196" spans="1:10" s="40" customFormat="1" ht="16.2" customHeight="1" x14ac:dyDescent="0.25">
      <c r="B196" s="80" t="s">
        <v>391</v>
      </c>
      <c r="C196" s="80" t="s">
        <v>391</v>
      </c>
      <c r="D196" s="80" t="s">
        <v>391</v>
      </c>
      <c r="G196" s="80" t="s">
        <v>92</v>
      </c>
      <c r="H196" s="80" t="s">
        <v>92</v>
      </c>
      <c r="I196" s="80" t="s">
        <v>92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21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4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2"/>
      <c r="F198" s="82">
        <v>40</v>
      </c>
      <c r="G198" s="81">
        <v>39</v>
      </c>
      <c r="H198" s="81">
        <v>1</v>
      </c>
      <c r="I198" s="424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2"/>
      <c r="F199" s="82">
        <v>50</v>
      </c>
      <c r="G199" s="81">
        <v>50</v>
      </c>
      <c r="H199" s="81">
        <v>0</v>
      </c>
      <c r="I199" s="424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2"/>
      <c r="F200" s="82">
        <v>60</v>
      </c>
      <c r="G200" s="81">
        <v>60</v>
      </c>
      <c r="H200" s="81">
        <v>-1</v>
      </c>
      <c r="I200" s="424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2"/>
      <c r="F201" s="82">
        <v>70</v>
      </c>
      <c r="G201" s="81">
        <v>70</v>
      </c>
      <c r="H201" s="81">
        <v>-1</v>
      </c>
      <c r="I201" s="424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2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4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23"/>
      <c r="E203" s="82"/>
      <c r="F203" s="82"/>
      <c r="G203" s="33">
        <f>G$312</f>
        <v>4</v>
      </c>
      <c r="H203" s="33" t="e">
        <f ca="1">FORECAST(G203,OFFSET($H$197:$H$202,MATCH(G203,$G$197:$G$202,1)-1,0,2),OFFSET($G$197:$G$202,MATCH(G203,$G$197:$G$202,1)-1,0,2))</f>
        <v>#N/A</v>
      </c>
      <c r="I203" s="424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64</v>
      </c>
      <c r="C206" s="414" t="s">
        <v>381</v>
      </c>
      <c r="D206" s="415"/>
      <c r="G206" s="77" t="s">
        <v>84</v>
      </c>
      <c r="H206" s="78"/>
      <c r="I206" s="416" t="s">
        <v>407</v>
      </c>
      <c r="J206" s="417"/>
    </row>
    <row r="207" spans="1:10" s="3" customFormat="1" ht="16.2" customHeight="1" x14ac:dyDescent="0.25">
      <c r="B207" s="76" t="s">
        <v>383</v>
      </c>
      <c r="C207" s="415" t="s">
        <v>384</v>
      </c>
      <c r="D207" s="415"/>
      <c r="G207" s="77" t="s">
        <v>85</v>
      </c>
      <c r="H207" s="78"/>
      <c r="I207" s="29" t="s">
        <v>385</v>
      </c>
      <c r="J207" s="79"/>
    </row>
    <row r="208" spans="1:10" s="3" customFormat="1" ht="16.2" customHeight="1" x14ac:dyDescent="0.25">
      <c r="B208" s="76" t="s">
        <v>386</v>
      </c>
      <c r="C208" s="414" t="s">
        <v>408</v>
      </c>
      <c r="D208" s="414"/>
    </row>
    <row r="209" spans="1:10" ht="15.6" customHeight="1" x14ac:dyDescent="0.25"/>
    <row r="210" spans="1:10" s="3" customFormat="1" ht="16.2" customHeight="1" x14ac:dyDescent="0.25">
      <c r="B210" s="418" t="s">
        <v>387</v>
      </c>
      <c r="C210" s="419"/>
      <c r="D210" s="420"/>
      <c r="G210" s="418" t="s">
        <v>388</v>
      </c>
      <c r="H210" s="419"/>
      <c r="I210" s="420"/>
    </row>
    <row r="211" spans="1:10" s="40" customFormat="1" ht="27" customHeight="1" x14ac:dyDescent="0.25">
      <c r="B211" s="80" t="s">
        <v>389</v>
      </c>
      <c r="C211" s="80" t="s">
        <v>390</v>
      </c>
      <c r="D211" s="80" t="s">
        <v>175</v>
      </c>
      <c r="G211" s="80" t="s">
        <v>389</v>
      </c>
      <c r="H211" s="80" t="s">
        <v>390</v>
      </c>
      <c r="I211" s="80" t="s">
        <v>175</v>
      </c>
    </row>
    <row r="212" spans="1:10" s="40" customFormat="1" ht="16.2" customHeight="1" x14ac:dyDescent="0.25">
      <c r="B212" s="80" t="s">
        <v>391</v>
      </c>
      <c r="C212" s="80" t="s">
        <v>391</v>
      </c>
      <c r="D212" s="80" t="s">
        <v>391</v>
      </c>
      <c r="G212" s="80" t="s">
        <v>92</v>
      </c>
      <c r="H212" s="80" t="s">
        <v>92</v>
      </c>
      <c r="I212" s="80" t="s">
        <v>92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21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4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2"/>
      <c r="F214" s="82">
        <v>40</v>
      </c>
      <c r="G214" s="81">
        <v>40</v>
      </c>
      <c r="H214" s="81">
        <v>0</v>
      </c>
      <c r="I214" s="424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2"/>
      <c r="F215" s="82">
        <v>50</v>
      </c>
      <c r="G215" s="81">
        <v>52</v>
      </c>
      <c r="H215" s="81">
        <v>-1</v>
      </c>
      <c r="I215" s="424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2"/>
      <c r="F216" s="82">
        <v>60</v>
      </c>
      <c r="G216" s="81">
        <v>64</v>
      </c>
      <c r="H216" s="81">
        <v>-3</v>
      </c>
      <c r="I216" s="424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2"/>
      <c r="F217" s="82">
        <v>70</v>
      </c>
      <c r="G217" s="81">
        <v>77</v>
      </c>
      <c r="H217" s="81">
        <v>-3</v>
      </c>
      <c r="I217" s="424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2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4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23"/>
      <c r="E219" s="82"/>
      <c r="F219" s="82"/>
      <c r="G219" s="33">
        <f>G$312</f>
        <v>4</v>
      </c>
      <c r="H219" s="33" t="e">
        <f ca="1">FORECAST(G219,OFFSET($H$213:$H$218,MATCH(G219,$G$213:$G$218,1)-1,0,2),OFFSET($G$213:$G$218,MATCH(G219,$G$213:$G$218,1)-1,0,2))</f>
        <v>#N/A</v>
      </c>
      <c r="I219" s="424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64</v>
      </c>
      <c r="C222" s="414" t="s">
        <v>381</v>
      </c>
      <c r="D222" s="415"/>
      <c r="G222" s="77" t="s">
        <v>84</v>
      </c>
      <c r="H222" s="78"/>
      <c r="I222" s="416" t="s">
        <v>407</v>
      </c>
      <c r="J222" s="417"/>
    </row>
    <row r="223" spans="1:10" s="3" customFormat="1" ht="16.2" customHeight="1" x14ac:dyDescent="0.25">
      <c r="B223" s="76" t="s">
        <v>383</v>
      </c>
      <c r="C223" s="415" t="s">
        <v>384</v>
      </c>
      <c r="D223" s="415"/>
      <c r="G223" s="77" t="s">
        <v>85</v>
      </c>
      <c r="H223" s="78"/>
      <c r="I223" s="29" t="s">
        <v>385</v>
      </c>
      <c r="J223" s="79"/>
    </row>
    <row r="224" spans="1:10" s="3" customFormat="1" ht="16.2" customHeight="1" x14ac:dyDescent="0.25">
      <c r="B224" s="76" t="s">
        <v>386</v>
      </c>
      <c r="C224" s="414" t="s">
        <v>409</v>
      </c>
      <c r="D224" s="414"/>
    </row>
    <row r="225" spans="1:10" ht="15.6" customHeight="1" x14ac:dyDescent="0.25"/>
    <row r="226" spans="1:10" s="3" customFormat="1" ht="16.2" customHeight="1" x14ac:dyDescent="0.25">
      <c r="B226" s="418" t="s">
        <v>387</v>
      </c>
      <c r="C226" s="419"/>
      <c r="D226" s="420"/>
      <c r="G226" s="418" t="s">
        <v>388</v>
      </c>
      <c r="H226" s="419"/>
      <c r="I226" s="420"/>
    </row>
    <row r="227" spans="1:10" s="40" customFormat="1" ht="27" customHeight="1" x14ac:dyDescent="0.25">
      <c r="B227" s="80" t="s">
        <v>389</v>
      </c>
      <c r="C227" s="80" t="s">
        <v>390</v>
      </c>
      <c r="D227" s="80" t="s">
        <v>175</v>
      </c>
      <c r="G227" s="80" t="s">
        <v>389</v>
      </c>
      <c r="H227" s="80" t="s">
        <v>390</v>
      </c>
      <c r="I227" s="80" t="s">
        <v>175</v>
      </c>
    </row>
    <row r="228" spans="1:10" s="40" customFormat="1" ht="16.2" customHeight="1" x14ac:dyDescent="0.25">
      <c r="B228" s="80" t="s">
        <v>391</v>
      </c>
      <c r="C228" s="80" t="s">
        <v>391</v>
      </c>
      <c r="D228" s="80" t="s">
        <v>391</v>
      </c>
      <c r="G228" s="80" t="s">
        <v>92</v>
      </c>
      <c r="H228" s="80" t="s">
        <v>92</v>
      </c>
      <c r="I228" s="80" t="s">
        <v>92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21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4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2"/>
      <c r="F230" s="82">
        <v>40</v>
      </c>
      <c r="G230" s="81">
        <v>40</v>
      </c>
      <c r="H230" s="81">
        <v>0</v>
      </c>
      <c r="I230" s="424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2"/>
      <c r="F231" s="82">
        <v>50</v>
      </c>
      <c r="G231" s="81">
        <v>52</v>
      </c>
      <c r="H231" s="81">
        <v>-1</v>
      </c>
      <c r="I231" s="424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2"/>
      <c r="F232" s="82">
        <v>60</v>
      </c>
      <c r="G232" s="81">
        <v>64</v>
      </c>
      <c r="H232" s="81">
        <v>-3</v>
      </c>
      <c r="I232" s="424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2"/>
      <c r="F233" s="82">
        <v>70</v>
      </c>
      <c r="G233" s="81">
        <v>77</v>
      </c>
      <c r="H233" s="81">
        <v>-3</v>
      </c>
      <c r="I233" s="424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2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4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23"/>
      <c r="E235" s="82"/>
      <c r="F235" s="82"/>
      <c r="G235" s="33">
        <f>G$312</f>
        <v>4</v>
      </c>
      <c r="H235" s="33" t="e">
        <f ca="1">FORECAST(G235,OFFSET($H$229:$H$234,MATCH(G235,$G$229:$G$234,1)-1,0,2),OFFSET($G$229:$G$234,MATCH(G235,$G$229:$G$234,1)-1,0,2))</f>
        <v>#N/A</v>
      </c>
      <c r="I235" s="424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64</v>
      </c>
      <c r="C238" s="414" t="s">
        <v>381</v>
      </c>
      <c r="D238" s="415"/>
      <c r="G238" s="77" t="s">
        <v>84</v>
      </c>
      <c r="H238" s="78"/>
      <c r="I238" s="416" t="s">
        <v>407</v>
      </c>
      <c r="J238" s="417"/>
    </row>
    <row r="239" spans="1:10" s="3" customFormat="1" ht="16.2" customHeight="1" x14ac:dyDescent="0.25">
      <c r="B239" s="76" t="s">
        <v>383</v>
      </c>
      <c r="C239" s="415" t="s">
        <v>384</v>
      </c>
      <c r="D239" s="415"/>
      <c r="G239" s="77" t="s">
        <v>85</v>
      </c>
      <c r="H239" s="78"/>
      <c r="I239" s="29" t="s">
        <v>385</v>
      </c>
      <c r="J239" s="79"/>
    </row>
    <row r="240" spans="1:10" s="3" customFormat="1" ht="16.2" customHeight="1" x14ac:dyDescent="0.25">
      <c r="B240" s="76" t="s">
        <v>386</v>
      </c>
      <c r="C240" s="414" t="s">
        <v>410</v>
      </c>
      <c r="D240" s="414"/>
    </row>
    <row r="241" spans="1:10" ht="15.6" customHeight="1" x14ac:dyDescent="0.25"/>
    <row r="242" spans="1:10" s="3" customFormat="1" ht="16.2" customHeight="1" x14ac:dyDescent="0.25">
      <c r="B242" s="418" t="s">
        <v>387</v>
      </c>
      <c r="C242" s="419"/>
      <c r="D242" s="420"/>
      <c r="G242" s="418" t="s">
        <v>388</v>
      </c>
      <c r="H242" s="419"/>
      <c r="I242" s="420"/>
    </row>
    <row r="243" spans="1:10" s="40" customFormat="1" ht="27" customHeight="1" x14ac:dyDescent="0.25">
      <c r="B243" s="80" t="s">
        <v>389</v>
      </c>
      <c r="C243" s="80" t="s">
        <v>390</v>
      </c>
      <c r="D243" s="80" t="s">
        <v>175</v>
      </c>
      <c r="G243" s="80" t="s">
        <v>389</v>
      </c>
      <c r="H243" s="80" t="s">
        <v>390</v>
      </c>
      <c r="I243" s="80" t="s">
        <v>175</v>
      </c>
    </row>
    <row r="244" spans="1:10" s="40" customFormat="1" ht="16.2" customHeight="1" x14ac:dyDescent="0.25">
      <c r="B244" s="80" t="s">
        <v>391</v>
      </c>
      <c r="C244" s="80" t="s">
        <v>391</v>
      </c>
      <c r="D244" s="80" t="s">
        <v>391</v>
      </c>
      <c r="G244" s="80" t="s">
        <v>92</v>
      </c>
      <c r="H244" s="80" t="s">
        <v>92</v>
      </c>
      <c r="I244" s="80" t="s">
        <v>92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21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4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2"/>
      <c r="F246" s="82">
        <v>40</v>
      </c>
      <c r="G246" s="81">
        <v>39</v>
      </c>
      <c r="H246" s="81">
        <v>1</v>
      </c>
      <c r="I246" s="424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2"/>
      <c r="F247" s="82">
        <v>50</v>
      </c>
      <c r="G247" s="81">
        <v>51</v>
      </c>
      <c r="H247" s="81">
        <v>0</v>
      </c>
      <c r="I247" s="424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2"/>
      <c r="F248" s="82">
        <v>60</v>
      </c>
      <c r="G248" s="81">
        <v>63</v>
      </c>
      <c r="H248" s="81">
        <v>-2</v>
      </c>
      <c r="I248" s="424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2"/>
      <c r="F249" s="82">
        <v>70</v>
      </c>
      <c r="G249" s="81">
        <v>78</v>
      </c>
      <c r="H249" s="81">
        <v>-4</v>
      </c>
      <c r="I249" s="424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2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4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23"/>
      <c r="E251" s="82"/>
      <c r="F251" s="82"/>
      <c r="G251" s="33">
        <f>G$312</f>
        <v>4</v>
      </c>
      <c r="H251" s="33" t="e">
        <f ca="1">FORECAST(G251,OFFSET($H$245:$H$250,MATCH(G251,$G$245:$G$250,1)-1,0,2),OFFSET($G$245:$G$250,MATCH(G251,$G$245:$G$250,1)-1,0,2))</f>
        <v>#N/A</v>
      </c>
      <c r="I251" s="424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64</v>
      </c>
      <c r="C254" s="414" t="s">
        <v>381</v>
      </c>
      <c r="D254" s="415"/>
      <c r="G254" s="77" t="s">
        <v>84</v>
      </c>
      <c r="H254" s="78"/>
      <c r="I254" s="416" t="s">
        <v>407</v>
      </c>
      <c r="J254" s="417"/>
    </row>
    <row r="255" spans="1:10" s="3" customFormat="1" ht="16.2" customHeight="1" x14ac:dyDescent="0.25">
      <c r="B255" s="76" t="s">
        <v>383</v>
      </c>
      <c r="C255" s="415" t="s">
        <v>384</v>
      </c>
      <c r="D255" s="415"/>
      <c r="G255" s="77" t="s">
        <v>85</v>
      </c>
      <c r="H255" s="78"/>
      <c r="I255" s="29" t="s">
        <v>385</v>
      </c>
      <c r="J255" s="79"/>
    </row>
    <row r="256" spans="1:10" s="3" customFormat="1" ht="16.2" customHeight="1" x14ac:dyDescent="0.25">
      <c r="B256" s="76" t="s">
        <v>386</v>
      </c>
      <c r="C256" s="414" t="s">
        <v>411</v>
      </c>
      <c r="D256" s="414"/>
    </row>
    <row r="257" spans="1:10" ht="15.6" customHeight="1" x14ac:dyDescent="0.25"/>
    <row r="258" spans="1:10" s="3" customFormat="1" ht="16.2" customHeight="1" x14ac:dyDescent="0.25">
      <c r="B258" s="418" t="s">
        <v>387</v>
      </c>
      <c r="C258" s="419"/>
      <c r="D258" s="420"/>
      <c r="G258" s="418" t="s">
        <v>388</v>
      </c>
      <c r="H258" s="419"/>
      <c r="I258" s="420"/>
    </row>
    <row r="259" spans="1:10" s="40" customFormat="1" ht="27" customHeight="1" x14ac:dyDescent="0.25">
      <c r="B259" s="80" t="s">
        <v>389</v>
      </c>
      <c r="C259" s="80" t="s">
        <v>390</v>
      </c>
      <c r="D259" s="80" t="s">
        <v>175</v>
      </c>
      <c r="G259" s="80" t="s">
        <v>389</v>
      </c>
      <c r="H259" s="80" t="s">
        <v>390</v>
      </c>
      <c r="I259" s="80" t="s">
        <v>175</v>
      </c>
    </row>
    <row r="260" spans="1:10" s="40" customFormat="1" ht="16.2" customHeight="1" x14ac:dyDescent="0.25">
      <c r="B260" s="80" t="s">
        <v>391</v>
      </c>
      <c r="C260" s="80" t="s">
        <v>391</v>
      </c>
      <c r="D260" s="80" t="s">
        <v>391</v>
      </c>
      <c r="G260" s="80" t="s">
        <v>92</v>
      </c>
      <c r="H260" s="80" t="s">
        <v>92</v>
      </c>
      <c r="I260" s="80" t="s">
        <v>92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21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4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2"/>
      <c r="F262" s="82">
        <v>40</v>
      </c>
      <c r="G262" s="81">
        <v>39</v>
      </c>
      <c r="H262" s="81">
        <v>1</v>
      </c>
      <c r="I262" s="424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2"/>
      <c r="F263" s="82">
        <v>50</v>
      </c>
      <c r="G263" s="81">
        <v>51</v>
      </c>
      <c r="H263" s="81">
        <v>0</v>
      </c>
      <c r="I263" s="424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2"/>
      <c r="F264" s="82">
        <v>60</v>
      </c>
      <c r="G264" s="81">
        <v>63</v>
      </c>
      <c r="H264" s="81">
        <v>-2</v>
      </c>
      <c r="I264" s="424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2"/>
      <c r="F265" s="82">
        <v>70</v>
      </c>
      <c r="G265" s="81">
        <v>78</v>
      </c>
      <c r="H265" s="81">
        <v>-4</v>
      </c>
      <c r="I265" s="424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2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4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23"/>
      <c r="E267" s="82"/>
      <c r="F267" s="82"/>
      <c r="G267" s="33">
        <f>G$312</f>
        <v>4</v>
      </c>
      <c r="H267" s="33" t="e">
        <f ca="1">FORECAST(G267,OFFSET($H$261:$H$266,MATCH(G267,$G$261:$G$266,1)-1,0,2),OFFSET($G$261:$G$266,MATCH(G267,$G$261:$G$266,1)-1,0,2))</f>
        <v>#N/A</v>
      </c>
      <c r="I267" s="424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64</v>
      </c>
      <c r="C270" s="414" t="s">
        <v>381</v>
      </c>
      <c r="D270" s="415"/>
      <c r="G270" s="77" t="s">
        <v>84</v>
      </c>
      <c r="H270" s="78"/>
      <c r="I270" s="416" t="s">
        <v>407</v>
      </c>
      <c r="J270" s="417"/>
    </row>
    <row r="271" spans="1:10" s="3" customFormat="1" ht="16.2" customHeight="1" x14ac:dyDescent="0.25">
      <c r="B271" s="76" t="s">
        <v>383</v>
      </c>
      <c r="C271" s="415" t="s">
        <v>384</v>
      </c>
      <c r="D271" s="415"/>
      <c r="G271" s="77" t="s">
        <v>85</v>
      </c>
      <c r="H271" s="78"/>
      <c r="I271" s="29" t="s">
        <v>385</v>
      </c>
      <c r="J271" s="79"/>
    </row>
    <row r="272" spans="1:10" s="3" customFormat="1" ht="16.2" customHeight="1" x14ac:dyDescent="0.25">
      <c r="B272" s="76" t="s">
        <v>386</v>
      </c>
      <c r="C272" s="414" t="s">
        <v>412</v>
      </c>
      <c r="D272" s="414"/>
    </row>
    <row r="273" spans="1:9" ht="15.6" customHeight="1" x14ac:dyDescent="0.25"/>
    <row r="274" spans="1:9" s="3" customFormat="1" ht="16.2" customHeight="1" x14ac:dyDescent="0.25">
      <c r="B274" s="418" t="s">
        <v>387</v>
      </c>
      <c r="C274" s="419"/>
      <c r="D274" s="420"/>
      <c r="G274" s="418" t="s">
        <v>388</v>
      </c>
      <c r="H274" s="419"/>
      <c r="I274" s="420"/>
    </row>
    <row r="275" spans="1:9" s="40" customFormat="1" ht="27" customHeight="1" x14ac:dyDescent="0.25">
      <c r="B275" s="80" t="s">
        <v>389</v>
      </c>
      <c r="C275" s="80" t="s">
        <v>390</v>
      </c>
      <c r="D275" s="80" t="s">
        <v>175</v>
      </c>
      <c r="G275" s="80" t="s">
        <v>389</v>
      </c>
      <c r="H275" s="80" t="s">
        <v>390</v>
      </c>
      <c r="I275" s="80" t="s">
        <v>175</v>
      </c>
    </row>
    <row r="276" spans="1:9" s="40" customFormat="1" ht="16.2" customHeight="1" x14ac:dyDescent="0.25">
      <c r="B276" s="80" t="s">
        <v>391</v>
      </c>
      <c r="C276" s="80" t="s">
        <v>391</v>
      </c>
      <c r="D276" s="80" t="s">
        <v>391</v>
      </c>
      <c r="G276" s="80" t="s">
        <v>92</v>
      </c>
      <c r="H276" s="80" t="s">
        <v>92</v>
      </c>
      <c r="I276" s="80" t="s">
        <v>92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21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4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2"/>
      <c r="F278" s="82">
        <v>40</v>
      </c>
      <c r="G278" s="81">
        <v>38</v>
      </c>
      <c r="H278" s="81">
        <v>2</v>
      </c>
      <c r="I278" s="424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2"/>
      <c r="F279" s="82">
        <v>50</v>
      </c>
      <c r="G279" s="81">
        <v>50</v>
      </c>
      <c r="H279" s="81">
        <v>1</v>
      </c>
      <c r="I279" s="424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2"/>
      <c r="F280" s="82">
        <v>60</v>
      </c>
      <c r="G280" s="81">
        <v>62</v>
      </c>
      <c r="H280" s="81">
        <v>-1</v>
      </c>
      <c r="I280" s="424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2"/>
      <c r="F281" s="82">
        <v>70</v>
      </c>
      <c r="G281" s="81">
        <v>77</v>
      </c>
      <c r="H281" s="81">
        <v>-3</v>
      </c>
      <c r="I281" s="424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2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4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23"/>
      <c r="E283" s="82"/>
      <c r="F283" s="82"/>
      <c r="G283" s="33">
        <f>G$312</f>
        <v>4</v>
      </c>
      <c r="H283" s="33" t="e">
        <f ca="1">FORECAST(G283,OFFSET($H$277:$H$282,MATCH(G283,$G$277:$G$282,1)-1,0,2),OFFSET($G$277:$G$282,MATCH(G283,$G$277:$G$282,1)-1,0,2))</f>
        <v>#N/A</v>
      </c>
      <c r="I283" s="424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8" t="s">
        <v>387</v>
      </c>
      <c r="C288" s="419"/>
      <c r="D288" s="420"/>
      <c r="G288" s="418" t="s">
        <v>388</v>
      </c>
      <c r="H288" s="419"/>
      <c r="I288" s="420"/>
    </row>
    <row r="289" spans="2:9" s="40" customFormat="1" ht="27" customHeight="1" x14ac:dyDescent="0.25">
      <c r="B289" s="322" t="s">
        <v>413</v>
      </c>
      <c r="C289" s="80" t="s">
        <v>390</v>
      </c>
      <c r="D289" s="80" t="s">
        <v>175</v>
      </c>
      <c r="G289" s="322" t="s">
        <v>413</v>
      </c>
      <c r="H289" s="80" t="s">
        <v>390</v>
      </c>
      <c r="I289" s="80" t="s">
        <v>175</v>
      </c>
    </row>
    <row r="290" spans="2:9" s="40" customFormat="1" ht="16.2" customHeight="1" x14ac:dyDescent="0.25">
      <c r="B290" s="323"/>
      <c r="C290" s="80" t="s">
        <v>391</v>
      </c>
      <c r="D290" s="80" t="s">
        <v>391</v>
      </c>
      <c r="G290" s="323"/>
      <c r="H290" s="80" t="s">
        <v>92</v>
      </c>
      <c r="I290" s="80" t="s">
        <v>391</v>
      </c>
    </row>
    <row r="291" spans="2:9" s="82" customFormat="1" ht="16.2" customHeight="1" x14ac:dyDescent="0.25">
      <c r="B291" s="81" t="s">
        <v>87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393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394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396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397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398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399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401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402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403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404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405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406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408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409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410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411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412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414</v>
      </c>
      <c r="C311" s="1" t="s">
        <v>415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4</v>
      </c>
      <c r="H312" s="117" t="e">
        <f ca="1">H309</f>
        <v>#N/A</v>
      </c>
    </row>
    <row r="313" spans="2:9" s="3" customFormat="1" ht="16.2" customHeight="1" x14ac:dyDescent="0.3">
      <c r="B313" s="434" t="s">
        <v>416</v>
      </c>
      <c r="C313" s="435"/>
      <c r="D313" s="266"/>
      <c r="G313" s="434" t="s">
        <v>417</v>
      </c>
      <c r="H313" s="435"/>
    </row>
    <row r="314" spans="2:9" ht="16.2" customHeight="1" x14ac:dyDescent="0.3">
      <c r="B314" s="430" t="e">
        <f ca="1">B312+C312</f>
        <v>#N/A</v>
      </c>
      <c r="C314" s="431"/>
      <c r="D314" s="265"/>
      <c r="G314" s="430" t="e">
        <f ca="1">G312+H312</f>
        <v>#N/A</v>
      </c>
      <c r="H314" s="431"/>
    </row>
    <row r="315" spans="2:9" ht="16.2" customHeight="1" x14ac:dyDescent="0.3">
      <c r="D315" s="265"/>
    </row>
    <row r="316" spans="2:9" s="21" customFormat="1" ht="16.2" customHeight="1" x14ac:dyDescent="0.25">
      <c r="B316" s="432" t="s">
        <v>418</v>
      </c>
      <c r="C316" s="86" t="s">
        <v>387</v>
      </c>
      <c r="D316" s="87" t="s">
        <v>388</v>
      </c>
    </row>
    <row r="317" spans="2:9" s="21" customFormat="1" ht="16.2" customHeight="1" x14ac:dyDescent="0.25">
      <c r="B317" s="433"/>
      <c r="C317" s="88" t="s">
        <v>90</v>
      </c>
      <c r="D317" s="89" t="s">
        <v>92</v>
      </c>
    </row>
    <row r="318" spans="2:9" s="36" customFormat="1" ht="16.2" customHeight="1" x14ac:dyDescent="0.25">
      <c r="B318" s="90" t="s">
        <v>108</v>
      </c>
      <c r="C318" s="123">
        <f>STDEV('INPUT DATA'!E42:G42)/SQRT(3)</f>
        <v>0</v>
      </c>
      <c r="D318" s="123">
        <f>STDEV('INPUT DATA'!E43:G43)/SQRT(3)</f>
        <v>0</v>
      </c>
    </row>
    <row r="319" spans="2:9" s="36" customFormat="1" ht="16.2" customHeight="1" x14ac:dyDescent="0.25">
      <c r="B319" s="90" t="s">
        <v>419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420</v>
      </c>
      <c r="C320" s="81">
        <f>SQRT(C318^2+C319^2)</f>
        <v>0.27500000000000002</v>
      </c>
      <c r="D320" s="91">
        <f>SQRT(D318^2+D319^2)</f>
        <v>1.4</v>
      </c>
    </row>
    <row r="321" spans="2:4" s="21" customFormat="1" ht="16.2" customHeight="1" x14ac:dyDescent="0.25">
      <c r="B321" s="92" t="s">
        <v>421</v>
      </c>
      <c r="C321" s="115">
        <f>C320*2</f>
        <v>0.55000000000000004</v>
      </c>
      <c r="D321" s="116">
        <f>D320*2</f>
        <v>2.8</v>
      </c>
    </row>
  </sheetData>
  <mergeCells count="153"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71" t="s">
        <v>422</v>
      </c>
      <c r="B1" s="371"/>
      <c r="C1" s="371"/>
    </row>
    <row r="2" spans="1:3" x14ac:dyDescent="0.25">
      <c r="A2" s="260"/>
      <c r="B2" s="18"/>
      <c r="C2" s="16"/>
    </row>
    <row r="3" spans="1:3" x14ac:dyDescent="0.25">
      <c r="A3" s="192" t="s">
        <v>423</v>
      </c>
      <c r="B3" s="119" t="s">
        <v>424</v>
      </c>
      <c r="C3" s="119" t="s">
        <v>425</v>
      </c>
    </row>
    <row r="4" spans="1:3" x14ac:dyDescent="0.25">
      <c r="A4" s="260">
        <v>44525</v>
      </c>
      <c r="B4" s="18" t="s">
        <v>426</v>
      </c>
      <c r="C4" s="16" t="s">
        <v>427</v>
      </c>
    </row>
    <row r="5" spans="1:3" x14ac:dyDescent="0.25">
      <c r="A5" s="260">
        <v>44650</v>
      </c>
      <c r="B5" s="18" t="s">
        <v>428</v>
      </c>
      <c r="C5" s="16" t="s">
        <v>427</v>
      </c>
    </row>
    <row r="6" spans="1:3" x14ac:dyDescent="0.25">
      <c r="A6" s="260">
        <v>44705</v>
      </c>
      <c r="B6" s="18" t="s">
        <v>429</v>
      </c>
      <c r="C6" s="16" t="s">
        <v>427</v>
      </c>
    </row>
    <row r="7" spans="1:3" x14ac:dyDescent="0.25">
      <c r="A7" s="260">
        <v>44764</v>
      </c>
      <c r="B7" s="18" t="s">
        <v>430</v>
      </c>
      <c r="C7" s="16" t="s">
        <v>427</v>
      </c>
    </row>
    <row r="8" spans="1:3" x14ac:dyDescent="0.25">
      <c r="A8" s="260">
        <v>44880</v>
      </c>
      <c r="B8" s="121" t="s">
        <v>431</v>
      </c>
      <c r="C8" s="16" t="s">
        <v>427</v>
      </c>
    </row>
    <row r="9" spans="1:3" x14ac:dyDescent="0.25">
      <c r="A9" s="260">
        <v>44712</v>
      </c>
      <c r="B9" s="18" t="s">
        <v>429</v>
      </c>
      <c r="C9" s="16" t="s">
        <v>427</v>
      </c>
    </row>
    <row r="10" spans="1:3" x14ac:dyDescent="0.25">
      <c r="A10" s="260">
        <v>45214</v>
      </c>
      <c r="B10" s="18" t="s">
        <v>429</v>
      </c>
      <c r="C10" s="16" t="s">
        <v>427</v>
      </c>
    </row>
    <row r="11" spans="1:3" x14ac:dyDescent="0.25">
      <c r="A11" s="260">
        <v>45225</v>
      </c>
      <c r="B11" s="18" t="s">
        <v>432</v>
      </c>
      <c r="C11" s="16" t="s">
        <v>433</v>
      </c>
    </row>
    <row r="12" spans="1:3" x14ac:dyDescent="0.25">
      <c r="A12" s="260">
        <v>45225</v>
      </c>
      <c r="B12" s="18" t="s">
        <v>434</v>
      </c>
      <c r="C12" s="16" t="s">
        <v>433</v>
      </c>
    </row>
    <row r="13" spans="1:3" x14ac:dyDescent="0.25">
      <c r="A13" s="260">
        <v>45225</v>
      </c>
      <c r="B13" s="18" t="s">
        <v>435</v>
      </c>
      <c r="C13" s="16" t="s">
        <v>433</v>
      </c>
    </row>
    <row r="14" spans="1:3" x14ac:dyDescent="0.25">
      <c r="A14" s="260">
        <v>45225</v>
      </c>
      <c r="B14" s="18" t="s">
        <v>436</v>
      </c>
      <c r="C14" s="16" t="s">
        <v>433</v>
      </c>
    </row>
    <row r="15" spans="1:3" x14ac:dyDescent="0.25">
      <c r="A15" s="260">
        <v>45237</v>
      </c>
      <c r="B15" s="18" t="s">
        <v>437</v>
      </c>
      <c r="C15" s="16" t="s">
        <v>433</v>
      </c>
    </row>
    <row r="16" spans="1:3" x14ac:dyDescent="0.25">
      <c r="A16" s="260">
        <v>45266</v>
      </c>
      <c r="B16" s="18" t="s">
        <v>438</v>
      </c>
      <c r="C16" s="16" t="s">
        <v>433</v>
      </c>
    </row>
    <row r="17" spans="1:3" x14ac:dyDescent="0.25">
      <c r="A17" s="260">
        <v>45384</v>
      </c>
      <c r="B17" s="18" t="s">
        <v>439</v>
      </c>
      <c r="C17" s="16" t="s">
        <v>427</v>
      </c>
    </row>
    <row r="18" spans="1:3" x14ac:dyDescent="0.25">
      <c r="A18" s="192">
        <v>45468</v>
      </c>
      <c r="B18" s="209" t="s">
        <v>440</v>
      </c>
      <c r="C18" s="119" t="s">
        <v>427</v>
      </c>
    </row>
    <row r="19" spans="1:3" x14ac:dyDescent="0.25">
      <c r="A19" s="192">
        <v>45484</v>
      </c>
      <c r="B19" s="18" t="s">
        <v>430</v>
      </c>
      <c r="C19" s="119" t="s">
        <v>427</v>
      </c>
    </row>
    <row r="20" spans="1:3" x14ac:dyDescent="0.25">
      <c r="A20" s="192">
        <v>45488</v>
      </c>
      <c r="B20" s="18" t="s">
        <v>441</v>
      </c>
      <c r="C20" s="119" t="s">
        <v>427</v>
      </c>
    </row>
    <row r="21" spans="1:3" x14ac:dyDescent="0.25">
      <c r="A21" s="192">
        <v>45592</v>
      </c>
      <c r="B21" s="209" t="s">
        <v>440</v>
      </c>
      <c r="C21" s="119" t="s">
        <v>427</v>
      </c>
    </row>
    <row r="22" spans="1:3" x14ac:dyDescent="0.25">
      <c r="A22" s="192">
        <v>45592</v>
      </c>
      <c r="B22" s="209" t="s">
        <v>442</v>
      </c>
      <c r="C22" s="119" t="s">
        <v>427</v>
      </c>
    </row>
    <row r="23" spans="1:3" x14ac:dyDescent="0.25">
      <c r="A23" s="260">
        <v>45719</v>
      </c>
      <c r="B23" s="18" t="s">
        <v>443</v>
      </c>
      <c r="C23" s="16" t="s">
        <v>427</v>
      </c>
    </row>
    <row r="24" spans="1:3" x14ac:dyDescent="0.25">
      <c r="A24" s="260">
        <v>45808</v>
      </c>
      <c r="B24" s="18" t="s">
        <v>444</v>
      </c>
      <c r="C24" s="119" t="s">
        <v>427</v>
      </c>
    </row>
    <row r="25" spans="1:3" x14ac:dyDescent="0.25">
      <c r="A25" s="260">
        <v>45880</v>
      </c>
      <c r="B25" s="18" t="s">
        <v>445</v>
      </c>
      <c r="C25" s="119" t="s">
        <v>427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2025-12-22T01:31:59Z</dcterms:modified>
  <cp:category/>
</cp:coreProperties>
</file>