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fii\Downloads\"/>
    </mc:Choice>
  </mc:AlternateContent>
  <xr:revisionPtr revIDLastSave="0" documentId="8_{B8A2315A-7AFC-47C1-BC5D-DD46EA3141FF}" xr6:coauthVersionLast="47" xr6:coauthVersionMax="47" xr10:uidLastSave="{00000000-0000-0000-0000-000000000000}"/>
  <bookViews>
    <workbookView xWindow="-108" yWindow="-108" windowWidth="23256" windowHeight="13176" tabRatio="759" activeTab="2" xr2:uid="{00000000-000D-0000-FFFF-FFFF00000000}"/>
  </bookViews>
  <sheets>
    <sheet name="ACTION" sheetId="1" r:id="rId1"/>
    <sheet name="INPUT DATA" sheetId="2" r:id="rId2"/>
    <sheet name="SERTIFIKAT" sheetId="3" r:id="rId3"/>
    <sheet name="Pilih Standar" sheetId="4" r:id="rId4"/>
    <sheet name="KETIDAKPASTIAN" sheetId="5" state="hidden" r:id="rId5"/>
    <sheet name="LAMPIRAN" sheetId="6" r:id="rId6"/>
    <sheet name="TABEL DATA" sheetId="7" state="hidden" r:id="rId7"/>
    <sheet name="KONTROL SUHU" sheetId="8" state="hidden" r:id="rId8"/>
    <sheet name="Riwayat" sheetId="9" state="hidden" r:id="rId9"/>
  </sheets>
  <functionGroups builtInGroupCount="19"/>
  <definedNames>
    <definedName name="_xlnm._FilterDatabase" localSheetId="5" hidden="1">LAMPIRAN!$W$1:$W$63</definedName>
    <definedName name="A" localSheetId="7">#REF!</definedName>
    <definedName name="A">#REF!</definedName>
    <definedName name="a_1">#REF!</definedName>
    <definedName name="a_2">#REF!</definedName>
    <definedName name="a_3">#REF!</definedName>
    <definedName name="a_4">#REF!</definedName>
    <definedName name="a0">#REF!</definedName>
    <definedName name="Akurasi" localSheetId="7">#REF!</definedName>
    <definedName name="Akurasi">#REF!</definedName>
    <definedName name="alpha" localSheetId="7">#REF!</definedName>
    <definedName name="alpha">#REF!</definedName>
    <definedName name="B" localSheetId="7">#REF!</definedName>
    <definedName name="B">#REF!</definedName>
    <definedName name="c_1">#REF!</definedName>
    <definedName name="CC" localSheetId="7">#REF!</definedName>
    <definedName name="CC">#REF!</definedName>
    <definedName name="d_1">#REF!</definedName>
    <definedName name="e_1_1">#REF!</definedName>
    <definedName name="Excel_BuiltIn_Print_Area_9" localSheetId="7">#REF!</definedName>
    <definedName name="Excel_BuiltIn_Print_Area_9">#REF!</definedName>
    <definedName name="fdens" localSheetId="7">#REF!</definedName>
    <definedName name="fdens">#REF!</definedName>
    <definedName name="gama">#REF!</definedName>
    <definedName name="gl" localSheetId="7">#REF!</definedName>
    <definedName name="gl">#REF!</definedName>
    <definedName name="gn" localSheetId="7">#REF!</definedName>
    <definedName name="gn">#REF!</definedName>
    <definedName name="kon" localSheetId="7">#REF!</definedName>
    <definedName name="kon">#REF!</definedName>
    <definedName name="konv" localSheetId="7">#REF!</definedName>
    <definedName name="konv">#REF!</definedName>
    <definedName name="M_0" localSheetId="7">#REF!</definedName>
    <definedName name="M_0">#REF!</definedName>
    <definedName name="M_1" localSheetId="7">#REF!</definedName>
    <definedName name="M_1">#REF!</definedName>
    <definedName name="M_10" localSheetId="7">#REF!</definedName>
    <definedName name="M_10">#REF!</definedName>
    <definedName name="M_11" localSheetId="7">#REF!</definedName>
    <definedName name="M_11">#REF!</definedName>
    <definedName name="M_12" localSheetId="7">#REF!</definedName>
    <definedName name="M_12">#REF!</definedName>
    <definedName name="M_13" localSheetId="7">#REF!</definedName>
    <definedName name="M_13">#REF!</definedName>
    <definedName name="M_14" localSheetId="7">#REF!</definedName>
    <definedName name="M_14">#REF!</definedName>
    <definedName name="M_15" localSheetId="7">#REF!</definedName>
    <definedName name="M_15">#REF!</definedName>
    <definedName name="M_2" localSheetId="7">#REF!</definedName>
    <definedName name="M_2">#REF!</definedName>
    <definedName name="M_3" localSheetId="7">#REF!</definedName>
    <definedName name="M_3">#REF!</definedName>
    <definedName name="M_4" localSheetId="7">#REF!</definedName>
    <definedName name="M_4">#REF!</definedName>
    <definedName name="M_5" localSheetId="7">#REF!</definedName>
    <definedName name="M_5">#REF!</definedName>
    <definedName name="M_6" localSheetId="7">#REF!</definedName>
    <definedName name="M_6">#REF!</definedName>
    <definedName name="M_7" localSheetId="7">#REF!</definedName>
    <definedName name="M_7">#REF!</definedName>
    <definedName name="M_8" localSheetId="7">#REF!</definedName>
    <definedName name="M_8">#REF!</definedName>
    <definedName name="M_9" localSheetId="7">#REF!</definedName>
    <definedName name="M_9">#REF!</definedName>
    <definedName name="NST" localSheetId="7">#REF!</definedName>
    <definedName name="NST">#REF!</definedName>
    <definedName name="_xlnm.Print_Area" localSheetId="1">'INPUT DATA'!$A$1:$S$77</definedName>
    <definedName name="_xlnm.Print_Area" localSheetId="5">LAMPIRAN!$A$2:$U$53</definedName>
    <definedName name="_xlnm.Print_Area" localSheetId="8">Riwayat!$A$1:$C$36</definedName>
    <definedName name="_xlnm.Print_Area" localSheetId="2">SERTIFIKAT!$A$2:$N$58</definedName>
    <definedName name="rho" localSheetId="7">#REF!</definedName>
    <definedName name="rho">#REF!</definedName>
    <definedName name="sat_3" localSheetId="7">#REF!</definedName>
    <definedName name="sat_3">#REF!</definedName>
    <definedName name="st" localSheetId="7">#REF!</definedName>
    <definedName name="st">#REF!</definedName>
    <definedName name="suhu">#REF!</definedName>
    <definedName name="TABELSTANDARNILAI" localSheetId="7">#REF!</definedName>
    <definedName name="TABELSTANDARNOMINAL" localSheetId="7">#REF!</definedName>
    <definedName name="TABELSTANDARU" localSheetId="7">#REF!</definedName>
    <definedName name="temp.ruang">#REF!</definedName>
    <definedName name="temp.ruang1">#REF!</definedName>
    <definedName name="Tolerans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18" i="8" l="1"/>
  <c r="C318" i="8"/>
  <c r="G312" i="8"/>
  <c r="G171" i="8" s="1"/>
  <c r="H171" i="8" s="1"/>
  <c r="H301" i="8" s="1"/>
  <c r="B312" i="8"/>
  <c r="B283" i="8" s="1"/>
  <c r="C283" i="8" s="1"/>
  <c r="C308" i="8" s="1"/>
  <c r="B309" i="8"/>
  <c r="G309" i="8" s="1"/>
  <c r="I308" i="8"/>
  <c r="G308" i="8"/>
  <c r="D308" i="8"/>
  <c r="I307" i="8"/>
  <c r="G307" i="8"/>
  <c r="D307" i="8"/>
  <c r="I306" i="8"/>
  <c r="G306" i="8"/>
  <c r="D306" i="8"/>
  <c r="I305" i="8"/>
  <c r="G305" i="8"/>
  <c r="D305" i="8"/>
  <c r="I304" i="8"/>
  <c r="G304" i="8"/>
  <c r="D304" i="8"/>
  <c r="I303" i="8"/>
  <c r="G303" i="8"/>
  <c r="D303" i="8"/>
  <c r="I302" i="8"/>
  <c r="G302" i="8"/>
  <c r="D302" i="8"/>
  <c r="I301" i="8"/>
  <c r="G301" i="8"/>
  <c r="D301" i="8"/>
  <c r="I300" i="8"/>
  <c r="G300" i="8"/>
  <c r="D300" i="8"/>
  <c r="I299" i="8"/>
  <c r="G299" i="8"/>
  <c r="D299" i="8"/>
  <c r="I298" i="8"/>
  <c r="G298" i="8"/>
  <c r="D298" i="8"/>
  <c r="I297" i="8"/>
  <c r="G297" i="8"/>
  <c r="D297" i="8"/>
  <c r="I296" i="8"/>
  <c r="G296" i="8"/>
  <c r="D296" i="8"/>
  <c r="I295" i="8"/>
  <c r="G295" i="8"/>
  <c r="D295" i="8"/>
  <c r="I294" i="8"/>
  <c r="G294" i="8"/>
  <c r="D294" i="8"/>
  <c r="I293" i="8"/>
  <c r="G293" i="8"/>
  <c r="D293" i="8"/>
  <c r="I292" i="8"/>
  <c r="G292" i="8"/>
  <c r="D292" i="8"/>
  <c r="I291" i="8"/>
  <c r="G291" i="8"/>
  <c r="D291" i="8"/>
  <c r="H282" i="8"/>
  <c r="G282" i="8"/>
  <c r="C282" i="8"/>
  <c r="B282" i="8"/>
  <c r="H277" i="8"/>
  <c r="G277" i="8"/>
  <c r="C277" i="8"/>
  <c r="B277" i="8"/>
  <c r="H266" i="8"/>
  <c r="G266" i="8"/>
  <c r="C266" i="8"/>
  <c r="B266" i="8"/>
  <c r="H261" i="8"/>
  <c r="G261" i="8"/>
  <c r="C261" i="8"/>
  <c r="B261" i="8"/>
  <c r="G251" i="8"/>
  <c r="H251" i="8" s="1"/>
  <c r="H306" i="8" s="1"/>
  <c r="B251" i="8"/>
  <c r="C251" i="8" s="1"/>
  <c r="C306" i="8" s="1"/>
  <c r="H250" i="8"/>
  <c r="G250" i="8"/>
  <c r="C250" i="8"/>
  <c r="B250" i="8"/>
  <c r="H245" i="8"/>
  <c r="G245" i="8"/>
  <c r="C245" i="8"/>
  <c r="B245" i="8"/>
  <c r="G235" i="8"/>
  <c r="H235" i="8" s="1"/>
  <c r="H305" i="8" s="1"/>
  <c r="B235" i="8"/>
  <c r="C235" i="8" s="1"/>
  <c r="C305" i="8" s="1"/>
  <c r="H234" i="8"/>
  <c r="G234" i="8"/>
  <c r="C234" i="8"/>
  <c r="B234" i="8"/>
  <c r="H229" i="8"/>
  <c r="G229" i="8"/>
  <c r="C229" i="8"/>
  <c r="B229" i="8"/>
  <c r="H218" i="8"/>
  <c r="G218" i="8"/>
  <c r="C218" i="8"/>
  <c r="B218" i="8"/>
  <c r="H213" i="8"/>
  <c r="G213" i="8"/>
  <c r="C213" i="8"/>
  <c r="B213" i="8"/>
  <c r="G203" i="8"/>
  <c r="H203" i="8" s="1"/>
  <c r="H303" i="8" s="1"/>
  <c r="B203" i="8"/>
  <c r="C203" i="8" s="1"/>
  <c r="C303" i="8" s="1"/>
  <c r="H202" i="8"/>
  <c r="G202" i="8"/>
  <c r="C202" i="8"/>
  <c r="B202" i="8"/>
  <c r="H197" i="8"/>
  <c r="G197" i="8"/>
  <c r="C197" i="8"/>
  <c r="B197" i="8"/>
  <c r="B187" i="8"/>
  <c r="C187" i="8" s="1"/>
  <c r="C302" i="8" s="1"/>
  <c r="H186" i="8"/>
  <c r="G186" i="8"/>
  <c r="C186" i="8"/>
  <c r="B186" i="8"/>
  <c r="H181" i="8"/>
  <c r="G181" i="8"/>
  <c r="C181" i="8"/>
  <c r="B181" i="8"/>
  <c r="H170" i="8"/>
  <c r="G170" i="8"/>
  <c r="C170" i="8"/>
  <c r="B170" i="8"/>
  <c r="C165" i="8"/>
  <c r="G155" i="8"/>
  <c r="H155" i="8" s="1"/>
  <c r="H300" i="8" s="1"/>
  <c r="B155" i="8"/>
  <c r="C155" i="8" s="1"/>
  <c r="C300" i="8" s="1"/>
  <c r="H154" i="8"/>
  <c r="G154" i="8"/>
  <c r="C154" i="8"/>
  <c r="B154" i="8"/>
  <c r="H149" i="8"/>
  <c r="G149" i="8"/>
  <c r="C149" i="8"/>
  <c r="B149" i="8"/>
  <c r="H138" i="8"/>
  <c r="G138" i="8"/>
  <c r="C138" i="8"/>
  <c r="B138" i="8"/>
  <c r="H133" i="8"/>
  <c r="G133" i="8"/>
  <c r="C133" i="8"/>
  <c r="B133" i="8"/>
  <c r="G108" i="8"/>
  <c r="H108" i="8" s="1"/>
  <c r="H297" i="8" s="1"/>
  <c r="B108" i="8"/>
  <c r="C108" i="8" s="1"/>
  <c r="C297" i="8" s="1"/>
  <c r="H87" i="8"/>
  <c r="G87" i="8"/>
  <c r="C87" i="8"/>
  <c r="B87" i="8"/>
  <c r="B77" i="8"/>
  <c r="C77" i="8" s="1"/>
  <c r="C295" i="8" s="1"/>
  <c r="G61" i="8"/>
  <c r="H61" i="8" s="1"/>
  <c r="H294" i="8" s="1"/>
  <c r="H56" i="8"/>
  <c r="G56" i="8"/>
  <c r="C56" i="8"/>
  <c r="B56" i="8"/>
  <c r="G46" i="8"/>
  <c r="H46" i="8" s="1"/>
  <c r="H293" i="8" s="1"/>
  <c r="B31" i="8"/>
  <c r="C31" i="8" s="1"/>
  <c r="C292" i="8" s="1"/>
  <c r="H30" i="8"/>
  <c r="G30" i="8"/>
  <c r="C30" i="8"/>
  <c r="B30" i="8"/>
  <c r="H25" i="8"/>
  <c r="G25" i="8"/>
  <c r="C25" i="8"/>
  <c r="B25" i="8"/>
  <c r="G15" i="8"/>
  <c r="H15" i="8" s="1"/>
  <c r="H291" i="8" s="1"/>
  <c r="B15" i="8"/>
  <c r="C15" i="8" s="1"/>
  <c r="C291" i="8" s="1"/>
  <c r="O26" i="7"/>
  <c r="C8" i="7"/>
  <c r="C7" i="7"/>
  <c r="R6" i="7"/>
  <c r="Q6" i="7"/>
  <c r="I6" i="7"/>
  <c r="N5" i="7"/>
  <c r="M5" i="7"/>
  <c r="O23" i="7" s="1"/>
  <c r="L5" i="7"/>
  <c r="M37" i="6" s="1"/>
  <c r="K5" i="7"/>
  <c r="D20" i="6" s="1"/>
  <c r="E3" i="7"/>
  <c r="A50" i="6"/>
  <c r="AC21" i="6"/>
  <c r="AA22" i="6" s="1"/>
  <c r="D14" i="6"/>
  <c r="AC13" i="6"/>
  <c r="AA14" i="6" s="1"/>
  <c r="F6" i="6"/>
  <c r="F5" i="6"/>
  <c r="F3" i="6" s="1"/>
  <c r="N39" i="5"/>
  <c r="N40" i="5" s="1"/>
  <c r="H26" i="5"/>
  <c r="J26" i="5" s="1"/>
  <c r="F26" i="5"/>
  <c r="E26" i="5"/>
  <c r="F25" i="5"/>
  <c r="F24" i="5"/>
  <c r="F23" i="5"/>
  <c r="F22" i="5"/>
  <c r="H22" i="5" s="1"/>
  <c r="F19" i="5"/>
  <c r="G18" i="5"/>
  <c r="F18" i="5"/>
  <c r="K12" i="5"/>
  <c r="E23" i="5" s="1"/>
  <c r="H23" i="5" s="1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L59" i="4" s="1"/>
  <c r="E25" i="5" s="1"/>
  <c r="H25" i="5" s="1"/>
  <c r="J25" i="5" s="1"/>
  <c r="M58" i="4"/>
  <c r="L58" i="4"/>
  <c r="CQ54" i="4"/>
  <c r="CP54" i="4"/>
  <c r="CO54" i="4"/>
  <c r="CN54" i="4"/>
  <c r="CM54" i="4"/>
  <c r="CL54" i="4"/>
  <c r="CK54" i="4"/>
  <c r="CJ54" i="4"/>
  <c r="CI54" i="4"/>
  <c r="CH54" i="4"/>
  <c r="CG54" i="4"/>
  <c r="CF54" i="4"/>
  <c r="CE54" i="4"/>
  <c r="CD54" i="4"/>
  <c r="CC54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H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CQ53" i="4"/>
  <c r="CP53" i="4"/>
  <c r="CO53" i="4"/>
  <c r="CN53" i="4"/>
  <c r="CM53" i="4"/>
  <c r="CL53" i="4"/>
  <c r="CK53" i="4"/>
  <c r="CJ53" i="4"/>
  <c r="CI53" i="4"/>
  <c r="CH53" i="4"/>
  <c r="CG53" i="4"/>
  <c r="CF53" i="4"/>
  <c r="CE53" i="4"/>
  <c r="CD53" i="4"/>
  <c r="CC53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H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CQ52" i="4"/>
  <c r="CP52" i="4"/>
  <c r="CO52" i="4"/>
  <c r="CN52" i="4"/>
  <c r="CM52" i="4"/>
  <c r="CL52" i="4"/>
  <c r="CK52" i="4"/>
  <c r="CJ52" i="4"/>
  <c r="CI52" i="4"/>
  <c r="CH52" i="4"/>
  <c r="CG52" i="4"/>
  <c r="CF52" i="4"/>
  <c r="CE52" i="4"/>
  <c r="CD52" i="4"/>
  <c r="CC52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H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CQ51" i="4"/>
  <c r="CP51" i="4"/>
  <c r="CO51" i="4"/>
  <c r="CN51" i="4"/>
  <c r="CM51" i="4"/>
  <c r="CL51" i="4"/>
  <c r="CK51" i="4"/>
  <c r="CJ51" i="4"/>
  <c r="CI51" i="4"/>
  <c r="CH51" i="4"/>
  <c r="CG51" i="4"/>
  <c r="CF51" i="4"/>
  <c r="CE51" i="4"/>
  <c r="CD51" i="4"/>
  <c r="CC51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H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CQ50" i="4"/>
  <c r="CP50" i="4"/>
  <c r="CO50" i="4"/>
  <c r="CN50" i="4"/>
  <c r="CM50" i="4"/>
  <c r="CL50" i="4"/>
  <c r="CK50" i="4"/>
  <c r="CJ50" i="4"/>
  <c r="CI50" i="4"/>
  <c r="CH50" i="4"/>
  <c r="CG50" i="4"/>
  <c r="CF50" i="4"/>
  <c r="CE50" i="4"/>
  <c r="CD50" i="4"/>
  <c r="CC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J50" i="4"/>
  <c r="I50" i="4"/>
  <c r="E50" i="4"/>
  <c r="G50" i="4" s="1"/>
  <c r="B50" i="4"/>
  <c r="CQ49" i="4"/>
  <c r="CP49" i="4"/>
  <c r="CO49" i="4"/>
  <c r="CN49" i="4"/>
  <c r="CM49" i="4"/>
  <c r="CL49" i="4"/>
  <c r="CK49" i="4"/>
  <c r="CJ49" i="4"/>
  <c r="CI49" i="4"/>
  <c r="CH49" i="4"/>
  <c r="CG49" i="4"/>
  <c r="CF49" i="4"/>
  <c r="CE49" i="4"/>
  <c r="CD49" i="4"/>
  <c r="CC49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H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R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G49" i="4"/>
  <c r="CQ48" i="4"/>
  <c r="CP48" i="4"/>
  <c r="CO48" i="4"/>
  <c r="CN48" i="4"/>
  <c r="CM48" i="4"/>
  <c r="CL48" i="4"/>
  <c r="CK48" i="4"/>
  <c r="CJ48" i="4"/>
  <c r="CI48" i="4"/>
  <c r="CH48" i="4"/>
  <c r="CG48" i="4"/>
  <c r="CF48" i="4"/>
  <c r="CE48" i="4"/>
  <c r="CD48" i="4"/>
  <c r="CC48" i="4"/>
  <c r="BV48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H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G48" i="4"/>
  <c r="CQ47" i="4"/>
  <c r="CP47" i="4"/>
  <c r="CO47" i="4"/>
  <c r="CN47" i="4"/>
  <c r="CM47" i="4"/>
  <c r="CL47" i="4"/>
  <c r="CK47" i="4"/>
  <c r="CJ47" i="4"/>
  <c r="CI47" i="4"/>
  <c r="CH47" i="4"/>
  <c r="CG47" i="4"/>
  <c r="CF47" i="4"/>
  <c r="CE47" i="4"/>
  <c r="CD47" i="4"/>
  <c r="CC47" i="4"/>
  <c r="BV47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H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G47" i="4"/>
  <c r="CQ46" i="4"/>
  <c r="CP46" i="4"/>
  <c r="CO46" i="4"/>
  <c r="CN46" i="4"/>
  <c r="CM46" i="4"/>
  <c r="CL46" i="4"/>
  <c r="CK46" i="4"/>
  <c r="CJ46" i="4"/>
  <c r="CI46" i="4"/>
  <c r="CH46" i="4"/>
  <c r="CG46" i="4"/>
  <c r="CF46" i="4"/>
  <c r="CE46" i="4"/>
  <c r="CD46" i="4"/>
  <c r="CC46" i="4"/>
  <c r="BV46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H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G46" i="4"/>
  <c r="CQ45" i="4"/>
  <c r="CP45" i="4"/>
  <c r="CO45" i="4"/>
  <c r="CN45" i="4"/>
  <c r="CM45" i="4"/>
  <c r="CL45" i="4"/>
  <c r="CK45" i="4"/>
  <c r="CJ45" i="4"/>
  <c r="CI45" i="4"/>
  <c r="CH45" i="4"/>
  <c r="CG45" i="4"/>
  <c r="CF45" i="4"/>
  <c r="CE45" i="4"/>
  <c r="CD45" i="4"/>
  <c r="CC45" i="4"/>
  <c r="BV45" i="4"/>
  <c r="BU45" i="4"/>
  <c r="BT45" i="4"/>
  <c r="BS45" i="4"/>
  <c r="BR45" i="4"/>
  <c r="BQ45" i="4"/>
  <c r="BP45" i="4"/>
  <c r="BO45" i="4"/>
  <c r="BN45" i="4"/>
  <c r="BM45" i="4"/>
  <c r="BL45" i="4"/>
  <c r="BK45" i="4"/>
  <c r="BJ45" i="4"/>
  <c r="BI45" i="4"/>
  <c r="BH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G45" i="4"/>
  <c r="CQ44" i="4"/>
  <c r="CP44" i="4"/>
  <c r="CO44" i="4"/>
  <c r="CN44" i="4"/>
  <c r="CM44" i="4"/>
  <c r="CL44" i="4"/>
  <c r="CK44" i="4"/>
  <c r="CJ44" i="4"/>
  <c r="CI44" i="4"/>
  <c r="CH44" i="4"/>
  <c r="CG44" i="4"/>
  <c r="CF44" i="4"/>
  <c r="CE44" i="4"/>
  <c r="CD44" i="4"/>
  <c r="CC44" i="4"/>
  <c r="BV44" i="4"/>
  <c r="BU44" i="4"/>
  <c r="BT44" i="4"/>
  <c r="BS44" i="4"/>
  <c r="BR44" i="4"/>
  <c r="BQ44" i="4"/>
  <c r="BP44" i="4"/>
  <c r="BO44" i="4"/>
  <c r="BN44" i="4"/>
  <c r="BM44" i="4"/>
  <c r="BL44" i="4"/>
  <c r="BK44" i="4"/>
  <c r="BJ44" i="4"/>
  <c r="BI44" i="4"/>
  <c r="BH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AR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G44" i="4"/>
  <c r="CQ43" i="4"/>
  <c r="CP43" i="4"/>
  <c r="CO43" i="4"/>
  <c r="CN43" i="4"/>
  <c r="CM43" i="4"/>
  <c r="CL43" i="4"/>
  <c r="CK43" i="4"/>
  <c r="CJ43" i="4"/>
  <c r="CI43" i="4"/>
  <c r="CH43" i="4"/>
  <c r="CG43" i="4"/>
  <c r="CF43" i="4"/>
  <c r="CE43" i="4"/>
  <c r="CD43" i="4"/>
  <c r="CC43" i="4"/>
  <c r="BV43" i="4"/>
  <c r="BU43" i="4"/>
  <c r="BT43" i="4"/>
  <c r="BS43" i="4"/>
  <c r="BR43" i="4"/>
  <c r="BQ43" i="4"/>
  <c r="BP43" i="4"/>
  <c r="BO43" i="4"/>
  <c r="BN43" i="4"/>
  <c r="BM43" i="4"/>
  <c r="BL43" i="4"/>
  <c r="BK43" i="4"/>
  <c r="BJ43" i="4"/>
  <c r="BI43" i="4"/>
  <c r="BH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G43" i="4"/>
  <c r="CQ42" i="4"/>
  <c r="CP42" i="4"/>
  <c r="CO42" i="4"/>
  <c r="CN42" i="4"/>
  <c r="CM42" i="4"/>
  <c r="CL42" i="4"/>
  <c r="CK42" i="4"/>
  <c r="CJ42" i="4"/>
  <c r="CI42" i="4"/>
  <c r="CH42" i="4"/>
  <c r="CG42" i="4"/>
  <c r="CF42" i="4"/>
  <c r="CE42" i="4"/>
  <c r="CD42" i="4"/>
  <c r="CC42" i="4"/>
  <c r="BV42" i="4"/>
  <c r="BU42" i="4"/>
  <c r="BT42" i="4"/>
  <c r="BS42" i="4"/>
  <c r="BR42" i="4"/>
  <c r="BQ42" i="4"/>
  <c r="BP42" i="4"/>
  <c r="BO42" i="4"/>
  <c r="BN42" i="4"/>
  <c r="BM42" i="4"/>
  <c r="BL42" i="4"/>
  <c r="BK42" i="4"/>
  <c r="BJ42" i="4"/>
  <c r="BI42" i="4"/>
  <c r="BH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G42" i="4"/>
  <c r="CQ41" i="4"/>
  <c r="CP41" i="4"/>
  <c r="CO41" i="4"/>
  <c r="CN41" i="4"/>
  <c r="CM41" i="4"/>
  <c r="CL41" i="4"/>
  <c r="CK41" i="4"/>
  <c r="CJ41" i="4"/>
  <c r="CI41" i="4"/>
  <c r="CH41" i="4"/>
  <c r="CG41" i="4"/>
  <c r="CF41" i="4"/>
  <c r="CE41" i="4"/>
  <c r="CD41" i="4"/>
  <c r="CC41" i="4"/>
  <c r="BV41" i="4"/>
  <c r="BU41" i="4"/>
  <c r="BT41" i="4"/>
  <c r="BS41" i="4"/>
  <c r="BR41" i="4"/>
  <c r="BQ41" i="4"/>
  <c r="BP41" i="4"/>
  <c r="BO41" i="4"/>
  <c r="BN41" i="4"/>
  <c r="BM41" i="4"/>
  <c r="BL41" i="4"/>
  <c r="BK41" i="4"/>
  <c r="BJ41" i="4"/>
  <c r="BI41" i="4"/>
  <c r="BH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R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G41" i="4"/>
  <c r="CQ40" i="4"/>
  <c r="CP40" i="4"/>
  <c r="CO40" i="4"/>
  <c r="CN40" i="4"/>
  <c r="CM40" i="4"/>
  <c r="CL40" i="4"/>
  <c r="CK40" i="4"/>
  <c r="CJ40" i="4"/>
  <c r="CI40" i="4"/>
  <c r="CH40" i="4"/>
  <c r="CG40" i="4"/>
  <c r="CF40" i="4"/>
  <c r="CE40" i="4"/>
  <c r="CD40" i="4"/>
  <c r="CC40" i="4"/>
  <c r="BV40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H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G40" i="4"/>
  <c r="CQ39" i="4"/>
  <c r="CP39" i="4"/>
  <c r="CO39" i="4"/>
  <c r="CN39" i="4"/>
  <c r="CM39" i="4"/>
  <c r="CL39" i="4"/>
  <c r="CK39" i="4"/>
  <c r="CJ39" i="4"/>
  <c r="CI39" i="4"/>
  <c r="CH39" i="4"/>
  <c r="CG39" i="4"/>
  <c r="CF39" i="4"/>
  <c r="CE39" i="4"/>
  <c r="CD39" i="4"/>
  <c r="CC39" i="4"/>
  <c r="BV39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H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G39" i="4"/>
  <c r="CQ38" i="4"/>
  <c r="CP38" i="4"/>
  <c r="CO38" i="4"/>
  <c r="CN38" i="4"/>
  <c r="CM38" i="4"/>
  <c r="CL38" i="4"/>
  <c r="CK38" i="4"/>
  <c r="CJ38" i="4"/>
  <c r="CI38" i="4"/>
  <c r="CH38" i="4"/>
  <c r="CG38" i="4"/>
  <c r="CF38" i="4"/>
  <c r="CE38" i="4"/>
  <c r="CD38" i="4"/>
  <c r="CC38" i="4"/>
  <c r="BV38" i="4"/>
  <c r="BU38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H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G38" i="4"/>
  <c r="CQ37" i="4"/>
  <c r="CP37" i="4"/>
  <c r="CO37" i="4"/>
  <c r="CN37" i="4"/>
  <c r="CM37" i="4"/>
  <c r="CL37" i="4"/>
  <c r="CK37" i="4"/>
  <c r="CJ37" i="4"/>
  <c r="CI37" i="4"/>
  <c r="CH37" i="4"/>
  <c r="CG37" i="4"/>
  <c r="CF37" i="4"/>
  <c r="CE37" i="4"/>
  <c r="CD37" i="4"/>
  <c r="CC37" i="4"/>
  <c r="BV37" i="4"/>
  <c r="BU37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H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G37" i="4"/>
  <c r="CQ36" i="4"/>
  <c r="CP36" i="4"/>
  <c r="CO36" i="4"/>
  <c r="CN36" i="4"/>
  <c r="CM36" i="4"/>
  <c r="CL36" i="4"/>
  <c r="CK36" i="4"/>
  <c r="CJ36" i="4"/>
  <c r="CI36" i="4"/>
  <c r="CH36" i="4"/>
  <c r="CG36" i="4"/>
  <c r="CF36" i="4"/>
  <c r="CE36" i="4"/>
  <c r="CD36" i="4"/>
  <c r="CC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H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G36" i="4"/>
  <c r="CQ35" i="4"/>
  <c r="CP35" i="4"/>
  <c r="CO35" i="4"/>
  <c r="CN35" i="4"/>
  <c r="CM35" i="4"/>
  <c r="CL35" i="4"/>
  <c r="CK35" i="4"/>
  <c r="CJ35" i="4"/>
  <c r="CI35" i="4"/>
  <c r="CH35" i="4"/>
  <c r="CG35" i="4"/>
  <c r="CF35" i="4"/>
  <c r="CE35" i="4"/>
  <c r="CD35" i="4"/>
  <c r="CC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G35" i="4"/>
  <c r="CQ34" i="4"/>
  <c r="CP34" i="4"/>
  <c r="CO34" i="4"/>
  <c r="CN34" i="4"/>
  <c r="CM34" i="4"/>
  <c r="CL34" i="4"/>
  <c r="CK34" i="4"/>
  <c r="CJ34" i="4"/>
  <c r="CI34" i="4"/>
  <c r="CH34" i="4"/>
  <c r="CG34" i="4"/>
  <c r="CF34" i="4"/>
  <c r="CE34" i="4"/>
  <c r="CD34" i="4"/>
  <c r="CC34" i="4"/>
  <c r="BV34" i="4"/>
  <c r="BU34" i="4"/>
  <c r="BT34" i="4"/>
  <c r="BS34" i="4"/>
  <c r="BR34" i="4"/>
  <c r="BQ34" i="4"/>
  <c r="BP34" i="4"/>
  <c r="BO34" i="4"/>
  <c r="BN34" i="4"/>
  <c r="BM34" i="4"/>
  <c r="BL34" i="4"/>
  <c r="BK34" i="4"/>
  <c r="BJ34" i="4"/>
  <c r="BI34" i="4"/>
  <c r="BH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R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G34" i="4"/>
  <c r="CQ33" i="4"/>
  <c r="CP33" i="4"/>
  <c r="CO33" i="4"/>
  <c r="CN33" i="4"/>
  <c r="CM33" i="4"/>
  <c r="CL33" i="4"/>
  <c r="CK33" i="4"/>
  <c r="CJ33" i="4"/>
  <c r="CI33" i="4"/>
  <c r="CH33" i="4"/>
  <c r="CG33" i="4"/>
  <c r="CF33" i="4"/>
  <c r="CE33" i="4"/>
  <c r="CD33" i="4"/>
  <c r="CC33" i="4"/>
  <c r="BV33" i="4"/>
  <c r="BU33" i="4"/>
  <c r="BT33" i="4"/>
  <c r="BS33" i="4"/>
  <c r="BR33" i="4"/>
  <c r="BQ33" i="4"/>
  <c r="BP33" i="4"/>
  <c r="BO33" i="4"/>
  <c r="BN33" i="4"/>
  <c r="BM33" i="4"/>
  <c r="BL33" i="4"/>
  <c r="BK33" i="4"/>
  <c r="BJ33" i="4"/>
  <c r="BI33" i="4"/>
  <c r="BH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G33" i="4"/>
  <c r="CQ32" i="4"/>
  <c r="CP32" i="4"/>
  <c r="CO32" i="4"/>
  <c r="CN32" i="4"/>
  <c r="CM32" i="4"/>
  <c r="CL32" i="4"/>
  <c r="CK32" i="4"/>
  <c r="CJ32" i="4"/>
  <c r="CI32" i="4"/>
  <c r="CH32" i="4"/>
  <c r="CG32" i="4"/>
  <c r="CF32" i="4"/>
  <c r="CE32" i="4"/>
  <c r="CD32" i="4"/>
  <c r="CC32" i="4"/>
  <c r="BV32" i="4"/>
  <c r="BU32" i="4"/>
  <c r="BT32" i="4"/>
  <c r="BS32" i="4"/>
  <c r="BR32" i="4"/>
  <c r="BQ32" i="4"/>
  <c r="BP32" i="4"/>
  <c r="BO32" i="4"/>
  <c r="BN32" i="4"/>
  <c r="BM32" i="4"/>
  <c r="BL32" i="4"/>
  <c r="BK32" i="4"/>
  <c r="BJ32" i="4"/>
  <c r="BI32" i="4"/>
  <c r="BH32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G32" i="4"/>
  <c r="CQ31" i="4"/>
  <c r="CP31" i="4"/>
  <c r="CO31" i="4"/>
  <c r="CN31" i="4"/>
  <c r="CM31" i="4"/>
  <c r="CL31" i="4"/>
  <c r="CK31" i="4"/>
  <c r="CJ31" i="4"/>
  <c r="CI31" i="4"/>
  <c r="CH31" i="4"/>
  <c r="CG31" i="4"/>
  <c r="CF31" i="4"/>
  <c r="CE31" i="4"/>
  <c r="CD31" i="4"/>
  <c r="CC31" i="4"/>
  <c r="BV31" i="4"/>
  <c r="BU31" i="4"/>
  <c r="BT31" i="4"/>
  <c r="BS31" i="4"/>
  <c r="BR31" i="4"/>
  <c r="BQ31" i="4"/>
  <c r="BP31" i="4"/>
  <c r="BO31" i="4"/>
  <c r="BN31" i="4"/>
  <c r="BM31" i="4"/>
  <c r="BL31" i="4"/>
  <c r="BK31" i="4"/>
  <c r="BJ31" i="4"/>
  <c r="BI31" i="4"/>
  <c r="BH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G31" i="4"/>
  <c r="CQ30" i="4"/>
  <c r="CP30" i="4"/>
  <c r="CO30" i="4"/>
  <c r="CN30" i="4"/>
  <c r="CM30" i="4"/>
  <c r="CL30" i="4"/>
  <c r="CK30" i="4"/>
  <c r="CJ30" i="4"/>
  <c r="CI30" i="4"/>
  <c r="CH30" i="4"/>
  <c r="CG30" i="4"/>
  <c r="CF30" i="4"/>
  <c r="CE30" i="4"/>
  <c r="CD30" i="4"/>
  <c r="CC30" i="4"/>
  <c r="BV30" i="4"/>
  <c r="BU30" i="4"/>
  <c r="BT30" i="4"/>
  <c r="BS30" i="4"/>
  <c r="BR30" i="4"/>
  <c r="BQ30" i="4"/>
  <c r="BP30" i="4"/>
  <c r="BO30" i="4"/>
  <c r="BN30" i="4"/>
  <c r="BM30" i="4"/>
  <c r="BL30" i="4"/>
  <c r="BK30" i="4"/>
  <c r="BJ30" i="4"/>
  <c r="BI30" i="4"/>
  <c r="BH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R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G30" i="4"/>
  <c r="CQ29" i="4"/>
  <c r="CP29" i="4"/>
  <c r="CO29" i="4"/>
  <c r="CN29" i="4"/>
  <c r="CM29" i="4"/>
  <c r="CL29" i="4"/>
  <c r="CK29" i="4"/>
  <c r="CJ29" i="4"/>
  <c r="CI29" i="4"/>
  <c r="CH29" i="4"/>
  <c r="CG29" i="4"/>
  <c r="CF29" i="4"/>
  <c r="CE29" i="4"/>
  <c r="CD29" i="4"/>
  <c r="CC29" i="4"/>
  <c r="BV29" i="4"/>
  <c r="BU29" i="4"/>
  <c r="BT29" i="4"/>
  <c r="BS29" i="4"/>
  <c r="BR29" i="4"/>
  <c r="BQ29" i="4"/>
  <c r="BP29" i="4"/>
  <c r="BO29" i="4"/>
  <c r="BN29" i="4"/>
  <c r="BM29" i="4"/>
  <c r="BL29" i="4"/>
  <c r="BK29" i="4"/>
  <c r="BJ29" i="4"/>
  <c r="BI29" i="4"/>
  <c r="BH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G29" i="4"/>
  <c r="CQ28" i="4"/>
  <c r="CP28" i="4"/>
  <c r="CO28" i="4"/>
  <c r="CN28" i="4"/>
  <c r="CM28" i="4"/>
  <c r="CL28" i="4"/>
  <c r="CK28" i="4"/>
  <c r="CJ28" i="4"/>
  <c r="CI28" i="4"/>
  <c r="CH28" i="4"/>
  <c r="CG28" i="4"/>
  <c r="CF28" i="4"/>
  <c r="CE28" i="4"/>
  <c r="CD28" i="4"/>
  <c r="CC28" i="4"/>
  <c r="BV28" i="4"/>
  <c r="BU28" i="4"/>
  <c r="BT28" i="4"/>
  <c r="BS28" i="4"/>
  <c r="BR28" i="4"/>
  <c r="BQ28" i="4"/>
  <c r="BP28" i="4"/>
  <c r="BO28" i="4"/>
  <c r="BN28" i="4"/>
  <c r="BM28" i="4"/>
  <c r="BL28" i="4"/>
  <c r="BK28" i="4"/>
  <c r="BJ28" i="4"/>
  <c r="BI28" i="4"/>
  <c r="BH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G28" i="4"/>
  <c r="CQ27" i="4"/>
  <c r="CP27" i="4"/>
  <c r="CO27" i="4"/>
  <c r="CN27" i="4"/>
  <c r="CM27" i="4"/>
  <c r="CL27" i="4"/>
  <c r="CK27" i="4"/>
  <c r="CJ27" i="4"/>
  <c r="CI27" i="4"/>
  <c r="CH27" i="4"/>
  <c r="CG27" i="4"/>
  <c r="CF27" i="4"/>
  <c r="CE27" i="4"/>
  <c r="CD27" i="4"/>
  <c r="CC27" i="4"/>
  <c r="BV27" i="4"/>
  <c r="BU27" i="4"/>
  <c r="BT27" i="4"/>
  <c r="BS27" i="4"/>
  <c r="BR27" i="4"/>
  <c r="BQ27" i="4"/>
  <c r="BP27" i="4"/>
  <c r="BO27" i="4"/>
  <c r="BN27" i="4"/>
  <c r="BM27" i="4"/>
  <c r="BL27" i="4"/>
  <c r="BK27" i="4"/>
  <c r="BJ27" i="4"/>
  <c r="BI27" i="4"/>
  <c r="BH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G27" i="4"/>
  <c r="CQ26" i="4"/>
  <c r="CP26" i="4"/>
  <c r="CO26" i="4"/>
  <c r="CN26" i="4"/>
  <c r="CM26" i="4"/>
  <c r="CL26" i="4"/>
  <c r="CK26" i="4"/>
  <c r="CJ26" i="4"/>
  <c r="CI26" i="4"/>
  <c r="CH26" i="4"/>
  <c r="CG26" i="4"/>
  <c r="CF26" i="4"/>
  <c r="CE26" i="4"/>
  <c r="CD26" i="4"/>
  <c r="CC26" i="4"/>
  <c r="BV26" i="4"/>
  <c r="BU26" i="4"/>
  <c r="BT26" i="4"/>
  <c r="BS26" i="4"/>
  <c r="BR26" i="4"/>
  <c r="BQ26" i="4"/>
  <c r="BP26" i="4"/>
  <c r="BO26" i="4"/>
  <c r="BN26" i="4"/>
  <c r="BM26" i="4"/>
  <c r="BL26" i="4"/>
  <c r="BK26" i="4"/>
  <c r="BJ26" i="4"/>
  <c r="BI26" i="4"/>
  <c r="BH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G26" i="4"/>
  <c r="CQ25" i="4"/>
  <c r="CP25" i="4"/>
  <c r="CO25" i="4"/>
  <c r="CN25" i="4"/>
  <c r="CM25" i="4"/>
  <c r="CL25" i="4"/>
  <c r="CK25" i="4"/>
  <c r="CJ25" i="4"/>
  <c r="CI25" i="4"/>
  <c r="CH25" i="4"/>
  <c r="CG25" i="4"/>
  <c r="CF25" i="4"/>
  <c r="CE25" i="4"/>
  <c r="CD25" i="4"/>
  <c r="CC25" i="4"/>
  <c r="BV25" i="4"/>
  <c r="BU25" i="4"/>
  <c r="BT25" i="4"/>
  <c r="BS25" i="4"/>
  <c r="BR25" i="4"/>
  <c r="BQ25" i="4"/>
  <c r="BP25" i="4"/>
  <c r="BO25" i="4"/>
  <c r="BN25" i="4"/>
  <c r="BM25" i="4"/>
  <c r="BL25" i="4"/>
  <c r="BK25" i="4"/>
  <c r="BJ25" i="4"/>
  <c r="BI25" i="4"/>
  <c r="BH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G25" i="4"/>
  <c r="CQ24" i="4"/>
  <c r="CP24" i="4"/>
  <c r="CO24" i="4"/>
  <c r="CN24" i="4"/>
  <c r="CM24" i="4"/>
  <c r="CL24" i="4"/>
  <c r="CK24" i="4"/>
  <c r="CJ24" i="4"/>
  <c r="CI24" i="4"/>
  <c r="CH24" i="4"/>
  <c r="CG24" i="4"/>
  <c r="CF24" i="4"/>
  <c r="CE24" i="4"/>
  <c r="CD24" i="4"/>
  <c r="CC24" i="4"/>
  <c r="BV24" i="4"/>
  <c r="BU24" i="4"/>
  <c r="BT24" i="4"/>
  <c r="BS24" i="4"/>
  <c r="BR24" i="4"/>
  <c r="BQ24" i="4"/>
  <c r="BP24" i="4"/>
  <c r="BO24" i="4"/>
  <c r="BN24" i="4"/>
  <c r="BM24" i="4"/>
  <c r="BL24" i="4"/>
  <c r="BK24" i="4"/>
  <c r="BJ24" i="4"/>
  <c r="BI24" i="4"/>
  <c r="BH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G24" i="4"/>
  <c r="CQ23" i="4"/>
  <c r="CP23" i="4"/>
  <c r="CO23" i="4"/>
  <c r="CN23" i="4"/>
  <c r="CM23" i="4"/>
  <c r="CL23" i="4"/>
  <c r="CK23" i="4"/>
  <c r="CJ23" i="4"/>
  <c r="CI23" i="4"/>
  <c r="CH23" i="4"/>
  <c r="CG23" i="4"/>
  <c r="CF23" i="4"/>
  <c r="CE23" i="4"/>
  <c r="CD23" i="4"/>
  <c r="CC23" i="4"/>
  <c r="BV23" i="4"/>
  <c r="BU23" i="4"/>
  <c r="BT23" i="4"/>
  <c r="BS23" i="4"/>
  <c r="BR23" i="4"/>
  <c r="BQ23" i="4"/>
  <c r="BP23" i="4"/>
  <c r="BO23" i="4"/>
  <c r="BN23" i="4"/>
  <c r="BM23" i="4"/>
  <c r="BL23" i="4"/>
  <c r="BK23" i="4"/>
  <c r="BJ23" i="4"/>
  <c r="BI23" i="4"/>
  <c r="BH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G23" i="4"/>
  <c r="CQ22" i="4"/>
  <c r="CP22" i="4"/>
  <c r="CO22" i="4"/>
  <c r="CN22" i="4"/>
  <c r="CM22" i="4"/>
  <c r="CL22" i="4"/>
  <c r="CK22" i="4"/>
  <c r="CJ22" i="4"/>
  <c r="CI22" i="4"/>
  <c r="CH22" i="4"/>
  <c r="CG22" i="4"/>
  <c r="CF22" i="4"/>
  <c r="CE22" i="4"/>
  <c r="CD22" i="4"/>
  <c r="CC22" i="4"/>
  <c r="BV22" i="4"/>
  <c r="BU22" i="4"/>
  <c r="BT22" i="4"/>
  <c r="BS22" i="4"/>
  <c r="BR22" i="4"/>
  <c r="BQ22" i="4"/>
  <c r="BP22" i="4"/>
  <c r="BO22" i="4"/>
  <c r="BN22" i="4"/>
  <c r="BM22" i="4"/>
  <c r="BL22" i="4"/>
  <c r="BK22" i="4"/>
  <c r="BJ22" i="4"/>
  <c r="BI22" i="4"/>
  <c r="BH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H22" i="4"/>
  <c r="G22" i="4"/>
  <c r="C22" i="4"/>
  <c r="CQ21" i="4"/>
  <c r="CP21" i="4"/>
  <c r="CO21" i="4"/>
  <c r="CN21" i="4"/>
  <c r="CM21" i="4"/>
  <c r="CL21" i="4"/>
  <c r="CK21" i="4"/>
  <c r="CJ21" i="4"/>
  <c r="CI21" i="4"/>
  <c r="CH21" i="4"/>
  <c r="CG21" i="4"/>
  <c r="CF21" i="4"/>
  <c r="CE21" i="4"/>
  <c r="CD21" i="4"/>
  <c r="CC21" i="4"/>
  <c r="BV21" i="4"/>
  <c r="BU21" i="4"/>
  <c r="BT21" i="4"/>
  <c r="BS21" i="4"/>
  <c r="BR21" i="4"/>
  <c r="BQ21" i="4"/>
  <c r="BP21" i="4"/>
  <c r="BO21" i="4"/>
  <c r="BN21" i="4"/>
  <c r="BM21" i="4"/>
  <c r="BL21" i="4"/>
  <c r="BK21" i="4"/>
  <c r="BJ21" i="4"/>
  <c r="BI21" i="4"/>
  <c r="BH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G21" i="4"/>
  <c r="C21" i="4"/>
  <c r="CQ20" i="4"/>
  <c r="CP20" i="4"/>
  <c r="CO20" i="4"/>
  <c r="CN20" i="4"/>
  <c r="CM20" i="4"/>
  <c r="CL20" i="4"/>
  <c r="CK20" i="4"/>
  <c r="CJ20" i="4"/>
  <c r="CI20" i="4"/>
  <c r="CH20" i="4"/>
  <c r="CG20" i="4"/>
  <c r="CF20" i="4"/>
  <c r="CE20" i="4"/>
  <c r="CD20" i="4"/>
  <c r="CC20" i="4"/>
  <c r="BV20" i="4"/>
  <c r="BU20" i="4"/>
  <c r="BT20" i="4"/>
  <c r="BS20" i="4"/>
  <c r="BR20" i="4"/>
  <c r="BQ20" i="4"/>
  <c r="BP20" i="4"/>
  <c r="BO20" i="4"/>
  <c r="BN20" i="4"/>
  <c r="BM20" i="4"/>
  <c r="BL20" i="4"/>
  <c r="BK20" i="4"/>
  <c r="BJ20" i="4"/>
  <c r="BI20" i="4"/>
  <c r="BH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H20" i="4"/>
  <c r="G20" i="4"/>
  <c r="C20" i="4"/>
  <c r="CQ19" i="4"/>
  <c r="CP19" i="4"/>
  <c r="CO19" i="4"/>
  <c r="CN19" i="4"/>
  <c r="CM19" i="4"/>
  <c r="CL19" i="4"/>
  <c r="CK19" i="4"/>
  <c r="CJ19" i="4"/>
  <c r="CI19" i="4"/>
  <c r="CH19" i="4"/>
  <c r="CG19" i="4"/>
  <c r="CF19" i="4"/>
  <c r="CE19" i="4"/>
  <c r="CD19" i="4"/>
  <c r="CC19" i="4"/>
  <c r="BV19" i="4"/>
  <c r="BU19" i="4"/>
  <c r="BT19" i="4"/>
  <c r="BS19" i="4"/>
  <c r="BR19" i="4"/>
  <c r="BQ19" i="4"/>
  <c r="BP19" i="4"/>
  <c r="BO19" i="4"/>
  <c r="BN19" i="4"/>
  <c r="BM19" i="4"/>
  <c r="BL19" i="4"/>
  <c r="BK19" i="4"/>
  <c r="BJ19" i="4"/>
  <c r="BI19" i="4"/>
  <c r="BH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G19" i="4"/>
  <c r="CQ18" i="4"/>
  <c r="CP18" i="4"/>
  <c r="CO18" i="4"/>
  <c r="CN18" i="4"/>
  <c r="CM18" i="4"/>
  <c r="CL18" i="4"/>
  <c r="CK18" i="4"/>
  <c r="CJ18" i="4"/>
  <c r="CI18" i="4"/>
  <c r="CH18" i="4"/>
  <c r="CG18" i="4"/>
  <c r="CF18" i="4"/>
  <c r="CE18" i="4"/>
  <c r="CD18" i="4"/>
  <c r="CC18" i="4"/>
  <c r="BV18" i="4"/>
  <c r="BU18" i="4"/>
  <c r="BT18" i="4"/>
  <c r="BS18" i="4"/>
  <c r="BR18" i="4"/>
  <c r="BQ18" i="4"/>
  <c r="BP18" i="4"/>
  <c r="BO18" i="4"/>
  <c r="BN18" i="4"/>
  <c r="BM18" i="4"/>
  <c r="BL18" i="4"/>
  <c r="BK18" i="4"/>
  <c r="BJ18" i="4"/>
  <c r="BI18" i="4"/>
  <c r="BH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G18" i="4"/>
  <c r="CQ17" i="4"/>
  <c r="CP17" i="4"/>
  <c r="CO17" i="4"/>
  <c r="CN17" i="4"/>
  <c r="CM17" i="4"/>
  <c r="CL17" i="4"/>
  <c r="CK17" i="4"/>
  <c r="CJ17" i="4"/>
  <c r="CI17" i="4"/>
  <c r="CH17" i="4"/>
  <c r="CG17" i="4"/>
  <c r="CF17" i="4"/>
  <c r="CE17" i="4"/>
  <c r="CD17" i="4"/>
  <c r="CC17" i="4"/>
  <c r="BV17" i="4"/>
  <c r="BU17" i="4"/>
  <c r="BT17" i="4"/>
  <c r="BS17" i="4"/>
  <c r="BR17" i="4"/>
  <c r="BQ17" i="4"/>
  <c r="BP17" i="4"/>
  <c r="BO17" i="4"/>
  <c r="BN17" i="4"/>
  <c r="BM17" i="4"/>
  <c r="BL17" i="4"/>
  <c r="BK17" i="4"/>
  <c r="BJ17" i="4"/>
  <c r="BI17" i="4"/>
  <c r="BH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G17" i="4"/>
  <c r="CQ16" i="4"/>
  <c r="CP16" i="4"/>
  <c r="CO16" i="4"/>
  <c r="CN16" i="4"/>
  <c r="CM16" i="4"/>
  <c r="CL16" i="4"/>
  <c r="CK16" i="4"/>
  <c r="CJ16" i="4"/>
  <c r="CI16" i="4"/>
  <c r="CH16" i="4"/>
  <c r="CG16" i="4"/>
  <c r="CF16" i="4"/>
  <c r="CE16" i="4"/>
  <c r="CD16" i="4"/>
  <c r="CC16" i="4"/>
  <c r="BV16" i="4"/>
  <c r="BU16" i="4"/>
  <c r="BT16" i="4"/>
  <c r="BS16" i="4"/>
  <c r="BR16" i="4"/>
  <c r="BQ16" i="4"/>
  <c r="BP16" i="4"/>
  <c r="BO16" i="4"/>
  <c r="BN16" i="4"/>
  <c r="BM16" i="4"/>
  <c r="BL16" i="4"/>
  <c r="BK16" i="4"/>
  <c r="BJ16" i="4"/>
  <c r="BI16" i="4"/>
  <c r="BH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G16" i="4"/>
  <c r="CQ15" i="4"/>
  <c r="CP15" i="4"/>
  <c r="CO15" i="4"/>
  <c r="CN15" i="4"/>
  <c r="CM15" i="4"/>
  <c r="CL15" i="4"/>
  <c r="CK15" i="4"/>
  <c r="CJ15" i="4"/>
  <c r="CI15" i="4"/>
  <c r="CH15" i="4"/>
  <c r="CG15" i="4"/>
  <c r="CF15" i="4"/>
  <c r="CE15" i="4"/>
  <c r="CD15" i="4"/>
  <c r="CC15" i="4"/>
  <c r="BV15" i="4"/>
  <c r="BU15" i="4"/>
  <c r="BT15" i="4"/>
  <c r="BS15" i="4"/>
  <c r="BR15" i="4"/>
  <c r="BQ15" i="4"/>
  <c r="BP15" i="4"/>
  <c r="BO15" i="4"/>
  <c r="BN15" i="4"/>
  <c r="BM15" i="4"/>
  <c r="BL15" i="4"/>
  <c r="BK15" i="4"/>
  <c r="BJ15" i="4"/>
  <c r="BI15" i="4"/>
  <c r="BH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P15" i="4"/>
  <c r="AO15" i="4"/>
  <c r="AN15" i="4"/>
  <c r="AM15" i="4"/>
  <c r="AK15" i="4"/>
  <c r="AJ15" i="4"/>
  <c r="AI15" i="4"/>
  <c r="AH15" i="4"/>
  <c r="AG15" i="4"/>
  <c r="AF15" i="4"/>
  <c r="AE15" i="4"/>
  <c r="AD15" i="4"/>
  <c r="AC15" i="4"/>
  <c r="AB15" i="4"/>
  <c r="G15" i="4"/>
  <c r="AL15" i="4" s="1"/>
  <c r="CQ14" i="4"/>
  <c r="CP14" i="4"/>
  <c r="CO14" i="4"/>
  <c r="CN14" i="4"/>
  <c r="CM14" i="4"/>
  <c r="CL14" i="4"/>
  <c r="CK14" i="4"/>
  <c r="CJ14" i="4"/>
  <c r="CI14" i="4"/>
  <c r="CH14" i="4"/>
  <c r="CG14" i="4"/>
  <c r="CF14" i="4"/>
  <c r="CE14" i="4"/>
  <c r="CD14" i="4"/>
  <c r="CC14" i="4"/>
  <c r="BV14" i="4"/>
  <c r="BU14" i="4"/>
  <c r="BT14" i="4"/>
  <c r="BS14" i="4"/>
  <c r="BR14" i="4"/>
  <c r="BQ14" i="4"/>
  <c r="BP14" i="4"/>
  <c r="BO14" i="4"/>
  <c r="BN14" i="4"/>
  <c r="BM14" i="4"/>
  <c r="BL14" i="4"/>
  <c r="BK14" i="4"/>
  <c r="BJ14" i="4"/>
  <c r="BI14" i="4"/>
  <c r="BH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P14" i="4"/>
  <c r="AO14" i="4"/>
  <c r="AN14" i="4"/>
  <c r="AM14" i="4"/>
  <c r="AL14" i="4"/>
  <c r="AJ14" i="4"/>
  <c r="AI14" i="4"/>
  <c r="AH14" i="4"/>
  <c r="AG14" i="4"/>
  <c r="AF14" i="4"/>
  <c r="AE14" i="4"/>
  <c r="AD14" i="4"/>
  <c r="AC14" i="4"/>
  <c r="AB14" i="4"/>
  <c r="G14" i="4"/>
  <c r="AK14" i="4" s="1"/>
  <c r="CQ13" i="4"/>
  <c r="CP13" i="4"/>
  <c r="CO13" i="4"/>
  <c r="CN13" i="4"/>
  <c r="CM13" i="4"/>
  <c r="CL13" i="4"/>
  <c r="CK13" i="4"/>
  <c r="CJ13" i="4"/>
  <c r="CI13" i="4"/>
  <c r="CH13" i="4"/>
  <c r="CG13" i="4"/>
  <c r="CF13" i="4"/>
  <c r="CE13" i="4"/>
  <c r="CD13" i="4"/>
  <c r="CC13" i="4"/>
  <c r="BV13" i="4"/>
  <c r="BU13" i="4"/>
  <c r="BT13" i="4"/>
  <c r="BS13" i="4"/>
  <c r="BR13" i="4"/>
  <c r="BQ13" i="4"/>
  <c r="BP13" i="4"/>
  <c r="BO13" i="4"/>
  <c r="BN13" i="4"/>
  <c r="BM13" i="4"/>
  <c r="BL13" i="4"/>
  <c r="BK13" i="4"/>
  <c r="BJ13" i="4"/>
  <c r="BI13" i="4"/>
  <c r="BH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P13" i="4"/>
  <c r="AO13" i="4"/>
  <c r="AN13" i="4"/>
  <c r="AM13" i="4"/>
  <c r="AL13" i="4"/>
  <c r="AK13" i="4"/>
  <c r="AI13" i="4"/>
  <c r="AH13" i="4"/>
  <c r="AG13" i="4"/>
  <c r="AF13" i="4"/>
  <c r="AE13" i="4"/>
  <c r="AD13" i="4"/>
  <c r="AC13" i="4"/>
  <c r="AB13" i="4"/>
  <c r="G13" i="4"/>
  <c r="AJ13" i="4" s="1"/>
  <c r="CQ12" i="4"/>
  <c r="CP12" i="4"/>
  <c r="CO12" i="4"/>
  <c r="CN12" i="4"/>
  <c r="CM12" i="4"/>
  <c r="CL12" i="4"/>
  <c r="CK12" i="4"/>
  <c r="CJ12" i="4"/>
  <c r="CI12" i="4"/>
  <c r="CH12" i="4"/>
  <c r="CG12" i="4"/>
  <c r="CF12" i="4"/>
  <c r="CE12" i="4"/>
  <c r="CD12" i="4"/>
  <c r="CC12" i="4"/>
  <c r="BV12" i="4"/>
  <c r="BU12" i="4"/>
  <c r="BT12" i="4"/>
  <c r="BS12" i="4"/>
  <c r="BR12" i="4"/>
  <c r="BQ12" i="4"/>
  <c r="BP12" i="4"/>
  <c r="BO12" i="4"/>
  <c r="BN12" i="4"/>
  <c r="BM12" i="4"/>
  <c r="BL12" i="4"/>
  <c r="BK12" i="4"/>
  <c r="BJ12" i="4"/>
  <c r="BI12" i="4"/>
  <c r="BH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P12" i="4"/>
  <c r="AO12" i="4"/>
  <c r="AN12" i="4"/>
  <c r="AM12" i="4"/>
  <c r="AL12" i="4"/>
  <c r="AK12" i="4"/>
  <c r="AJ12" i="4"/>
  <c r="AH12" i="4"/>
  <c r="AG12" i="4"/>
  <c r="AF12" i="4"/>
  <c r="AE12" i="4"/>
  <c r="AD12" i="4"/>
  <c r="AC12" i="4"/>
  <c r="AB12" i="4"/>
  <c r="G12" i="4"/>
  <c r="AI12" i="4" s="1"/>
  <c r="CT11" i="4"/>
  <c r="CU11" i="4" s="1"/>
  <c r="CV11" i="4" s="1"/>
  <c r="CQ11" i="4"/>
  <c r="CP11" i="4"/>
  <c r="CO11" i="4"/>
  <c r="CN11" i="4"/>
  <c r="CM11" i="4"/>
  <c r="CL11" i="4"/>
  <c r="CK11" i="4"/>
  <c r="CJ11" i="4"/>
  <c r="CI11" i="4"/>
  <c r="CH11" i="4"/>
  <c r="CG11" i="4"/>
  <c r="CF11" i="4"/>
  <c r="CE11" i="4"/>
  <c r="CD11" i="4"/>
  <c r="CC11" i="4"/>
  <c r="BY11" i="4"/>
  <c r="BZ11" i="4" s="1"/>
  <c r="CA11" i="4" s="1"/>
  <c r="BV11" i="4"/>
  <c r="BU11" i="4"/>
  <c r="BT11" i="4"/>
  <c r="BS11" i="4"/>
  <c r="BR11" i="4"/>
  <c r="BQ11" i="4"/>
  <c r="BP11" i="4"/>
  <c r="BO11" i="4"/>
  <c r="BN11" i="4"/>
  <c r="BM11" i="4"/>
  <c r="BL11" i="4"/>
  <c r="BK11" i="4"/>
  <c r="BJ11" i="4"/>
  <c r="BI11" i="4"/>
  <c r="BH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R11" i="4"/>
  <c r="AP11" i="4"/>
  <c r="AO11" i="4"/>
  <c r="AN11" i="4"/>
  <c r="AM11" i="4"/>
  <c r="AL11" i="4"/>
  <c r="AK11" i="4"/>
  <c r="AJ11" i="4"/>
  <c r="AI11" i="4"/>
  <c r="AG11" i="4"/>
  <c r="AF11" i="4"/>
  <c r="AE11" i="4"/>
  <c r="AD11" i="4"/>
  <c r="AC11" i="4"/>
  <c r="AB11" i="4"/>
  <c r="G11" i="4"/>
  <c r="AH11" i="4" s="1"/>
  <c r="CT10" i="4"/>
  <c r="CU10" i="4" s="1"/>
  <c r="CV10" i="4" s="1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BY10" i="4"/>
  <c r="BZ10" i="4" s="1"/>
  <c r="CA10" i="4" s="1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P10" i="4"/>
  <c r="AO10" i="4"/>
  <c r="AN10" i="4"/>
  <c r="AM10" i="4"/>
  <c r="AL10" i="4"/>
  <c r="AK10" i="4"/>
  <c r="AJ10" i="4"/>
  <c r="AI10" i="4"/>
  <c r="AH10" i="4"/>
  <c r="AF10" i="4"/>
  <c r="AE10" i="4"/>
  <c r="AD10" i="4"/>
  <c r="AC10" i="4"/>
  <c r="AB10" i="4"/>
  <c r="G10" i="4"/>
  <c r="AG10" i="4" s="1"/>
  <c r="CT9" i="4"/>
  <c r="CU9" i="4" s="1"/>
  <c r="CV9" i="4" s="1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BY9" i="4"/>
  <c r="BZ9" i="4" s="1"/>
  <c r="CA9" i="4" s="1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P9" i="4"/>
  <c r="AO9" i="4"/>
  <c r="AN9" i="4"/>
  <c r="AM9" i="4"/>
  <c r="AL9" i="4"/>
  <c r="AK9" i="4"/>
  <c r="AJ9" i="4"/>
  <c r="AI9" i="4"/>
  <c r="AH9" i="4"/>
  <c r="AG9" i="4"/>
  <c r="AE9" i="4"/>
  <c r="AD9" i="4"/>
  <c r="AC9" i="4"/>
  <c r="AB9" i="4"/>
  <c r="G9" i="4"/>
  <c r="AF9" i="4" s="1"/>
  <c r="CT8" i="4"/>
  <c r="CU8" i="4" s="1"/>
  <c r="CV8" i="4" s="1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BY8" i="4"/>
  <c r="BZ8" i="4" s="1"/>
  <c r="CA8" i="4" s="1"/>
  <c r="BV8" i="4"/>
  <c r="BU8" i="4"/>
  <c r="BT8" i="4"/>
  <c r="BS8" i="4"/>
  <c r="BR8" i="4"/>
  <c r="BQ8" i="4"/>
  <c r="BP8" i="4"/>
  <c r="BO8" i="4"/>
  <c r="BN8" i="4"/>
  <c r="BM8" i="4"/>
  <c r="BL8" i="4"/>
  <c r="BK8" i="4"/>
  <c r="BJ8" i="4"/>
  <c r="BI8" i="4"/>
  <c r="BH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G8" i="4"/>
  <c r="CT7" i="4"/>
  <c r="CU7" i="4" s="1"/>
  <c r="CV7" i="4" s="1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BY7" i="4"/>
  <c r="BZ7" i="4" s="1"/>
  <c r="CA7" i="4" s="1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P7" i="4"/>
  <c r="AO7" i="4"/>
  <c r="AN7" i="4"/>
  <c r="AM7" i="4"/>
  <c r="AL7" i="4"/>
  <c r="AK7" i="4"/>
  <c r="AJ7" i="4"/>
  <c r="AI7" i="4"/>
  <c r="AH7" i="4"/>
  <c r="AG7" i="4"/>
  <c r="AF7" i="4"/>
  <c r="AE7" i="4"/>
  <c r="AC7" i="4"/>
  <c r="AB7" i="4"/>
  <c r="G7" i="4"/>
  <c r="AD7" i="4" s="1"/>
  <c r="CT6" i="4"/>
  <c r="CU6" i="4" s="1"/>
  <c r="CV6" i="4" s="1"/>
  <c r="CQ6" i="4"/>
  <c r="CP6" i="4"/>
  <c r="CO6" i="4"/>
  <c r="CN6" i="4"/>
  <c r="CM6" i="4"/>
  <c r="CL6" i="4"/>
  <c r="CK6" i="4"/>
  <c r="CJ6" i="4"/>
  <c r="CI6" i="4"/>
  <c r="CH6" i="4"/>
  <c r="CG6" i="4"/>
  <c r="CF6" i="4"/>
  <c r="CE6" i="4"/>
  <c r="CD6" i="4"/>
  <c r="CC6" i="4"/>
  <c r="BY6" i="4"/>
  <c r="BZ6" i="4" s="1"/>
  <c r="CA6" i="4" s="1"/>
  <c r="BV6" i="4"/>
  <c r="BU6" i="4"/>
  <c r="BT6" i="4"/>
  <c r="BS6" i="4"/>
  <c r="BR6" i="4"/>
  <c r="BQ6" i="4"/>
  <c r="BP6" i="4"/>
  <c r="BO6" i="4"/>
  <c r="BN6" i="4"/>
  <c r="BM6" i="4"/>
  <c r="BL6" i="4"/>
  <c r="BK6" i="4"/>
  <c r="BJ6" i="4"/>
  <c r="BI6" i="4"/>
  <c r="BH6" i="4"/>
  <c r="BF6" i="4"/>
  <c r="BF58" i="4" s="1"/>
  <c r="BE6" i="4"/>
  <c r="BE58" i="4" s="1"/>
  <c r="BD6" i="4"/>
  <c r="BD58" i="4" s="1"/>
  <c r="BC6" i="4"/>
  <c r="BC58" i="4" s="1"/>
  <c r="BB6" i="4"/>
  <c r="BB58" i="4" s="1"/>
  <c r="BA6" i="4"/>
  <c r="BA58" i="4" s="1"/>
  <c r="AZ6" i="4"/>
  <c r="AZ58" i="4" s="1"/>
  <c r="AY6" i="4"/>
  <c r="AY58" i="4" s="1"/>
  <c r="AX6" i="4"/>
  <c r="AX58" i="4" s="1"/>
  <c r="AW6" i="4"/>
  <c r="AW58" i="4" s="1"/>
  <c r="AV6" i="4"/>
  <c r="AV58" i="4" s="1"/>
  <c r="AU6" i="4"/>
  <c r="AU58" i="4" s="1"/>
  <c r="AT6" i="4"/>
  <c r="AT58" i="4" s="1"/>
  <c r="AS6" i="4"/>
  <c r="AS58" i="4" s="1"/>
  <c r="AR6" i="4"/>
  <c r="AR58" i="4" s="1"/>
  <c r="AP6" i="4"/>
  <c r="AP58" i="4" s="1"/>
  <c r="AO6" i="4"/>
  <c r="AO58" i="4" s="1"/>
  <c r="AN6" i="4"/>
  <c r="AN58" i="4" s="1"/>
  <c r="AM6" i="4"/>
  <c r="AM58" i="4" s="1"/>
  <c r="AL6" i="4"/>
  <c r="AK6" i="4"/>
  <c r="AK58" i="4" s="1"/>
  <c r="AJ6" i="4"/>
  <c r="AJ58" i="4" s="1"/>
  <c r="AI6" i="4"/>
  <c r="AI58" i="4" s="1"/>
  <c r="AH6" i="4"/>
  <c r="AH58" i="4" s="1"/>
  <c r="AG6" i="4"/>
  <c r="AF6" i="4"/>
  <c r="AE6" i="4"/>
  <c r="AE58" i="4" s="1"/>
  <c r="AD6" i="4"/>
  <c r="AB6" i="4"/>
  <c r="AB58" i="4" s="1"/>
  <c r="G6" i="4"/>
  <c r="AC6" i="4" s="1"/>
  <c r="AC58" i="4" s="1"/>
  <c r="CT5" i="4"/>
  <c r="CU5" i="4" s="1"/>
  <c r="CV5" i="4" s="1"/>
  <c r="CM5" i="4"/>
  <c r="BY5" i="4"/>
  <c r="BZ5" i="4" s="1"/>
  <c r="CA5" i="4" s="1"/>
  <c r="BV5" i="4"/>
  <c r="BU5" i="4"/>
  <c r="BP5" i="4"/>
  <c r="BF5" i="4"/>
  <c r="AZ5" i="4"/>
  <c r="AJ5" i="4"/>
  <c r="CF5" i="4" s="1"/>
  <c r="AI5" i="4"/>
  <c r="CE5" i="4" s="1"/>
  <c r="CT4" i="4"/>
  <c r="CU4" i="4" s="1"/>
  <c r="CV4" i="4" s="1"/>
  <c r="BY4" i="4"/>
  <c r="BZ4" i="4" s="1"/>
  <c r="CA4" i="4" s="1"/>
  <c r="Z4" i="4"/>
  <c r="AP5" i="4" s="1"/>
  <c r="CL5" i="4" s="1"/>
  <c r="Y4" i="4"/>
  <c r="BE5" i="4" s="1"/>
  <c r="X4" i="4"/>
  <c r="BT5" i="4" s="1"/>
  <c r="W4" i="4"/>
  <c r="BC5" i="4" s="1"/>
  <c r="V4" i="4"/>
  <c r="AL5" i="4" s="1"/>
  <c r="CH5" i="4" s="1"/>
  <c r="U4" i="4"/>
  <c r="AK5" i="4" s="1"/>
  <c r="CG5" i="4" s="1"/>
  <c r="T4" i="4"/>
  <c r="S4" i="4"/>
  <c r="BO5" i="4" s="1"/>
  <c r="R4" i="4"/>
  <c r="AH5" i="4" s="1"/>
  <c r="CD5" i="4" s="1"/>
  <c r="Q4" i="4"/>
  <c r="AG5" i="4" s="1"/>
  <c r="CC5" i="4" s="1"/>
  <c r="P4" i="4"/>
  <c r="BL5" i="4" s="1"/>
  <c r="O4" i="4"/>
  <c r="BK5" i="4" s="1"/>
  <c r="N4" i="4"/>
  <c r="AD5" i="4" s="1"/>
  <c r="M4" i="4"/>
  <c r="AC5" i="4" s="1"/>
  <c r="L4" i="4"/>
  <c r="AR5" i="4" s="1"/>
  <c r="CN5" i="4" s="1"/>
  <c r="H59" i="3"/>
  <c r="H58" i="3"/>
  <c r="C38" i="3"/>
  <c r="C33" i="3"/>
  <c r="C32" i="3"/>
  <c r="C30" i="3"/>
  <c r="C29" i="3"/>
  <c r="C23" i="3"/>
  <c r="C20" i="3"/>
  <c r="C17" i="3"/>
  <c r="C14" i="3"/>
  <c r="C11" i="3"/>
  <c r="C5" i="3"/>
  <c r="E75" i="2"/>
  <c r="P74" i="2"/>
  <c r="O74" i="2"/>
  <c r="O75" i="2" s="1"/>
  <c r="E18" i="5" s="1"/>
  <c r="H18" i="5" s="1"/>
  <c r="J18" i="5" s="1"/>
  <c r="S72" i="2"/>
  <c r="R72" i="2"/>
  <c r="O72" i="2"/>
  <c r="D72" i="2"/>
  <c r="S71" i="2"/>
  <c r="R71" i="2"/>
  <c r="O71" i="2"/>
  <c r="D71" i="2"/>
  <c r="S70" i="2"/>
  <c r="R70" i="2"/>
  <c r="O70" i="2"/>
  <c r="D70" i="2"/>
  <c r="S69" i="2"/>
  <c r="R69" i="2"/>
  <c r="O69" i="2"/>
  <c r="D69" i="2"/>
  <c r="R68" i="2"/>
  <c r="S68" i="2" s="1"/>
  <c r="O68" i="2"/>
  <c r="D68" i="2"/>
  <c r="R67" i="2"/>
  <c r="S67" i="2" s="1"/>
  <c r="O67" i="2"/>
  <c r="D67" i="2"/>
  <c r="R66" i="2"/>
  <c r="S66" i="2" s="1"/>
  <c r="O66" i="2"/>
  <c r="D66" i="2"/>
  <c r="R65" i="2"/>
  <c r="S65" i="2" s="1"/>
  <c r="O65" i="2"/>
  <c r="D65" i="2"/>
  <c r="R64" i="2"/>
  <c r="S64" i="2" s="1"/>
  <c r="O64" i="2"/>
  <c r="D64" i="2"/>
  <c r="R63" i="2"/>
  <c r="S63" i="2" s="1"/>
  <c r="O63" i="2"/>
  <c r="D63" i="2"/>
  <c r="R62" i="2"/>
  <c r="S62" i="2" s="1"/>
  <c r="O62" i="2"/>
  <c r="D62" i="2"/>
  <c r="R61" i="2"/>
  <c r="S61" i="2" s="1"/>
  <c r="O61" i="2"/>
  <c r="D61" i="2"/>
  <c r="R60" i="2"/>
  <c r="S60" i="2" s="1"/>
  <c r="O60" i="2"/>
  <c r="D60" i="2"/>
  <c r="R59" i="2"/>
  <c r="S59" i="2" s="1"/>
  <c r="O59" i="2"/>
  <c r="D59" i="2"/>
  <c r="R58" i="2"/>
  <c r="S58" i="2" s="1"/>
  <c r="O58" i="2"/>
  <c r="D58" i="2"/>
  <c r="S57" i="2"/>
  <c r="R57" i="2"/>
  <c r="Q57" i="2"/>
  <c r="O57" i="2"/>
  <c r="E56" i="2"/>
  <c r="Q52" i="2"/>
  <c r="D15" i="6" s="1"/>
  <c r="I52" i="2"/>
  <c r="S52" i="2" s="1"/>
  <c r="N15" i="6" s="1"/>
  <c r="D52" i="2"/>
  <c r="R52" i="2" s="1"/>
  <c r="I15" i="6" s="1"/>
  <c r="S51" i="2"/>
  <c r="R51" i="2"/>
  <c r="Q51" i="2"/>
  <c r="R27" i="2"/>
  <c r="Q27" i="2"/>
  <c r="S27" i="2" s="1"/>
  <c r="E19" i="5" s="1"/>
  <c r="H19" i="5" s="1"/>
  <c r="J19" i="5" s="1"/>
  <c r="G27" i="2"/>
  <c r="G26" i="2"/>
  <c r="E26" i="2"/>
  <c r="C15" i="5" s="1"/>
  <c r="K25" i="2"/>
  <c r="G25" i="2"/>
  <c r="G11" i="2"/>
  <c r="C2" i="3" s="1"/>
  <c r="H6" i="2"/>
  <c r="F6" i="2"/>
  <c r="E6" i="2"/>
  <c r="E4" i="2"/>
  <c r="C41" i="3" s="1"/>
  <c r="E3" i="2"/>
  <c r="AO5" i="4" l="1"/>
  <c r="CK5" i="4" s="1"/>
  <c r="AN5" i="4"/>
  <c r="CJ5" i="4" s="1"/>
  <c r="BD5" i="4"/>
  <c r="AM5" i="4"/>
  <c r="CI5" i="4" s="1"/>
  <c r="AY5" i="4"/>
  <c r="G92" i="8"/>
  <c r="H92" i="8" s="1"/>
  <c r="H296" i="8" s="1"/>
  <c r="G123" i="8"/>
  <c r="H123" i="8" s="1"/>
  <c r="H298" i="8" s="1"/>
  <c r="G31" i="8"/>
  <c r="H31" i="8" s="1"/>
  <c r="H292" i="8" s="1"/>
  <c r="G187" i="8"/>
  <c r="H187" i="8" s="1"/>
  <c r="H302" i="8" s="1"/>
  <c r="G77" i="8"/>
  <c r="H77" i="8" s="1"/>
  <c r="H295" i="8" s="1"/>
  <c r="G267" i="8"/>
  <c r="H267" i="8" s="1"/>
  <c r="H307" i="8" s="1"/>
  <c r="G139" i="8"/>
  <c r="H139" i="8" s="1"/>
  <c r="H299" i="8" s="1"/>
  <c r="G219" i="8"/>
  <c r="H219" i="8" s="1"/>
  <c r="H304" i="8" s="1"/>
  <c r="B139" i="8"/>
  <c r="C139" i="8" s="1"/>
  <c r="C299" i="8" s="1"/>
  <c r="B219" i="8"/>
  <c r="C219" i="8" s="1"/>
  <c r="C304" i="8" s="1"/>
  <c r="B92" i="8"/>
  <c r="C92" i="8" s="1"/>
  <c r="C296" i="8" s="1"/>
  <c r="B46" i="8"/>
  <c r="C46" i="8" s="1"/>
  <c r="C293" i="8" s="1"/>
  <c r="B171" i="8"/>
  <c r="C171" i="8" s="1"/>
  <c r="C301" i="8" s="1"/>
  <c r="B267" i="8"/>
  <c r="C267" i="8" s="1"/>
  <c r="C307" i="8" s="1"/>
  <c r="B123" i="8"/>
  <c r="C123" i="8" s="1"/>
  <c r="C298" i="8" s="1"/>
  <c r="B61" i="8"/>
  <c r="C61" i="8" s="1"/>
  <c r="C294" i="8" s="1"/>
  <c r="L25" i="5"/>
  <c r="K25" i="5"/>
  <c r="AB68" i="4"/>
  <c r="AC68" i="4" s="1"/>
  <c r="C65" i="2" s="1"/>
  <c r="Q65" i="2" s="1"/>
  <c r="D28" i="6" s="1"/>
  <c r="S5" i="4"/>
  <c r="T5" i="4"/>
  <c r="AB69" i="4"/>
  <c r="AC69" i="4" s="1"/>
  <c r="C66" i="2" s="1"/>
  <c r="Q66" i="2" s="1"/>
  <c r="D29" i="6" s="1"/>
  <c r="U5" i="4"/>
  <c r="AB70" i="4"/>
  <c r="AC70" i="4" s="1"/>
  <c r="C67" i="2" s="1"/>
  <c r="Q67" i="2" s="1"/>
  <c r="D30" i="6" s="1"/>
  <c r="AL58" i="4"/>
  <c r="BZ13" i="4"/>
  <c r="BZ14" i="4" s="1"/>
  <c r="BZ15" i="4" s="1"/>
  <c r="BZ16" i="4" s="1"/>
  <c r="C47" i="3" s="1"/>
  <c r="AB72" i="4"/>
  <c r="AC72" i="4" s="1"/>
  <c r="C69" i="2" s="1"/>
  <c r="Q69" i="2" s="1"/>
  <c r="D32" i="6" s="1"/>
  <c r="W5" i="4"/>
  <c r="L18" i="5"/>
  <c r="L27" i="5" s="1"/>
  <c r="K18" i="5"/>
  <c r="J27" i="5" s="1"/>
  <c r="J28" i="5" s="1"/>
  <c r="CU13" i="4"/>
  <c r="CU14" i="4" s="1"/>
  <c r="CU15" i="4" s="1"/>
  <c r="CU16" i="4" s="1"/>
  <c r="C44" i="3" s="1"/>
  <c r="AB73" i="4"/>
  <c r="AC73" i="4" s="1"/>
  <c r="C70" i="2" s="1"/>
  <c r="Q70" i="2" s="1"/>
  <c r="D33" i="6" s="1"/>
  <c r="X5" i="4"/>
  <c r="AB67" i="4"/>
  <c r="AC67" i="4" s="1"/>
  <c r="C64" i="2" s="1"/>
  <c r="Q64" i="2" s="1"/>
  <c r="D27" i="6" s="1"/>
  <c r="R5" i="4"/>
  <c r="C64" i="3"/>
  <c r="C65" i="3" s="1"/>
  <c r="C66" i="3" s="1"/>
  <c r="I50" i="3" s="1"/>
  <c r="F2" i="6"/>
  <c r="AB74" i="4"/>
  <c r="AC74" i="4" s="1"/>
  <c r="C71" i="2" s="1"/>
  <c r="Q71" i="2" s="1"/>
  <c r="D34" i="6" s="1"/>
  <c r="Y5" i="4"/>
  <c r="L26" i="5"/>
  <c r="K26" i="5"/>
  <c r="AB75" i="4"/>
  <c r="AC75" i="4" s="1"/>
  <c r="C72" i="2" s="1"/>
  <c r="Q72" i="2" s="1"/>
  <c r="D35" i="6" s="1"/>
  <c r="Z5" i="4"/>
  <c r="AR59" i="4"/>
  <c r="E20" i="5" s="1"/>
  <c r="H20" i="5" s="1"/>
  <c r="J20" i="5" s="1"/>
  <c r="N33" i="5"/>
  <c r="O33" i="5" s="1"/>
  <c r="O35" i="5" s="1"/>
  <c r="O40" i="5" s="1"/>
  <c r="I22" i="5"/>
  <c r="J22" i="5" s="1"/>
  <c r="E24" i="5"/>
  <c r="H24" i="5" s="1"/>
  <c r="J24" i="5" s="1"/>
  <c r="I21" i="5"/>
  <c r="R33" i="5"/>
  <c r="S33" i="5" s="1"/>
  <c r="O37" i="5" s="1"/>
  <c r="I23" i="5"/>
  <c r="P33" i="5"/>
  <c r="Q33" i="5" s="1"/>
  <c r="O36" i="5" s="1"/>
  <c r="M5" i="4"/>
  <c r="AB62" i="4"/>
  <c r="AC62" i="4" s="1"/>
  <c r="C59" i="2" s="1"/>
  <c r="Q59" i="2" s="1"/>
  <c r="D22" i="6" s="1"/>
  <c r="I309" i="8"/>
  <c r="D319" i="8" s="1"/>
  <c r="D320" i="8" s="1"/>
  <c r="D321" i="8" s="1"/>
  <c r="J43" i="2" s="1"/>
  <c r="T7" i="6" s="1"/>
  <c r="H309" i="8"/>
  <c r="H312" i="8" s="1"/>
  <c r="G314" i="8" s="1"/>
  <c r="H43" i="2" s="1"/>
  <c r="R7" i="6" s="1"/>
  <c r="N20" i="6"/>
  <c r="I20" i="6"/>
  <c r="AD58" i="4"/>
  <c r="J23" i="5"/>
  <c r="L5" i="4"/>
  <c r="AB61" i="4"/>
  <c r="AC61" i="4" s="1"/>
  <c r="C58" i="2" s="1"/>
  <c r="Q58" i="2" s="1"/>
  <c r="D21" i="6" s="1"/>
  <c r="L19" i="5"/>
  <c r="K19" i="5"/>
  <c r="AB64" i="4"/>
  <c r="AC64" i="4" s="1"/>
  <c r="C61" i="2" s="1"/>
  <c r="Q61" i="2" s="1"/>
  <c r="D24" i="6" s="1"/>
  <c r="O5" i="4"/>
  <c r="AF58" i="4"/>
  <c r="AG58" i="4"/>
  <c r="G283" i="8"/>
  <c r="H283" i="8" s="1"/>
  <c r="H308" i="8" s="1"/>
  <c r="I14" i="6"/>
  <c r="N14" i="6" s="1"/>
  <c r="AE5" i="4"/>
  <c r="AV5" i="4"/>
  <c r="BM5" i="4"/>
  <c r="AF5" i="4"/>
  <c r="AW5" i="4"/>
  <c r="BN5" i="4"/>
  <c r="AB5" i="4"/>
  <c r="AS5" i="4"/>
  <c r="CO5" i="4" s="1"/>
  <c r="AT5" i="4"/>
  <c r="CP5" i="4" s="1"/>
  <c r="AU5" i="4"/>
  <c r="CQ5" i="4" s="1"/>
  <c r="BH5" i="4"/>
  <c r="BI5" i="4"/>
  <c r="BJ5" i="4"/>
  <c r="AX5" i="4"/>
  <c r="BQ5" i="4"/>
  <c r="BA5" i="4"/>
  <c r="BR5" i="4"/>
  <c r="BB5" i="4"/>
  <c r="BS5" i="4"/>
  <c r="C309" i="8"/>
  <c r="C312" i="8" s="1"/>
  <c r="B314" i="8" s="1"/>
  <c r="H42" i="2" s="1"/>
  <c r="D309" i="8"/>
  <c r="C319" i="8" s="1"/>
  <c r="C320" i="8" s="1"/>
  <c r="C321" i="8" s="1"/>
  <c r="J42" i="2" s="1"/>
  <c r="T6" i="6" s="1"/>
  <c r="L22" i="5" l="1"/>
  <c r="K22" i="5"/>
  <c r="R6" i="6"/>
  <c r="E21" i="5"/>
  <c r="H21" i="5" s="1"/>
  <c r="J21" i="5" s="1"/>
  <c r="J29" i="5"/>
  <c r="J30" i="5" s="1"/>
  <c r="J31" i="5" s="1"/>
  <c r="O42" i="5" s="1"/>
  <c r="Y37" i="6" s="1"/>
  <c r="K37" i="6" s="1"/>
  <c r="L20" i="5"/>
  <c r="K20" i="5"/>
  <c r="N35" i="6"/>
  <c r="I35" i="6"/>
  <c r="V5" i="4"/>
  <c r="AB71" i="4"/>
  <c r="AC71" i="4" s="1"/>
  <c r="C68" i="2" s="1"/>
  <c r="Q68" i="2" s="1"/>
  <c r="D31" i="6" s="1"/>
  <c r="N32" i="6"/>
  <c r="I32" i="6"/>
  <c r="N30" i="6"/>
  <c r="I30" i="6"/>
  <c r="L24" i="5"/>
  <c r="K24" i="5"/>
  <c r="N29" i="6"/>
  <c r="I29" i="6"/>
  <c r="N22" i="6"/>
  <c r="I22" i="6"/>
  <c r="AB66" i="4"/>
  <c r="AC66" i="4" s="1"/>
  <c r="C63" i="2" s="1"/>
  <c r="Q63" i="2" s="1"/>
  <c r="D26" i="6" s="1"/>
  <c r="Q5" i="4"/>
  <c r="P5" i="4"/>
  <c r="AB65" i="4"/>
  <c r="AC65" i="4" s="1"/>
  <c r="C62" i="2" s="1"/>
  <c r="Q62" i="2" s="1"/>
  <c r="D25" i="6" s="1"/>
  <c r="N27" i="6"/>
  <c r="I27" i="6"/>
  <c r="N28" i="6"/>
  <c r="I28" i="6"/>
  <c r="I21" i="6"/>
  <c r="N21" i="6"/>
  <c r="L23" i="5"/>
  <c r="K23" i="5"/>
  <c r="N5" i="4"/>
  <c r="AB63" i="4"/>
  <c r="AC63" i="4" s="1"/>
  <c r="C60" i="2" s="1"/>
  <c r="Q60" i="2" s="1"/>
  <c r="D23" i="6" s="1"/>
  <c r="N34" i="6"/>
  <c r="I34" i="6"/>
  <c r="N24" i="6"/>
  <c r="I24" i="6"/>
  <c r="N33" i="6"/>
  <c r="I33" i="6"/>
  <c r="N26" i="6" l="1"/>
  <c r="I26" i="6"/>
  <c r="I31" i="6"/>
  <c r="N31" i="6"/>
  <c r="L21" i="5"/>
  <c r="K21" i="5"/>
  <c r="N23" i="6"/>
  <c r="I23" i="6"/>
  <c r="N25" i="6"/>
  <c r="I25" i="6"/>
</calcChain>
</file>

<file path=xl/sharedStrings.xml><?xml version="1.0" encoding="utf-8"?>
<sst xmlns="http://schemas.openxmlformats.org/spreadsheetml/2006/main" count="1247" uniqueCount="441">
  <si>
    <t>id Calibration</t>
  </si>
  <si>
    <t>Nama Alat</t>
  </si>
  <si>
    <t>Depth Micrometer</t>
  </si>
  <si>
    <t>Merek</t>
  </si>
  <si>
    <t>w1</t>
  </si>
  <si>
    <t>Kode alat</t>
  </si>
  <si>
    <t>type alat</t>
  </si>
  <si>
    <t>No seri</t>
  </si>
  <si>
    <t>rentang ukur min</t>
  </si>
  <si>
    <t>rentang ukur max</t>
  </si>
  <si>
    <t>kapasitas</t>
  </si>
  <si>
    <t>SILAHKAN KE SHEET INPUT DATA UNTUK MELAKUKAN EXTRACT DATA</t>
  </si>
  <si>
    <t>resolusi</t>
  </si>
  <si>
    <t>nama pemilik</t>
  </si>
  <si>
    <t>e</t>
  </si>
  <si>
    <t>tanggal alat masuk</t>
  </si>
  <si>
    <t>22-04-0321</t>
  </si>
  <si>
    <t>tanggal kalibrasi</t>
  </si>
  <si>
    <t>13-02-0433</t>
  </si>
  <si>
    <t>jenis pembacaan</t>
  </si>
  <si>
    <t>digital</t>
  </si>
  <si>
    <t>tempat kalibrasi</t>
  </si>
  <si>
    <t>lab</t>
  </si>
  <si>
    <t>lokasi PT</t>
  </si>
  <si>
    <t>d</t>
  </si>
  <si>
    <t>Kondisi alat</t>
  </si>
  <si>
    <t>rusak</t>
  </si>
  <si>
    <t>Keterangan</t>
  </si>
  <si>
    <t>Kondisi kalibrasi</t>
  </si>
  <si>
    <t xml:space="preserve">Awal </t>
  </si>
  <si>
    <t xml:space="preserve">tengah </t>
  </si>
  <si>
    <t>akhir</t>
  </si>
  <si>
    <t>Suhu</t>
  </si>
  <si>
    <t>RH</t>
  </si>
  <si>
    <t>DATA KALIBRASI</t>
  </si>
  <si>
    <t>Titik Ukur</t>
  </si>
  <si>
    <t>Alat standar</t>
  </si>
  <si>
    <t>Gauge Block (150mm) D.007, Gauge Block (300mm) D.008</t>
  </si>
  <si>
    <t>Metode kalibrasi</t>
  </si>
  <si>
    <t>PAS-IK1102-06 (JIS B 7544 : 1994)</t>
  </si>
  <si>
    <t>Dikalibrasi oleh</t>
  </si>
  <si>
    <t>wew</t>
  </si>
  <si>
    <t>Diperiksa oleh</t>
  </si>
  <si>
    <t>dasdas</t>
  </si>
  <si>
    <t>PERHITUNGAN SERTIFIKAT KALIBRASI OUTSIDE MICROMETER UNTUK RENTANG UKUR  0 - 500 mm</t>
  </si>
  <si>
    <t>METODE KALIBRASI</t>
  </si>
  <si>
    <t>:</t>
  </si>
  <si>
    <t>ACUAN REFERENSI</t>
  </si>
  <si>
    <t>TANGGAL HARI INI</t>
  </si>
  <si>
    <t>PASTIKAN SEMUA DATA PADA LEMBAR KERJA SUDAH LENGKAP SEBELUM MELAKUKAN INPUT DATA</t>
  </si>
  <si>
    <t>TANGGAL TERBIT SERTIFIKAT</t>
  </si>
  <si>
    <t>September</t>
  </si>
  <si>
    <t>NOMOR SERTIFIKAT</t>
  </si>
  <si>
    <t>PAS</t>
  </si>
  <si>
    <t>K</t>
  </si>
  <si>
    <t>999999</t>
  </si>
  <si>
    <t>ALAT &amp; SPESIFIKASI</t>
  </si>
  <si>
    <t>NAMA ALAT</t>
  </si>
  <si>
    <t>Tambahkan nama alat pada kolom berikut jika belum tercantum pada pilihan diatas.</t>
  </si>
  <si>
    <t>MERK</t>
  </si>
  <si>
    <t>TIPE</t>
  </si>
  <si>
    <t>NOMOR SERI</t>
  </si>
  <si>
    <t>Nomer Identitas</t>
  </si>
  <si>
    <t>JENIS ALAT</t>
  </si>
  <si>
    <t>SATUAN</t>
  </si>
  <si>
    <t>RENTANG UKUR</t>
  </si>
  <si>
    <t>~</t>
  </si>
  <si>
    <t>KAPASITAS</t>
  </si>
  <si>
    <t>RESOLUSI</t>
  </si>
  <si>
    <t>PEMBAGI</t>
  </si>
  <si>
    <t>u RESOLUSI</t>
  </si>
  <si>
    <t>RESOLUSI/ SKALA TERKECIL</t>
  </si>
  <si>
    <t>&gt;&gt; resolusi 0.01 mm pilih 10%</t>
  </si>
  <si>
    <t>IDENTITAS PEMILIK ALAT</t>
  </si>
  <si>
    <t>NAMA PERUSAHAAN</t>
  </si>
  <si>
    <t>CABANG/ DIVISI/ UNIT</t>
  </si>
  <si>
    <t>ALAMAT</t>
  </si>
  <si>
    <t>RINCIAN KALIBRASI</t>
  </si>
  <si>
    <t>TANGGAL ALAT MASUK</t>
  </si>
  <si>
    <t>TANGGAL KALIBRASI</t>
  </si>
  <si>
    <t>TEMPAT KALIBRASI</t>
  </si>
  <si>
    <t>THERMOHYGROMETER</t>
  </si>
  <si>
    <t>TH-01</t>
  </si>
  <si>
    <t>SUHU RUANGAN</t>
  </si>
  <si>
    <t>±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</si>
  <si>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</si>
  <si>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KELEMBAPAN RUANGAN</t>
  </si>
  <si>
    <t>%</t>
  </si>
  <si>
    <t>PENANDATANGAN SERTIFIKAT</t>
  </si>
  <si>
    <t>1. UJI KERATAAN (KHUSUS OUTSIDE MICROMETER)</t>
  </si>
  <si>
    <t>PENENTUAN HASIL UJI KERATAAN</t>
  </si>
  <si>
    <t>Anvil</t>
  </si>
  <si>
    <t>Spindle</t>
  </si>
  <si>
    <t>Nominal</t>
  </si>
  <si>
    <t xml:space="preserve">Anvil </t>
  </si>
  <si>
    <t>Nominal Optical Parallel</t>
  </si>
  <si>
    <t>Jumlah Frinji</t>
  </si>
  <si>
    <t>Nilai Kerataan</t>
  </si>
  <si>
    <t>mm</t>
  </si>
  <si>
    <t>2. UJI SKALA NOMINAL</t>
  </si>
  <si>
    <t>PENENTUAN NILAI KOREKSI UUT</t>
  </si>
  <si>
    <t>Ukuran Balok Ukur Standar</t>
  </si>
  <si>
    <t>Penunjukkan Alat</t>
  </si>
  <si>
    <t>STDEV</t>
  </si>
  <si>
    <t>Standar</t>
  </si>
  <si>
    <t>Rata-rata UUT</t>
  </si>
  <si>
    <t>Koreksi UUT</t>
  </si>
  <si>
    <t>Nilai Aktual</t>
  </si>
  <si>
    <t>inch</t>
  </si>
  <si>
    <t>Max STDEV</t>
  </si>
  <si>
    <t>Jika menggunakan stick bar</t>
  </si>
  <si>
    <t>Nominal stick bar</t>
  </si>
  <si>
    <t>0 = tanpa stick bar</t>
  </si>
  <si>
    <t>&gt;&gt; ke pengolahan ketidakpastian</t>
  </si>
  <si>
    <t>MOHON PERIKSA KEMBALI SEBELUM MENCETAK SERTIFIKAT</t>
  </si>
  <si>
    <t>Nomor Sertifikat</t>
  </si>
  <si>
    <t>Hal.</t>
  </si>
  <si>
    <t>dari</t>
  </si>
  <si>
    <t>Certificate Number</t>
  </si>
  <si>
    <t>Page</t>
  </si>
  <si>
    <t>of</t>
  </si>
  <si>
    <t>Tanggal Terbit</t>
  </si>
  <si>
    <t>Date of Issue</t>
  </si>
  <si>
    <t>IDENTITAS ALAT</t>
  </si>
  <si>
    <t>INSTRUMENT DETAILS</t>
  </si>
  <si>
    <r>
      <t xml:space="preserve">Equipment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Instrument</t>
    </r>
  </si>
  <si>
    <t>Merek Pabrik</t>
  </si>
  <si>
    <t>Manufacture</t>
  </si>
  <si>
    <t>Tipe / Nomor Seri</t>
  </si>
  <si>
    <r>
      <t xml:space="preserve">Type </t>
    </r>
    <r>
      <rPr>
        <sz val="10"/>
        <color rgb="FF000000"/>
        <rFont val="Segoe UI"/>
      </rPr>
      <t xml:space="preserve">/ </t>
    </r>
    <r>
      <rPr>
        <i/>
        <sz val="10"/>
        <color rgb="FF000000"/>
        <rFont val="Segoe UI"/>
      </rPr>
      <t>Serial Number</t>
    </r>
  </si>
  <si>
    <t>ID Number</t>
  </si>
  <si>
    <t>Kapasitas / Resolusi</t>
  </si>
  <si>
    <r>
      <t xml:space="preserve">Capacity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Resolution</t>
    </r>
  </si>
  <si>
    <t>IDENTITAS PEMILIK</t>
  </si>
  <si>
    <t>PRINCIPAL IDENTIFICATION</t>
  </si>
  <si>
    <t>Nama</t>
  </si>
  <si>
    <t>Designation</t>
  </si>
  <si>
    <t>Alamat</t>
  </si>
  <si>
    <t>Address</t>
  </si>
  <si>
    <t>METODE DAN STANDAR KALIBRASI</t>
  </si>
  <si>
    <t>CALIBRATION METHOD AND STANDARD</t>
  </si>
  <si>
    <t>Metode Kalibrasi</t>
  </si>
  <si>
    <t>Calibration Method</t>
  </si>
  <si>
    <t>Acuan</t>
  </si>
  <si>
    <t>Reference</t>
  </si>
  <si>
    <t>Standar Kalibrasi</t>
  </si>
  <si>
    <t>Reference Standard</t>
  </si>
  <si>
    <t>Ketertelusuran</t>
  </si>
  <si>
    <t>Traceability</t>
  </si>
  <si>
    <t>M. Iqbal Fauzi</t>
  </si>
  <si>
    <t>Rudi Eko Suryono</t>
  </si>
  <si>
    <t>Septya Nugroho</t>
  </si>
  <si>
    <t>QRCode</t>
  </si>
  <si>
    <t>https://pascalibration.com/</t>
  </si>
  <si>
    <t>CodeAlat</t>
  </si>
  <si>
    <t>File Name</t>
  </si>
  <si>
    <t>QRCodeContent</t>
  </si>
  <si>
    <t>PEMILIHAN STANDAR GAUGE BLOCK</t>
  </si>
  <si>
    <t>KOLOM PENGISIAN</t>
  </si>
  <si>
    <t>SORTIR NILAI AKTUAL</t>
  </si>
  <si>
    <t>SORTIR NILAI KETIDAKPASTIAN STANDAR</t>
  </si>
  <si>
    <t>SORTIR KETERTELUSURAN</t>
  </si>
  <si>
    <t>SORTIR IDENTITAS STANDAR</t>
  </si>
  <si>
    <t>Beri tanda "x" pada gauge block yang dipilih</t>
  </si>
  <si>
    <t>Remark</t>
  </si>
  <si>
    <t>Title</t>
  </si>
  <si>
    <t>No ID</t>
  </si>
  <si>
    <t>Kelas</t>
  </si>
  <si>
    <t>Dev</t>
  </si>
  <si>
    <t>Actual</t>
  </si>
  <si>
    <t>U95</t>
  </si>
  <si>
    <t>Cal date</t>
  </si>
  <si>
    <t>Telusuran</t>
  </si>
  <si>
    <t>TARGET</t>
  </si>
  <si>
    <t>Laboratorium SNSU BSN</t>
  </si>
  <si>
    <t>Mitutoyo, 516-106-10, S/N. 1103008</t>
  </si>
  <si>
    <t>(mm)</t>
  </si>
  <si>
    <r>
      <t>(</t>
    </r>
    <r>
      <rPr>
        <sz val="10"/>
        <color rgb="FF000000"/>
        <rFont val="Calibri"/>
      </rPr>
      <t>μ</t>
    </r>
    <r>
      <rPr>
        <sz val="10"/>
        <color rgb="FF000000"/>
        <rFont val="Arial"/>
      </rPr>
      <t>m)</t>
    </r>
  </si>
  <si>
    <t>ACTUAL</t>
  </si>
  <si>
    <t>LK-066-IDN</t>
  </si>
  <si>
    <t>Mitutoyo, 516-938-10, S/N. 1162776</t>
  </si>
  <si>
    <t>GB khusus Micrometer</t>
  </si>
  <si>
    <t>D.013</t>
  </si>
  <si>
    <t>x</t>
  </si>
  <si>
    <t>-</t>
  </si>
  <si>
    <t>Mitutoyo, S/N. 110424</t>
  </si>
  <si>
    <t>Mitutoyo, S/N. 190035</t>
  </si>
  <si>
    <t>Mitutoyo, S/N. 110072</t>
  </si>
  <si>
    <t>GB Set 100 mm</t>
  </si>
  <si>
    <t>11 Juli 2024</t>
  </si>
  <si>
    <t>Long GB</t>
  </si>
  <si>
    <t>LK-150-IDN</t>
  </si>
  <si>
    <t>D.012</t>
  </si>
  <si>
    <t>Stick Bar</t>
  </si>
  <si>
    <t>JUMLAH WRINGING</t>
  </si>
  <si>
    <t>JUMLAH NILAI AKTUAL</t>
  </si>
  <si>
    <t>JUMLAH NILAI KETIDAKPASTIAN</t>
  </si>
  <si>
    <t>SUSUN KE BAWAH</t>
  </si>
  <si>
    <t>PT. PANANJUNG ANUGRAH SOLUTION ( LK 150 IDN )</t>
  </si>
  <si>
    <t xml:space="preserve">FPA 03-a.01.b.1 Rev.0
</t>
  </si>
  <si>
    <t xml:space="preserve">Sunter Niaga Mas 3, Jalan Antilop Raya Blok F 3 No.2 </t>
  </si>
  <si>
    <t>Jababeka II, Cikarang Pusat 17530 Phone &amp; Fax +62 21 2908 3214</t>
  </si>
  <si>
    <t>Email : info@pascalibration.com Website : www.pascalibration.com</t>
  </si>
  <si>
    <t>Form A</t>
  </si>
  <si>
    <t>Uncertainty Budget sebagai Pendukung Kemampuan Kalibrasi dan Pengukuran (CMC)</t>
  </si>
  <si>
    <t>Nama laboratorium</t>
  </si>
  <si>
    <t>PT. Pananjung Anugrah Solution</t>
  </si>
  <si>
    <t xml:space="preserve">Sunter Niaga Mas 3, Jalan Antilop Raya Blok F3 No.2, Jababeka II, Cikarang Pusat 17530 </t>
  </si>
  <si>
    <t xml:space="preserve">Phone &amp; Fax +62 21 2908 3214 </t>
  </si>
  <si>
    <t>CMC dari KAN</t>
  </si>
  <si>
    <t>UNCERTAINTY BUDGET SEBAGAI PENDUKUNG KLAIM CMC</t>
  </si>
  <si>
    <t>Outside</t>
  </si>
  <si>
    <t>Inside</t>
  </si>
  <si>
    <t>Depth</t>
  </si>
  <si>
    <t>Besaran yang diukur</t>
  </si>
  <si>
    <t>Dimensi</t>
  </si>
  <si>
    <t>Jenis alat yang dikalibrasi</t>
  </si>
  <si>
    <t>Micrometer</t>
  </si>
  <si>
    <t>α =</t>
  </si>
  <si>
    <t>/°C</t>
  </si>
  <si>
    <t>Standar yang digunakan</t>
  </si>
  <si>
    <t>Gauge Block Set for Micrometer 0 - 25mm</t>
  </si>
  <si>
    <t>Model matematis pengukuran</t>
  </si>
  <si>
    <t>Δ = L - Ls; Δ = koreksi, L = Panjang Gauge Block, Ls = Pembacaan UUT</t>
  </si>
  <si>
    <t>Rentang ukur</t>
  </si>
  <si>
    <t>Komponen</t>
  </si>
  <si>
    <t>Satuan</t>
  </si>
  <si>
    <t>Distribusi</t>
  </si>
  <si>
    <t>u</t>
  </si>
  <si>
    <t>Pembagi</t>
  </si>
  <si>
    <r>
      <t>v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</si>
  <si>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</si>
  <si>
    <r>
      <t>c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</si>
  <si>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</si>
  <si>
    <r>
      <t>(u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2</t>
    </r>
  </si>
  <si>
    <r>
      <t>(u</t>
    </r>
    <r>
      <rPr>
        <vertAlign val="subscript"/>
        <sz val="10"/>
        <color rgb="FF000000"/>
        <rFont val="Arial"/>
      </rPr>
      <t>i.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4</t>
    </r>
    <r>
      <rPr>
        <sz val="10"/>
        <color rgb="FF000000"/>
        <rFont val="Arial"/>
      </rPr>
      <t>/v</t>
    </r>
    <r>
      <rPr>
        <vertAlign val="subscript"/>
        <sz val="10"/>
        <color rgb="FF000000"/>
        <rFont val="Arial"/>
      </rPr>
      <t>i</t>
    </r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</si>
  <si>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</si>
  <si>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</si>
  <si>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</si>
  <si>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</si>
  <si>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</si>
  <si>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</si>
  <si>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</si>
  <si>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</si>
  <si>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</si>
  <si>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</si>
  <si>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</si>
  <si>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Repeatability</t>
  </si>
  <si>
    <t>µm</t>
  </si>
  <si>
    <t>normal</t>
  </si>
  <si>
    <t>Resolusi</t>
  </si>
  <si>
    <t>rect.</t>
  </si>
  <si>
    <t>Standar balok ukur</t>
  </si>
  <si>
    <r>
      <t xml:space="preserve">Perubahan terhadap suhu acuan 20 </t>
    </r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</si>
  <si>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</si>
  <si>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t>Perbedaan suhu UUT dan standar</t>
  </si>
  <si>
    <t>Koefisien muai thermal</t>
  </si>
  <si>
    <r>
      <rPr>
        <sz val="10"/>
        <color rgb="FF000000"/>
        <rFont val="Calibri"/>
      </rPr>
      <t>/°</t>
    </r>
    <r>
      <rPr>
        <sz val="10"/>
        <color rgb="FF000000"/>
        <rFont val="Arial"/>
      </rPr>
      <t>C</t>
    </r>
  </si>
  <si>
    <t>Drift Standar</t>
  </si>
  <si>
    <t>Lapisan Wringing</t>
  </si>
  <si>
    <t>Kesalahan geometris / mekanis</t>
  </si>
  <si>
    <t>Sums</t>
  </si>
  <si>
    <t>Ketidakpastian baku gabungan, uc, (µm)</t>
  </si>
  <si>
    <t>Derajat kebebasan efektif, neff</t>
  </si>
  <si>
    <t>Faktor cakupan, k-student’s untuk neff dan CL 95 %</t>
  </si>
  <si>
    <t>Ketidak pastian bentangan, U = kuc,  (µm)</t>
  </si>
  <si>
    <t>U Akhir</t>
  </si>
  <si>
    <t>No. Sertifikat</t>
  </si>
  <si>
    <t>Tanggal Alat Masuk</t>
  </si>
  <si>
    <t>Tanggal Kalibrasi</t>
  </si>
  <si>
    <t>Kondisi Tempat Kalibrasi</t>
  </si>
  <si>
    <t>Tempat Kalibrasi</t>
  </si>
  <si>
    <t xml:space="preserve"> RT</t>
  </si>
  <si>
    <r>
      <rPr>
        <sz val="10"/>
        <color rgb="FF000000"/>
        <rFont val="Calibri"/>
      </rPr>
      <t>°</t>
    </r>
    <r>
      <rPr>
        <sz val="10"/>
        <color rgb="FF000000"/>
        <rFont val="Segoe UI"/>
      </rPr>
      <t>C</t>
    </r>
  </si>
  <si>
    <t xml:space="preserve"> RH</t>
  </si>
  <si>
    <t>HASIL KALIBRASI</t>
  </si>
  <si>
    <t>CALIBRATION RESULT</t>
  </si>
  <si>
    <t>Flatness</t>
  </si>
  <si>
    <t>Uji Kerataan Muka Ukur</t>
  </si>
  <si>
    <t>Pembulatan:</t>
  </si>
  <si>
    <t>Link</t>
  </si>
  <si>
    <t>Uji Skala Nominal</t>
  </si>
  <si>
    <t>Nilai Standar</t>
  </si>
  <si>
    <t>Koreksi</t>
  </si>
  <si>
    <t>Standard Value</t>
  </si>
  <si>
    <t>Instrument Reading</t>
  </si>
  <si>
    <t>Correction</t>
  </si>
  <si>
    <t>&gt;&gt; 2 angka penting</t>
  </si>
  <si>
    <t>Ketidakpastian Pengukuran</t>
  </si>
  <si>
    <t>Measurement Uncertainty</t>
  </si>
  <si>
    <t>Note :</t>
  </si>
  <si>
    <r>
      <t>*  Nilai pembacaan alat sebenarnya adalah pembacaan alat</t>
    </r>
    <r>
      <rPr>
        <sz val="8"/>
        <color rgb="FF000000"/>
        <rFont val="Segoe UI"/>
      </rPr>
      <t xml:space="preserve"> ditambahkan dengan nilai koreksi.</t>
    </r>
  </si>
  <si>
    <t xml:space="preserve">   Correction are added to the instrument reading for obtaining true reading.</t>
  </si>
  <si>
    <t>*  Ketidakpastian pengukuran dinyatakan pada tingkat kepercayaan tidak kurang dari 95% dengan faktor cakupan k = 2.</t>
  </si>
  <si>
    <t xml:space="preserve">   The uncertainty of measurement at level of confidence of 95%, and the coverage factor is equal 2.</t>
  </si>
  <si>
    <t>*  Perhitungan ketidakpastian pengukuran mengacu ke ISO GUM 2008.</t>
  </si>
  <si>
    <t xml:space="preserve">    Calculation of measurement uncertainty refers to ISO GUM 2008.</t>
  </si>
  <si>
    <r>
      <t xml:space="preserve">--- Akhir Sertifikat / </t>
    </r>
    <r>
      <rPr>
        <i/>
        <sz val="9"/>
        <color rgb="FF000000"/>
        <rFont val="Calibri"/>
      </rPr>
      <t>End of Certificate</t>
    </r>
    <r>
      <rPr>
        <sz val="9"/>
        <color rgb="FF000000"/>
        <rFont val="Calibri"/>
      </rPr>
      <t xml:space="preserve"> ---</t>
    </r>
  </si>
  <si>
    <t>TANGGAL</t>
  </si>
  <si>
    <t>BULAN</t>
  </si>
  <si>
    <t>TTD</t>
  </si>
  <si>
    <t>LOKASI</t>
  </si>
  <si>
    <t>MERK ALAT</t>
  </si>
  <si>
    <t>Titik Ukur Utama</t>
  </si>
  <si>
    <t>Satuan Kecil</t>
  </si>
  <si>
    <t>Konversi Satuan</t>
  </si>
  <si>
    <t>Pembulatan</t>
  </si>
  <si>
    <t>Rentang Ukur</t>
  </si>
  <si>
    <t>Jenis Alat</t>
  </si>
  <si>
    <t>IK</t>
  </si>
  <si>
    <t>JIS</t>
  </si>
  <si>
    <t>01</t>
  </si>
  <si>
    <t>Januari</t>
  </si>
  <si>
    <t>MICROMETER</t>
  </si>
  <si>
    <t>Lab. Kalibrasi PT Pananjung Anugrah Solution.</t>
  </si>
  <si>
    <t>--</t>
  </si>
  <si>
    <r>
      <rPr>
        <sz val="9"/>
        <color rgb="FF000000"/>
        <rFont val="Calibri"/>
      </rPr>
      <t>μ</t>
    </r>
    <r>
      <rPr>
        <sz val="9"/>
        <color rgb="FF000000"/>
        <rFont val="Arial"/>
      </rPr>
      <t>m</t>
    </r>
  </si>
  <si>
    <t>PAS-IK-1102-02</t>
  </si>
  <si>
    <t>JIS B 7502:2016 (JMA/JSA); SNSU PK.P-01:2020.</t>
  </si>
  <si>
    <t>02</t>
  </si>
  <si>
    <t>Februari</t>
  </si>
  <si>
    <t>OUTSIDE MICROMETER</t>
  </si>
  <si>
    <t>Mitutoyo</t>
  </si>
  <si>
    <t>mil</t>
  </si>
  <si>
    <t>PAS-IK-1102-01</t>
  </si>
  <si>
    <t>03</t>
  </si>
  <si>
    <t>Maret</t>
  </si>
  <si>
    <t>DIGIMATIC MICROMETER</t>
  </si>
  <si>
    <t>Insize</t>
  </si>
  <si>
    <t>PAS-IK-1102-06</t>
  </si>
  <si>
    <t>JIS B 7544 : 1994</t>
  </si>
  <si>
    <t>04</t>
  </si>
  <si>
    <t>April</t>
  </si>
  <si>
    <t>DIGITAL MICROMETER</t>
  </si>
  <si>
    <t>Krisbow</t>
  </si>
  <si>
    <t>05</t>
  </si>
  <si>
    <t>Mei</t>
  </si>
  <si>
    <t>DIGIMATIC BLADE MICROMETER</t>
  </si>
  <si>
    <t>Kanon</t>
  </si>
  <si>
    <t>06</t>
  </si>
  <si>
    <t>Juni</t>
  </si>
  <si>
    <t>Niigata Seiki</t>
  </si>
  <si>
    <t>07</t>
  </si>
  <si>
    <t>Juli</t>
  </si>
  <si>
    <t>Teclock</t>
  </si>
  <si>
    <t>08</t>
  </si>
  <si>
    <t>Agustus</t>
  </si>
  <si>
    <t>SK</t>
  </si>
  <si>
    <t>09</t>
  </si>
  <si>
    <t>Tricle Brand</t>
  </si>
  <si>
    <t>10</t>
  </si>
  <si>
    <t>Oktober</t>
  </si>
  <si>
    <t>11</t>
  </si>
  <si>
    <t>November</t>
  </si>
  <si>
    <t>12</t>
  </si>
  <si>
    <t>Desember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</si>
  <si>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</si>
  <si>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</si>
  <si>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</si>
  <si>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</si>
  <si>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</si>
  <si>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</si>
  <si>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</si>
  <si>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</si>
  <si>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</si>
  <si>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</si>
  <si>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</si>
  <si>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</si>
  <si>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</si>
  <si>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</si>
  <si>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</si>
  <si>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</si>
  <si>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</si>
  <si>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</si>
  <si>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</si>
  <si>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THERMOHYGROMETER PT PANANJUNG ANUGRAH SOLUTION</t>
  </si>
  <si>
    <t>DEKKO</t>
  </si>
  <si>
    <t>19 Maret 2024</t>
  </si>
  <si>
    <t>TYPE/ MODEL</t>
  </si>
  <si>
    <t>642N</t>
  </si>
  <si>
    <t>PT PAS (LK-150-IDN)</t>
  </si>
  <si>
    <t>NO. SERI</t>
  </si>
  <si>
    <t>TEMPERATURE</t>
  </si>
  <si>
    <t>HUMIDITY</t>
  </si>
  <si>
    <t>PEMBACAAN ALAT</t>
  </si>
  <si>
    <t>KOREKSI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</si>
  <si>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</si>
  <si>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15 Oktober 2024</t>
  </si>
  <si>
    <t>TH-02</t>
  </si>
  <si>
    <t>TH-03</t>
  </si>
  <si>
    <t>15 Mei 2025</t>
  </si>
  <si>
    <t>TH-04</t>
  </si>
  <si>
    <t>TH-05</t>
  </si>
  <si>
    <t>TH-06</t>
  </si>
  <si>
    <t>TH-07</t>
  </si>
  <si>
    <t>23 Mei 2025</t>
  </si>
  <si>
    <t>TH-08</t>
  </si>
  <si>
    <t>TH-09</t>
  </si>
  <si>
    <t>TH-10</t>
  </si>
  <si>
    <t>TH-11</t>
  </si>
  <si>
    <t>TH-12</t>
  </si>
  <si>
    <t>TH-13</t>
  </si>
  <si>
    <t>18 Oktober 2024</t>
  </si>
  <si>
    <t>TH-14</t>
  </si>
  <si>
    <t>TH-15</t>
  </si>
  <si>
    <t>TH-16</t>
  </si>
  <si>
    <t>TH-17</t>
  </si>
  <si>
    <t>TH-18</t>
  </si>
  <si>
    <t>ALAT</t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</si>
  <si>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Dari input data</t>
    </r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</si>
  <si>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Hasil lookup</t>
    </r>
  </si>
  <si>
    <t>Temperature Terkoreksi</t>
  </si>
  <si>
    <t>Humidity Terkoreksi</t>
  </si>
  <si>
    <t>FORMULA</t>
  </si>
  <si>
    <t>U. STD</t>
  </si>
  <si>
    <t>UC</t>
  </si>
  <si>
    <t>EXP</t>
  </si>
  <si>
    <t>Riwayat Perubahan Template</t>
  </si>
  <si>
    <t>Tanggal</t>
  </si>
  <si>
    <t>Deskripsi</t>
  </si>
  <si>
    <t>Petugas</t>
  </si>
  <si>
    <t>Update ketidakpastian standar</t>
  </si>
  <si>
    <t>Nugi</t>
  </si>
  <si>
    <t>Revisi lampiran kalibrasi</t>
  </si>
  <si>
    <t>Update nilai thermohygro</t>
  </si>
  <si>
    <t>Update Nilai Standar</t>
  </si>
  <si>
    <t>Menambahkan keterangan Akhir Sertifikat</t>
  </si>
  <si>
    <t>Re-desain halaman input dan standar</t>
  </si>
  <si>
    <t>Rudi</t>
  </si>
  <si>
    <t>Evaluasi ketidakpastian sesuai dengan SNSU PK.P-01, 2020</t>
  </si>
  <si>
    <t>Menyatukan template berbasis mm dengan inch</t>
  </si>
  <si>
    <t>Merevisi filter CMC (dari outside saja, menjadi outside, inside dan depth)</t>
  </si>
  <si>
    <t>Review komponen ketidakpastian suhu</t>
  </si>
  <si>
    <t>Penambahan fitur pembulatan otomatis pada laporan kalibrasi</t>
  </si>
  <si>
    <t>cek keseluruhan data</t>
  </si>
  <si>
    <t>Update nilai thermohygrometer</t>
  </si>
  <si>
    <t>Update Nilai Standar GB 0.5 ~ 100mm</t>
  </si>
  <si>
    <t>Menambahkan kolom tanggal alat masuk</t>
  </si>
  <si>
    <t>Update nilai CMC terbaru</t>
  </si>
  <si>
    <t>Update thermohygro TH-04, TH-06, TH-08, TH-11</t>
  </si>
  <si>
    <t>Update standar gauge block 150 dan 300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</si>
</sst>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dd"/>
    <numFmt numFmtId="166" formatCode="#,##0.0"/>
    <numFmt numFmtId="167" formatCode="_-* #,##0_-;\-* #,##0_-;_-* &quot;-&quot;_-;_-@_-"/>
    <numFmt numFmtId="168" formatCode="0.00000"/>
    <numFmt numFmtId="169" formatCode="[$-421]dd\ mmmm\ yyyy;@"/>
    <numFmt numFmtId="170" formatCode="0.0000000"/>
    <numFmt numFmtId="171" formatCode="0.000"/>
    <numFmt numFmtId="172" formatCode="0.0E+00"/>
    <numFmt numFmtId="173" formatCode="[$-E97F0000]mmmm"/>
  </numFmts>
  <fonts count="60" x14ac:knownFonts="1">
    <font>
      <sz val="10"/>
      <color rgb="FF000000"/>
      <name val="Arial"/>
    </font>
    <font>
      <b/>
      <sz val="10"/>
      <color rgb="FF000000"/>
      <name val="Arial"/>
    </font>
    <font>
      <sz val="10"/>
      <color theme="1"/>
      <name val="Arial"/>
    </font>
    <font>
      <b/>
      <sz val="10"/>
      <color theme="1"/>
      <name val="Arial"/>
    </font>
    <font>
      <b/>
      <i/>
      <sz val="10"/>
      <color theme="1"/>
      <name val="Arial"/>
    </font>
    <font>
      <i/>
      <sz val="10"/>
      <color theme="1"/>
      <name val="Arial"/>
    </font>
    <font>
      <b/>
      <sz val="11"/>
      <color rgb="FF000000"/>
      <name val="Arial"/>
    </font>
    <font>
      <b/>
      <sz val="11"/>
      <color rgb="FF000000"/>
      <name val="Calibri"/>
    </font>
    <font>
      <sz val="10"/>
      <color rgb="FF000000"/>
      <name val="Segoe UI"/>
    </font>
    <font>
      <b/>
      <sz val="10"/>
      <color rgb="FF000000"/>
      <name val="Segoe UI"/>
    </font>
    <font>
      <i/>
      <sz val="10"/>
      <color rgb="FF000000"/>
      <name val="Segoe UI"/>
    </font>
    <font>
      <b/>
      <i/>
      <sz val="10"/>
      <color rgb="FF000000"/>
      <name val="Segoe UI"/>
    </font>
    <font>
      <i/>
      <sz val="9"/>
      <color rgb="FF000000"/>
      <name val="Segoe UI"/>
    </font>
    <font>
      <sz val="10"/>
      <color theme="1"/>
      <name val="Segoe UI"/>
    </font>
    <font>
      <i/>
      <sz val="9"/>
      <color theme="1"/>
      <name val="Segoe UI"/>
    </font>
    <font>
      <sz val="11"/>
      <color theme="1"/>
      <name val="Segoe UI"/>
    </font>
    <font>
      <b/>
      <sz val="12"/>
      <color rgb="FF000000"/>
      <name val="Arial"/>
    </font>
    <font>
      <sz val="9"/>
      <color rgb="FF000000"/>
      <name val="Arial"/>
    </font>
    <font>
      <b/>
      <sz val="9"/>
      <color rgb="FF000000"/>
      <name val="Arial"/>
    </font>
    <font>
      <b/>
      <i/>
      <sz val="8"/>
      <color rgb="FF000000"/>
      <name val="Segoe UI"/>
    </font>
    <font>
      <sz val="8"/>
      <color rgb="FF000000"/>
      <name val="Segoe UI"/>
    </font>
    <font>
      <i/>
      <sz val="8"/>
      <color rgb="FF000000"/>
      <name val="Segoe UI"/>
    </font>
    <font>
      <sz val="10"/>
      <color theme="0"/>
      <name val="Arial"/>
    </font>
    <font>
      <b/>
      <sz val="10"/>
      <color theme="0"/>
      <name val="Arial"/>
    </font>
    <font>
      <b/>
      <i/>
      <sz val="9"/>
      <color rgb="FF000000"/>
      <name val="Arial"/>
    </font>
    <font>
      <sz val="10"/>
      <color rgb="FF000000"/>
      <name val="Arial Narrow"/>
    </font>
    <font>
      <sz val="9"/>
      <color rgb="FF000000"/>
      <name val="Arial Narrow"/>
    </font>
    <font>
      <sz val="8"/>
      <color rgb="FF000000"/>
      <name val="Arial Narrow"/>
    </font>
    <font>
      <b/>
      <sz val="10"/>
      <color rgb="FF000000"/>
      <name val="Arial Narrow"/>
    </font>
    <font>
      <sz val="8"/>
      <color rgb="FF000000"/>
      <name val="Times New Roman"/>
    </font>
    <font>
      <sz val="8"/>
      <color rgb="FFFF0000"/>
      <name val="Times New Roman"/>
    </font>
    <font>
      <b/>
      <sz val="8"/>
      <color rgb="FF0070C0"/>
      <name val="Times New Roman"/>
    </font>
    <font>
      <b/>
      <sz val="10"/>
      <color rgb="FF0070C0"/>
      <name val="Arial"/>
    </font>
    <font>
      <sz val="10"/>
      <color rgb="FF994807"/>
      <name val="Arial"/>
    </font>
    <font>
      <b/>
      <sz val="10"/>
      <color theme="1"/>
      <name val="Segoe UI"/>
    </font>
    <font>
      <b/>
      <sz val="10"/>
      <color rgb="FFFFFF00"/>
      <name val="Segoe UI"/>
    </font>
    <font>
      <i/>
      <sz val="10"/>
      <color rgb="FFFFFF00"/>
      <name val="Segoe UI"/>
    </font>
    <font>
      <b/>
      <sz val="8"/>
      <color rgb="FF000000"/>
      <name val="Arial Narrow"/>
    </font>
    <font>
      <sz val="10"/>
      <color rgb="FFFFFF00"/>
      <name val="Segoe UI"/>
    </font>
    <font>
      <b/>
      <sz val="9"/>
      <color rgb="FF000000"/>
      <name val="Segoe UI"/>
    </font>
    <font>
      <b/>
      <i/>
      <sz val="9"/>
      <color rgb="FFFFFF00"/>
      <name val="Segoe UI"/>
    </font>
    <font>
      <b/>
      <sz val="10"/>
      <color rgb="FFFFFF66"/>
      <name val="Segoe UI"/>
    </font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i/>
      <sz val="5"/>
      <color rgb="FF000000"/>
      <name val="Segoe UI"/>
    </font>
    <font>
      <sz val="6"/>
      <color rgb="FF000000"/>
      <name val="Segoe UI"/>
    </font>
    <font>
      <sz val="11"/>
      <color rgb="FF000000"/>
      <name val="Calibri"/>
      <scheme val="minor"/>
    </font>
    <font>
      <u/>
      <sz val="10"/>
      <color theme="10"/>
      <name val="Arial"/>
    </font>
    <font>
      <sz val="10"/>
      <color theme="2"/>
      <name val="Segoe UI"/>
    </font>
    <font>
      <sz val="12"/>
      <color rgb="FF000000"/>
      <name val="Arial"/>
    </font>
    <font>
      <b/>
      <sz val="11"/>
      <color rgb="FFFF0000"/>
      <name val="Arial"/>
    </font>
    <font>
      <b/>
      <sz val="14"/>
      <color rgb="FFFF0000"/>
      <name val="Segoe UI"/>
    </font>
    <font>
      <sz val="10"/>
      <color rgb="FF000000"/>
      <name val="Calibri"/>
    </font>
    <font>
      <sz val="9"/>
      <color rgb="FF000000"/>
      <name val="Calibri"/>
      <scheme val="minor"/>
    </font>
    <font>
      <b/>
      <vertAlign val="superscript"/>
      <sz val="10"/>
      <color rgb="FF000000"/>
      <name val="Arial"/>
    </font>
    <font>
      <vertAlign val="subscript"/>
      <sz val="10"/>
      <color rgb="FF000000"/>
      <name val="Arial"/>
    </font>
    <font>
      <vertAlign val="superscript"/>
      <sz val="10"/>
      <color rgb="FF000000"/>
      <name val="Arial"/>
    </font>
    <font>
      <i/>
      <sz val="9"/>
      <color rgb="FF000000"/>
      <name val="Calibri"/>
    </font>
    <font>
      <sz val="9"/>
      <color rgb="FF000000"/>
      <name val="Calibri"/>
    </font>
    <font>
      <sz val="16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D9D9D9"/>
        <bgColor rgb="FFFFFFFF"/>
      </patternFill>
    </fill>
    <fill>
      <patternFill patternType="solid">
        <fgColor rgb="FFC0C0C0"/>
        <bgColor rgb="FFFFFFFF"/>
      </patternFill>
    </fill>
    <fill>
      <patternFill patternType="solid">
        <fgColor rgb="FFFFFF99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0070C0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EBF1DE"/>
        <bgColor rgb="FFFFFFFF"/>
      </patternFill>
    </fill>
    <fill>
      <patternFill patternType="solid">
        <fgColor rgb="FFDBEFF4"/>
        <bgColor rgb="FFFFFFFF"/>
      </patternFill>
    </fill>
    <fill>
      <patternFill patternType="solid">
        <fgColor rgb="FFFF000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B6DEE8"/>
        <bgColor rgb="FFFFFFFF"/>
      </patternFill>
    </fill>
    <fill>
      <patternFill patternType="solid">
        <fgColor rgb="FFD7E4BD"/>
        <bgColor rgb="FFFFFFFF"/>
      </patternFill>
    </fill>
    <fill>
      <patternFill patternType="solid">
        <fgColor rgb="FFCCC1DA"/>
        <bgColor rgb="FFFFFFFF"/>
      </patternFill>
    </fill>
    <fill>
      <patternFill patternType="solid">
        <fgColor rgb="FFFCD5B6"/>
        <bgColor rgb="FFFFFFFF"/>
      </patternFill>
    </fill>
    <fill>
      <patternFill patternType="solid">
        <fgColor rgb="FFFABF8F"/>
        <bgColor rgb="FFFFFFFF"/>
      </patternFill>
    </fill>
    <fill>
      <patternFill patternType="solid">
        <fgColor rgb="FFE6B9B8"/>
        <bgColor rgb="FFFFFFFF"/>
      </patternFill>
    </fill>
    <fill>
      <patternFill patternType="solid">
        <fgColor rgb="FFBFBFB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F79646"/>
        <bgColor rgb="FFFFFFFF"/>
      </patternFill>
    </fill>
    <fill>
      <patternFill patternType="solid">
        <fgColor rgb="FFFDEADA"/>
        <bgColor rgb="FFFFFFFF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35">
    <xf numFmtId="0" fontId="0" fillId="0" borderId="0" xfId="0"/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3" fillId="0" borderId="2" xfId="0" applyFont="1" applyBorder="1"/>
    <xf numFmtId="0" fontId="2" fillId="0" borderId="2" xfId="0" applyFont="1" applyBorder="1"/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4" xfId="0" applyFont="1" applyBorder="1"/>
    <xf numFmtId="0" fontId="5" fillId="0" borderId="2" xfId="0" applyFont="1" applyBorder="1"/>
    <xf numFmtId="0" fontId="5" fillId="0" borderId="5" xfId="0" applyFont="1" applyBorder="1"/>
    <xf numFmtId="0" fontId="0" fillId="0" borderId="1" xfId="0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1" xfId="0" applyBorder="1"/>
    <xf numFmtId="164" fontId="0" fillId="0" borderId="1" xfId="0" applyNumberFormat="1" applyBorder="1" applyAlignment="1">
      <alignment horizontal="center"/>
    </xf>
    <xf numFmtId="165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165" fontId="0" fillId="0" borderId="2" xfId="0" applyNumberFormat="1" applyBorder="1" applyAlignment="1">
      <alignment vertical="center"/>
    </xf>
    <xf numFmtId="0" fontId="1" fillId="4" borderId="6" xfId="0" applyFont="1" applyFill="1" applyBorder="1" applyAlignment="1">
      <alignment horizontal="center" vertical="center"/>
    </xf>
    <xf numFmtId="165" fontId="1" fillId="2" borderId="2" xfId="0" applyNumberFormat="1" applyFont="1" applyFill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4" borderId="5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64" fontId="1" fillId="4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4" fontId="7" fillId="5" borderId="1" xfId="0" applyNumberFormat="1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2" fontId="1" fillId="0" borderId="0" xfId="0" applyNumberFormat="1" applyFont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7" xfId="0" applyFont="1" applyBorder="1" applyAlignment="1">
      <alignment vertical="center"/>
    </xf>
    <xf numFmtId="164" fontId="8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164" fontId="8" fillId="0" borderId="10" xfId="0" applyNumberFormat="1" applyFont="1" applyBorder="1" applyAlignment="1">
      <alignment horizontal="center" vertical="center"/>
    </xf>
    <xf numFmtId="164" fontId="8" fillId="0" borderId="10" xfId="0" applyNumberFormat="1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/>
    <xf numFmtId="0" fontId="1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8" fillId="0" borderId="0" xfId="0" applyFont="1"/>
    <xf numFmtId="0" fontId="12" fillId="0" borderId="0" xfId="0" applyFont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49" fontId="17" fillId="0" borderId="1" xfId="0" quotePrefix="1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1" xfId="0" quotePrefix="1" applyFont="1" applyBorder="1" applyAlignment="1">
      <alignment horizontal="center" vertical="center"/>
    </xf>
    <xf numFmtId="49" fontId="1" fillId="4" borderId="19" xfId="0" applyNumberFormat="1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0" xfId="0" applyFont="1"/>
    <xf numFmtId="0" fontId="2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164" fontId="22" fillId="10" borderId="20" xfId="0" applyNumberFormat="1" applyFont="1" applyFill="1" applyBorder="1" applyAlignment="1">
      <alignment horizontal="center" vertical="center"/>
    </xf>
    <xf numFmtId="164" fontId="1" fillId="11" borderId="21" xfId="0" applyNumberFormat="1" applyFont="1" applyFill="1" applyBorder="1" applyAlignment="1">
      <alignment horizontal="center" vertical="center"/>
    </xf>
    <xf numFmtId="164" fontId="1" fillId="11" borderId="22" xfId="0" applyNumberFormat="1" applyFont="1" applyFill="1" applyBorder="1" applyAlignment="1">
      <alignment horizontal="center" vertical="center"/>
    </xf>
    <xf numFmtId="164" fontId="0" fillId="5" borderId="23" xfId="0" applyNumberFormat="1" applyFill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8" fillId="0" borderId="0" xfId="0" applyNumberFormat="1" applyFont="1" applyAlignment="1">
      <alignment vertical="center"/>
    </xf>
    <xf numFmtId="0" fontId="0" fillId="0" borderId="1" xfId="0" applyBorder="1" applyAlignment="1">
      <alignment horizontal="left"/>
    </xf>
    <xf numFmtId="164" fontId="0" fillId="0" borderId="3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24" xfId="0" applyNumberFormat="1" applyBorder="1" applyAlignment="1">
      <alignment vertical="center"/>
    </xf>
    <xf numFmtId="166" fontId="0" fillId="0" borderId="1" xfId="0" applyNumberFormat="1" applyBorder="1" applyAlignment="1">
      <alignment horizontal="center" vertical="center"/>
    </xf>
    <xf numFmtId="2" fontId="0" fillId="0" borderId="24" xfId="0" applyNumberFormat="1" applyBorder="1" applyAlignment="1">
      <alignment vertical="center"/>
    </xf>
    <xf numFmtId="164" fontId="23" fillId="10" borderId="1" xfId="0" applyNumberFormat="1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vertical="center"/>
    </xf>
    <xf numFmtId="168" fontId="1" fillId="2" borderId="1" xfId="0" applyNumberFormat="1" applyFont="1" applyFill="1" applyBorder="1" applyAlignment="1">
      <alignment horizontal="center" vertical="center"/>
    </xf>
    <xf numFmtId="168" fontId="0" fillId="2" borderId="1" xfId="0" applyNumberForma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" fillId="0" borderId="0" xfId="0" applyFont="1"/>
    <xf numFmtId="2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2" fontId="0" fillId="0" borderId="1" xfId="0" applyNumberFormat="1" applyBorder="1"/>
    <xf numFmtId="0" fontId="25" fillId="0" borderId="0" xfId="0" applyFont="1"/>
    <xf numFmtId="0" fontId="25" fillId="0" borderId="1" xfId="0" applyFont="1" applyBorder="1"/>
    <xf numFmtId="0" fontId="26" fillId="12" borderId="1" xfId="0" applyFont="1" applyFill="1" applyBorder="1"/>
    <xf numFmtId="0" fontId="0" fillId="12" borderId="1" xfId="0" applyFill="1" applyBorder="1"/>
    <xf numFmtId="1" fontId="0" fillId="12" borderId="1" xfId="0" applyNumberFormat="1" applyFill="1" applyBorder="1" applyAlignment="1">
      <alignment horizontal="center"/>
    </xf>
    <xf numFmtId="2" fontId="0" fillId="12" borderId="1" xfId="0" applyNumberFormat="1" applyFill="1" applyBorder="1"/>
    <xf numFmtId="168" fontId="0" fillId="12" borderId="1" xfId="0" applyNumberFormat="1" applyFill="1" applyBorder="1"/>
    <xf numFmtId="0" fontId="27" fillId="13" borderId="1" xfId="0" applyFont="1" applyFill="1" applyBorder="1"/>
    <xf numFmtId="0" fontId="0" fillId="13" borderId="1" xfId="0" applyFill="1" applyBorder="1"/>
    <xf numFmtId="164" fontId="0" fillId="13" borderId="1" xfId="0" applyNumberFormat="1" applyFill="1" applyBorder="1" applyAlignment="1">
      <alignment horizontal="center"/>
    </xf>
    <xf numFmtId="2" fontId="0" fillId="13" borderId="1" xfId="0" applyNumberFormat="1" applyFill="1" applyBorder="1"/>
    <xf numFmtId="168" fontId="0" fillId="13" borderId="1" xfId="0" applyNumberFormat="1" applyFill="1" applyBorder="1"/>
    <xf numFmtId="169" fontId="0" fillId="13" borderId="1" xfId="0" applyNumberFormat="1" applyFill="1" applyBorder="1"/>
    <xf numFmtId="2" fontId="0" fillId="12" borderId="1" xfId="0" applyNumberFormat="1" applyFill="1" applyBorder="1" applyAlignment="1">
      <alignment horizontal="center" vertical="center"/>
    </xf>
    <xf numFmtId="164" fontId="0" fillId="12" borderId="1" xfId="0" applyNumberFormat="1" applyFill="1" applyBorder="1" applyAlignment="1">
      <alignment horizontal="center" vertical="center"/>
    </xf>
    <xf numFmtId="1" fontId="0" fillId="12" borderId="1" xfId="0" applyNumberFormat="1" applyFill="1" applyBorder="1" applyAlignment="1">
      <alignment horizontal="center" vertical="center"/>
    </xf>
    <xf numFmtId="0" fontId="26" fillId="14" borderId="1" xfId="0" applyFont="1" applyFill="1" applyBorder="1"/>
    <xf numFmtId="0" fontId="0" fillId="14" borderId="1" xfId="0" applyFill="1" applyBorder="1"/>
    <xf numFmtId="1" fontId="0" fillId="14" borderId="1" xfId="0" applyNumberFormat="1" applyFill="1" applyBorder="1" applyAlignment="1">
      <alignment horizontal="center"/>
    </xf>
    <xf numFmtId="2" fontId="0" fillId="14" borderId="1" xfId="0" applyNumberFormat="1" applyFill="1" applyBorder="1"/>
    <xf numFmtId="168" fontId="0" fillId="14" borderId="1" xfId="0" applyNumberFormat="1" applyFill="1" applyBorder="1"/>
    <xf numFmtId="169" fontId="0" fillId="14" borderId="1" xfId="0" applyNumberFormat="1" applyFill="1" applyBorder="1"/>
    <xf numFmtId="0" fontId="27" fillId="14" borderId="1" xfId="0" applyFont="1" applyFill="1" applyBorder="1"/>
    <xf numFmtId="164" fontId="28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29" fillId="0" borderId="1" xfId="0" applyFont="1" applyBorder="1" applyAlignment="1" applyProtection="1">
      <alignment horizontal="left"/>
      <protection locked="0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left"/>
      <protection locked="0"/>
    </xf>
    <xf numFmtId="0" fontId="29" fillId="0" borderId="0" xfId="0" applyFont="1" applyAlignment="1" applyProtection="1">
      <alignment horizontal="center"/>
      <protection locked="0"/>
    </xf>
    <xf numFmtId="0" fontId="30" fillId="0" borderId="0" xfId="0" applyFont="1" applyAlignment="1" applyProtection="1">
      <alignment horizontal="left"/>
      <protection locked="0"/>
    </xf>
    <xf numFmtId="0" fontId="30" fillId="0" borderId="0" xfId="0" applyFont="1" applyAlignment="1" applyProtection="1">
      <alignment horizontal="center"/>
      <protection locked="0"/>
    </xf>
    <xf numFmtId="0" fontId="31" fillId="0" borderId="1" xfId="0" applyFont="1" applyBorder="1" applyAlignment="1" applyProtection="1">
      <alignment horizontal="left"/>
      <protection locked="0"/>
    </xf>
    <xf numFmtId="0" fontId="27" fillId="12" borderId="1" xfId="0" applyFont="1" applyFill="1" applyBorder="1"/>
    <xf numFmtId="0" fontId="10" fillId="0" borderId="0" xfId="0" applyFont="1" applyAlignment="1">
      <alignment vertical="top"/>
    </xf>
    <xf numFmtId="0" fontId="18" fillId="0" borderId="1" xfId="0" applyFont="1" applyBorder="1" applyAlignment="1">
      <alignment horizontal="center" vertical="center" wrapText="1"/>
    </xf>
    <xf numFmtId="9" fontId="17" fillId="0" borderId="4" xfId="0" applyNumberFormat="1" applyFont="1" applyBorder="1" applyAlignment="1">
      <alignment horizontal="center" vertical="center"/>
    </xf>
    <xf numFmtId="0" fontId="17" fillId="15" borderId="4" xfId="0" applyFont="1" applyFill="1" applyBorder="1" applyAlignment="1">
      <alignment horizontal="center" vertical="center"/>
    </xf>
    <xf numFmtId="49" fontId="0" fillId="5" borderId="0" xfId="0" applyNumberFormat="1" applyFill="1" applyAlignment="1">
      <alignment horizontal="left" vertical="center"/>
    </xf>
    <xf numFmtId="9" fontId="17" fillId="13" borderId="4" xfId="0" applyNumberFormat="1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2" fontId="32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2" fontId="33" fillId="0" borderId="0" xfId="0" applyNumberFormat="1" applyFont="1" applyAlignment="1">
      <alignment vertical="center"/>
    </xf>
    <xf numFmtId="2" fontId="32" fillId="2" borderId="1" xfId="0" applyNumberFormat="1" applyFont="1" applyFill="1" applyBorder="1" applyAlignment="1">
      <alignment horizontal="center" vertical="center"/>
    </xf>
    <xf numFmtId="168" fontId="33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/>
    <xf numFmtId="0" fontId="28" fillId="2" borderId="0" xfId="0" applyFont="1" applyFill="1"/>
    <xf numFmtId="0" fontId="0" fillId="2" borderId="0" xfId="0" applyFill="1"/>
    <xf numFmtId="0" fontId="25" fillId="2" borderId="0" xfId="0" applyFont="1" applyFill="1"/>
    <xf numFmtId="0" fontId="1" fillId="16" borderId="1" xfId="0" applyFon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2" fontId="28" fillId="16" borderId="1" xfId="0" applyNumberFormat="1" applyFont="1" applyFill="1" applyBorder="1" applyAlignment="1">
      <alignment horizontal="center"/>
    </xf>
    <xf numFmtId="169" fontId="0" fillId="0" borderId="1" xfId="0" applyNumberFormat="1" applyBorder="1" applyAlignment="1">
      <alignment horizontal="center" vertical="center"/>
    </xf>
    <xf numFmtId="0" fontId="0" fillId="17" borderId="1" xfId="0" applyFill="1" applyBorder="1"/>
    <xf numFmtId="0" fontId="25" fillId="17" borderId="1" xfId="0" applyFont="1" applyFill="1" applyBorder="1"/>
    <xf numFmtId="164" fontId="0" fillId="17" borderId="1" xfId="0" applyNumberFormat="1" applyFill="1" applyBorder="1" applyAlignment="1">
      <alignment horizontal="center"/>
    </xf>
    <xf numFmtId="2" fontId="0" fillId="17" borderId="1" xfId="0" applyNumberFormat="1" applyFill="1" applyBorder="1" applyAlignment="1">
      <alignment horizontal="right"/>
    </xf>
    <xf numFmtId="168" fontId="0" fillId="17" borderId="1" xfId="0" applyNumberFormat="1" applyFill="1" applyBorder="1"/>
    <xf numFmtId="2" fontId="0" fillId="17" borderId="1" xfId="0" applyNumberFormat="1" applyFill="1" applyBorder="1"/>
    <xf numFmtId="0" fontId="17" fillId="15" borderId="1" xfId="0" applyFont="1" applyFill="1" applyBorder="1" applyAlignment="1">
      <alignment horizontal="center" vertical="center"/>
    </xf>
    <xf numFmtId="170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/>
    <xf numFmtId="171" fontId="2" fillId="0" borderId="1" xfId="0" applyNumberFormat="1" applyFont="1" applyBorder="1"/>
    <xf numFmtId="171" fontId="2" fillId="18" borderId="1" xfId="0" applyNumberFormat="1" applyFont="1" applyFill="1" applyBorder="1"/>
    <xf numFmtId="171" fontId="0" fillId="0" borderId="0" xfId="0" applyNumberFormat="1"/>
    <xf numFmtId="0" fontId="0" fillId="3" borderId="1" xfId="0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/>
    </xf>
    <xf numFmtId="2" fontId="2" fillId="8" borderId="1" xfId="0" applyNumberFormat="1" applyFont="1" applyFill="1" applyBorder="1" applyAlignment="1">
      <alignment horizontal="center"/>
    </xf>
    <xf numFmtId="171" fontId="2" fillId="8" borderId="1" xfId="0" applyNumberFormat="1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9" fontId="0" fillId="0" borderId="1" xfId="0" applyNumberFormat="1" applyBorder="1" applyAlignment="1">
      <alignment vertical="center"/>
    </xf>
    <xf numFmtId="2" fontId="0" fillId="0" borderId="1" xfId="0" applyNumberFormat="1" applyBorder="1" applyAlignment="1">
      <alignment horizontal="center"/>
    </xf>
    <xf numFmtId="170" fontId="2" fillId="8" borderId="1" xfId="0" applyNumberFormat="1" applyFont="1" applyFill="1" applyBorder="1" applyAlignment="1">
      <alignment horizontal="center"/>
    </xf>
    <xf numFmtId="172" fontId="2" fillId="8" borderId="1" xfId="0" applyNumberFormat="1" applyFont="1" applyFill="1" applyBorder="1" applyAlignment="1">
      <alignment horizontal="center"/>
    </xf>
    <xf numFmtId="1" fontId="2" fillId="8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" fontId="2" fillId="0" borderId="1" xfId="0" applyNumberFormat="1" applyFont="1" applyBorder="1"/>
    <xf numFmtId="1" fontId="0" fillId="8" borderId="1" xfId="0" applyNumberFormat="1" applyFill="1" applyBorder="1"/>
    <xf numFmtId="0" fontId="0" fillId="15" borderId="1" xfId="0" applyFill="1" applyBorder="1" applyAlignment="1">
      <alignment horizontal="center"/>
    </xf>
    <xf numFmtId="0" fontId="1" fillId="0" borderId="1" xfId="0" applyFont="1" applyBorder="1"/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2" fontId="0" fillId="9" borderId="1" xfId="0" applyNumberFormat="1" applyFill="1" applyBorder="1" applyAlignment="1">
      <alignment horizontal="center" vertical="center"/>
    </xf>
    <xf numFmtId="168" fontId="0" fillId="9" borderId="1" xfId="0" applyNumberFormat="1" applyFill="1" applyBorder="1" applyAlignment="1">
      <alignment horizontal="center" vertical="center"/>
    </xf>
    <xf numFmtId="171" fontId="0" fillId="9" borderId="1" xfId="0" applyNumberFormat="1" applyFill="1" applyBorder="1" applyAlignment="1">
      <alignment horizontal="center" vertical="center"/>
    </xf>
    <xf numFmtId="0" fontId="37" fillId="5" borderId="25" xfId="0" applyFont="1" applyFill="1" applyBorder="1" applyAlignment="1">
      <alignment horizontal="center"/>
    </xf>
    <xf numFmtId="0" fontId="0" fillId="5" borderId="0" xfId="0" applyFill="1"/>
    <xf numFmtId="2" fontId="28" fillId="12" borderId="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19" borderId="26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19" borderId="14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20" borderId="0" xfId="0" applyFont="1" applyFill="1" applyAlignment="1">
      <alignment vertical="center"/>
    </xf>
    <xf numFmtId="0" fontId="0" fillId="20" borderId="0" xfId="0" applyFill="1" applyAlignment="1">
      <alignment vertical="center"/>
    </xf>
    <xf numFmtId="0" fontId="1" fillId="2" borderId="5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left" vertical="center"/>
    </xf>
    <xf numFmtId="0" fontId="39" fillId="0" borderId="0" xfId="0" applyFont="1" applyAlignment="1">
      <alignment vertical="center"/>
    </xf>
    <xf numFmtId="0" fontId="40" fillId="0" borderId="19" xfId="0" applyFont="1" applyBorder="1" applyAlignment="1">
      <alignment vertical="center"/>
    </xf>
    <xf numFmtId="0" fontId="12" fillId="0" borderId="24" xfId="0" applyFont="1" applyBorder="1" applyAlignment="1">
      <alignment vertical="center"/>
    </xf>
    <xf numFmtId="0" fontId="12" fillId="0" borderId="6" xfId="0" applyFont="1" applyBorder="1" applyAlignment="1">
      <alignment vertical="center"/>
    </xf>
    <xf numFmtId="0" fontId="38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41" fillId="0" borderId="10" xfId="0" applyFont="1" applyBorder="1" applyAlignment="1">
      <alignment vertical="center"/>
    </xf>
    <xf numFmtId="0" fontId="36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vertical="center"/>
    </xf>
    <xf numFmtId="164" fontId="0" fillId="0" borderId="4" xfId="0" applyNumberFormat="1" applyBorder="1" applyAlignment="1">
      <alignment horizontal="center" vertical="center"/>
    </xf>
    <xf numFmtId="164" fontId="1" fillId="2" borderId="4" xfId="0" applyNumberFormat="1" applyFont="1" applyFill="1" applyBorder="1" applyAlignment="1">
      <alignment horizontal="center" vertical="center"/>
    </xf>
    <xf numFmtId="169" fontId="0" fillId="12" borderId="1" xfId="0" applyNumberFormat="1" applyFill="1" applyBorder="1" applyAlignment="1">
      <alignment horizontal="right"/>
    </xf>
    <xf numFmtId="2" fontId="0" fillId="0" borderId="1" xfId="0" applyNumberFormat="1" applyBorder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164" fontId="0" fillId="15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169" fontId="0" fillId="0" borderId="1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0" fontId="27" fillId="12" borderId="1" xfId="0" applyFont="1" applyFill="1" applyBorder="1" applyAlignment="1">
      <alignment horizontal="center"/>
    </xf>
    <xf numFmtId="0" fontId="27" fillId="13" borderId="1" xfId="0" applyFont="1" applyFill="1" applyBorder="1" applyAlignment="1">
      <alignment horizontal="center"/>
    </xf>
    <xf numFmtId="171" fontId="0" fillId="0" borderId="1" xfId="0" applyNumberFormat="1" applyBorder="1" applyAlignment="1">
      <alignment horizontal="center"/>
    </xf>
    <xf numFmtId="0" fontId="42" fillId="0" borderId="0" xfId="0" applyFont="1"/>
    <xf numFmtId="0" fontId="43" fillId="0" borderId="0" xfId="0" applyFont="1"/>
    <xf numFmtId="49" fontId="0" fillId="0" borderId="0" xfId="0" applyNumberFormat="1" applyAlignment="1">
      <alignment horizontal="left" vertical="center"/>
    </xf>
    <xf numFmtId="0" fontId="44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0" fillId="0" borderId="3" xfId="0" applyBorder="1"/>
    <xf numFmtId="0" fontId="0" fillId="0" borderId="2" xfId="0" applyBorder="1"/>
    <xf numFmtId="0" fontId="49" fillId="0" borderId="0" xfId="0" applyFont="1" applyAlignment="1">
      <alignment vertical="center"/>
    </xf>
    <xf numFmtId="0" fontId="0" fillId="0" borderId="0" xfId="0" applyAlignment="1">
      <alignment wrapText="1"/>
    </xf>
    <xf numFmtId="168" fontId="0" fillId="0" borderId="1" xfId="0" applyNumberFormat="1" applyBorder="1" applyAlignment="1">
      <alignment horizontal="center" vertical="center"/>
    </xf>
    <xf numFmtId="168" fontId="0" fillId="0" borderId="4" xfId="0" applyNumberFormat="1" applyBorder="1" applyAlignment="1">
      <alignment horizontal="center" vertical="center"/>
    </xf>
    <xf numFmtId="0" fontId="0" fillId="19" borderId="4" xfId="0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0" fillId="19" borderId="5" xfId="0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1" fontId="0" fillId="4" borderId="1" xfId="0" applyNumberFormat="1" applyFill="1" applyBorder="1" applyAlignment="1">
      <alignment horizontal="center" vertical="center"/>
    </xf>
    <xf numFmtId="2" fontId="0" fillId="9" borderId="1" xfId="0" applyNumberForma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1" fontId="1" fillId="20" borderId="1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/>
    </xf>
    <xf numFmtId="2" fontId="1" fillId="2" borderId="14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 wrapText="1"/>
    </xf>
    <xf numFmtId="2" fontId="1" fillId="2" borderId="14" xfId="0" applyNumberFormat="1" applyFont="1" applyFill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/>
    </xf>
    <xf numFmtId="2" fontId="1" fillId="2" borderId="19" xfId="0" applyNumberFormat="1" applyFont="1" applyFill="1" applyBorder="1" applyAlignment="1">
      <alignment horizontal="center" vertical="center"/>
    </xf>
    <xf numFmtId="2" fontId="1" fillId="2" borderId="6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left" vertical="center"/>
    </xf>
    <xf numFmtId="2" fontId="1" fillId="2" borderId="4" xfId="0" applyNumberFormat="1" applyFont="1" applyFill="1" applyBorder="1" applyAlignment="1">
      <alignment horizontal="center" vertic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5" xfId="0" applyNumberFormat="1" applyFont="1" applyFill="1" applyBorder="1" applyAlignment="1">
      <alignment horizontal="center" vertical="center"/>
    </xf>
    <xf numFmtId="2" fontId="32" fillId="2" borderId="4" xfId="0" applyNumberFormat="1" applyFont="1" applyFill="1" applyBorder="1" applyAlignment="1">
      <alignment horizontal="center" vertical="center"/>
    </xf>
    <xf numFmtId="2" fontId="32" fillId="2" borderId="2" xfId="0" applyNumberFormat="1" applyFont="1" applyFill="1" applyBorder="1" applyAlignment="1">
      <alignment horizontal="center" vertical="center"/>
    </xf>
    <xf numFmtId="2" fontId="32" fillId="2" borderId="5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171" fontId="0" fillId="0" borderId="4" xfId="0" applyNumberFormat="1" applyBorder="1" applyAlignment="1">
      <alignment horizontal="center" vertical="center"/>
    </xf>
    <xf numFmtId="171" fontId="0" fillId="0" borderId="5" xfId="0" applyNumberFormat="1" applyBorder="1" applyAlignment="1">
      <alignment horizontal="center" vertical="center"/>
    </xf>
    <xf numFmtId="171" fontId="0" fillId="4" borderId="5" xfId="0" applyNumberFormat="1" applyFill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164" fontId="0" fillId="21" borderId="1" xfId="0" applyNumberFormat="1" applyFill="1" applyBorder="1" applyAlignment="1">
      <alignment horizontal="right" vertical="center" indent="2"/>
    </xf>
    <xf numFmtId="164" fontId="0" fillId="0" borderId="1" xfId="0" applyNumberFormat="1" applyBorder="1" applyAlignment="1">
      <alignment horizontal="right" vertical="center" indent="2"/>
    </xf>
    <xf numFmtId="164" fontId="0" fillId="20" borderId="1" xfId="0" applyNumberFormat="1" applyFill="1" applyBorder="1" applyAlignment="1">
      <alignment horizontal="right" vertical="center" indent="2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49" fontId="1" fillId="4" borderId="4" xfId="0" applyNumberFormat="1" applyFon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left" vertical="center"/>
    </xf>
    <xf numFmtId="49" fontId="1" fillId="4" borderId="5" xfId="0" applyNumberFormat="1" applyFont="1" applyFill="1" applyBorder="1" applyAlignment="1">
      <alignment horizontal="left" vertical="center"/>
    </xf>
    <xf numFmtId="49" fontId="0" fillId="4" borderId="4" xfId="0" applyNumberFormat="1" applyFill="1" applyBorder="1" applyAlignment="1">
      <alignment horizontal="left" vertical="center"/>
    </xf>
    <xf numFmtId="49" fontId="0" fillId="4" borderId="2" xfId="0" applyNumberFormat="1" applyFill="1" applyBorder="1" applyAlignment="1">
      <alignment horizontal="left" vertical="center"/>
    </xf>
    <xf numFmtId="49" fontId="0" fillId="4" borderId="5" xfId="0" applyNumberForma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4" borderId="4" xfId="0" applyFont="1" applyFill="1" applyBorder="1" applyAlignment="1">
      <alignment horizontal="left" vertical="center"/>
    </xf>
    <xf numFmtId="0" fontId="1" fillId="4" borderId="2" xfId="0" applyFont="1" applyFill="1" applyBorder="1" applyAlignment="1">
      <alignment horizontal="left" vertical="center"/>
    </xf>
    <xf numFmtId="0" fontId="1" fillId="4" borderId="5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49" fontId="1" fillId="4" borderId="2" xfId="0" applyNumberFormat="1" applyFont="1" applyFill="1" applyBorder="1" applyAlignment="1">
      <alignment horizontal="center" vertical="center"/>
    </xf>
    <xf numFmtId="49" fontId="1" fillId="4" borderId="5" xfId="0" applyNumberFormat="1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24" fillId="2" borderId="2" xfId="0" applyFont="1" applyFill="1" applyBorder="1" applyAlignment="1">
      <alignment horizontal="center" vertical="center"/>
    </xf>
    <xf numFmtId="0" fontId="24" fillId="2" borderId="5" xfId="0" applyFont="1" applyFill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4" borderId="2" xfId="0" applyFill="1" applyBorder="1" applyAlignment="1">
      <alignment horizontal="left" vertical="center"/>
    </xf>
    <xf numFmtId="1" fontId="1" fillId="4" borderId="1" xfId="0" applyNumberFormat="1" applyFont="1" applyFill="1" applyBorder="1" applyAlignment="1">
      <alignment horizontal="center" vertical="center"/>
    </xf>
    <xf numFmtId="49" fontId="0" fillId="20" borderId="1" xfId="0" applyNumberFormat="1" applyFill="1" applyBorder="1" applyAlignment="1">
      <alignment horizontal="left" vertical="center"/>
    </xf>
    <xf numFmtId="173" fontId="1" fillId="2" borderId="2" xfId="0" applyNumberFormat="1" applyFont="1" applyFill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50" fillId="0" borderId="4" xfId="0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/>
    </xf>
    <xf numFmtId="1" fontId="0" fillId="4" borderId="4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8" fillId="19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10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top" wrapText="1"/>
    </xf>
    <xf numFmtId="1" fontId="8" fillId="0" borderId="0" xfId="0" applyNumberFormat="1" applyFont="1" applyAlignment="1">
      <alignment horizontal="left" vertical="center"/>
    </xf>
    <xf numFmtId="1" fontId="8" fillId="0" borderId="0" xfId="0" quotePrefix="1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10" fillId="0" borderId="24" xfId="0" applyFont="1" applyBorder="1" applyAlignment="1">
      <alignment horizontal="left" vertical="center"/>
    </xf>
    <xf numFmtId="0" fontId="51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16" borderId="3" xfId="0" applyFon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/>
    </xf>
    <xf numFmtId="0" fontId="28" fillId="16" borderId="3" xfId="0" applyFont="1" applyFill="1" applyBorder="1" applyAlignment="1">
      <alignment horizontal="center" vertical="center"/>
    </xf>
    <xf numFmtId="0" fontId="28" fillId="16" borderId="14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8" borderId="4" xfId="0" applyFont="1" applyFill="1" applyBorder="1" applyAlignment="1">
      <alignment horizontal="left"/>
    </xf>
    <xf numFmtId="0" fontId="2" fillId="8" borderId="5" xfId="0" applyFont="1" applyFill="1" applyBorder="1" applyAlignment="1">
      <alignment horizontal="left"/>
    </xf>
    <xf numFmtId="0" fontId="38" fillId="0" borderId="3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171" fontId="8" fillId="0" borderId="1" xfId="0" applyNumberFormat="1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34" fillId="0" borderId="0" xfId="0" applyFont="1" applyAlignment="1">
      <alignment horizontal="center" vertical="center"/>
    </xf>
    <xf numFmtId="0" fontId="8" fillId="2" borderId="19" xfId="0" applyFont="1" applyFill="1" applyBorder="1" applyAlignment="1">
      <alignment horizontal="center"/>
    </xf>
    <xf numFmtId="0" fontId="8" fillId="2" borderId="24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0" fontId="12" fillId="2" borderId="7" xfId="0" applyFon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0" fontId="12" fillId="2" borderId="8" xfId="0" applyFont="1" applyFill="1" applyBorder="1" applyAlignment="1">
      <alignment horizontal="center"/>
    </xf>
    <xf numFmtId="2" fontId="8" fillId="2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4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4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2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12" fillId="0" borderId="24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top" wrapText="1"/>
    </xf>
    <xf numFmtId="0" fontId="53" fillId="0" borderId="0" xfId="0" quotePrefix="1" applyFont="1" applyAlignment="1">
      <alignment horizontal="center" vertical="center"/>
    </xf>
    <xf numFmtId="164" fontId="1" fillId="11" borderId="27" xfId="0" applyNumberFormat="1" applyFont="1" applyFill="1" applyBorder="1" applyAlignment="1">
      <alignment horizontal="center" vertical="center"/>
    </xf>
    <xf numFmtId="0" fontId="1" fillId="11" borderId="28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64" fontId="1" fillId="0" borderId="31" xfId="0" applyNumberFormat="1" applyFont="1" applyBorder="1" applyAlignment="1">
      <alignment horizontal="center" vertical="center"/>
    </xf>
    <xf numFmtId="164" fontId="1" fillId="0" borderId="32" xfId="0" applyNumberFormat="1" applyFon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1" fillId="5" borderId="1" xfId="0" quotePrefix="1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169" fontId="1" fillId="0" borderId="4" xfId="0" quotePrefix="1" applyNumberFormat="1" applyFont="1" applyBorder="1" applyAlignment="1">
      <alignment horizontal="left" vertical="center"/>
    </xf>
    <xf numFmtId="169" fontId="1" fillId="0" borderId="5" xfId="0" quotePrefix="1" applyNumberFormat="1" applyFont="1" applyBorder="1" applyAlignment="1">
      <alignment horizontal="left" vertical="center"/>
    </xf>
    <xf numFmtId="0" fontId="1" fillId="19" borderId="1" xfId="0" quotePrefix="1" applyFont="1" applyFill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2D050"/>
      </font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'TABEL DATA'!$I$5" fmlaRange="'TABEL DATA'!$I$2:$I$4" sel="1" val="0"/>
</file>

<file path=xl/ctrlProps/ctrlProp2.xml><?xml version="1.0" encoding="utf-8"?>
<formControlPr xmlns="http://schemas.microsoft.com/office/spreadsheetml/2009/9/main" objectType="Drop" dropStyle="combo" dx="22" fmlaLink="'TABEL DATA'!$K$4" fmlaRange="'TABEL DATA'!$K$2:$K$3" sel="1" val="0"/>
</file>

<file path=xl/ctrlProps/ctrlProp3.xml><?xml version="1.0" encoding="utf-8"?>
<formControlPr xmlns="http://schemas.microsoft.com/office/spreadsheetml/2009/9/main" objectType="Drop" dropStyle="combo" dx="22" fmlaLink="'TABEL DATA'!$P$6" fmlaRange="'TABEL DATA'!$P$3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rafii\AppData\Local\Temp\temp_qr.png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26</xdr:row>
          <xdr:rowOff>22860</xdr:rowOff>
        </xdr:from>
        <xdr:to>
          <xdr:col>8</xdr:col>
          <xdr:colOff>7620</xdr:colOff>
          <xdr:row>26</xdr:row>
          <xdr:rowOff>182880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23</xdr:row>
          <xdr:rowOff>22860</xdr:rowOff>
        </xdr:from>
        <xdr:to>
          <xdr:col>5</xdr:col>
          <xdr:colOff>365760</xdr:colOff>
          <xdr:row>23</xdr:row>
          <xdr:rowOff>182880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21</xdr:row>
          <xdr:rowOff>22860</xdr:rowOff>
        </xdr:from>
        <xdr:to>
          <xdr:col>5</xdr:col>
          <xdr:colOff>365760</xdr:colOff>
          <xdr:row>21</xdr:row>
          <xdr:rowOff>182880</xdr:rowOff>
        </xdr:to>
        <xdr:sp macro="" textlink="">
          <xdr:nvSpPr>
            <xdr:cNvPr id="2074" name="Drop Dow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922020</xdr:colOff>
          <xdr:row>5</xdr:row>
          <xdr:rowOff>121920</xdr:rowOff>
        </xdr:from>
        <xdr:to>
          <xdr:col>21</xdr:col>
          <xdr:colOff>586740</xdr:colOff>
          <xdr:row>9</xdr:row>
          <xdr:rowOff>7620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929640</xdr:colOff>
          <xdr:row>0</xdr:row>
          <xdr:rowOff>327660</xdr:rowOff>
        </xdr:from>
        <xdr:to>
          <xdr:col>21</xdr:col>
          <xdr:colOff>556260</xdr:colOff>
          <xdr:row>4</xdr:row>
          <xdr:rowOff>144780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5</xdr:row>
          <xdr:rowOff>83820</xdr:rowOff>
        </xdr:from>
        <xdr:to>
          <xdr:col>17</xdr:col>
          <xdr:colOff>358140</xdr:colOff>
          <xdr:row>10</xdr:row>
          <xdr:rowOff>45720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480060</xdr:colOff>
          <xdr:row>11</xdr:row>
          <xdr:rowOff>99060</xdr:rowOff>
        </xdr:from>
        <xdr:to>
          <xdr:col>17</xdr:col>
          <xdr:colOff>373380</xdr:colOff>
          <xdr:row>16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Reject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0</xdr:colOff>
      <xdr:row>49</xdr:row>
      <xdr:rowOff>0</xdr:rowOff>
    </xdr:from>
    <xdr:to>
      <xdr:col>13</xdr:col>
      <xdr:colOff>129329</xdr:colOff>
      <xdr:row>50</xdr:row>
      <xdr:rowOff>0</xdr:rowOff>
    </xdr:to>
    <xdr:pic>
      <xdr:nvPicPr>
        <xdr:cNvPr id="3" name="QRCodeImage">
          <a:extLst>
            <a:ext uri="{FF2B5EF4-FFF2-40B4-BE49-F238E27FC236}">
              <a16:creationId xmlns:a16="http://schemas.microsoft.com/office/drawing/2014/main" id="{2E2575AF-BFEC-424F-181A-BA94B6AB7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396740" y="7284720"/>
          <a:ext cx="1523789" cy="14935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ascalibration.com/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FFFF99"/>
  </sheetPr>
  <dimension ref="A1:I46"/>
  <sheetViews>
    <sheetView workbookViewId="0">
      <selection activeCell="E20" sqref="E20"/>
    </sheetView>
  </sheetViews>
  <sheetFormatPr defaultRowHeight="13.2" x14ac:dyDescent="0.25"/>
  <cols>
    <col min="1" max="1" width="20" customWidth="1"/>
    <col min="2" max="2" width="22.5546875" customWidth="1"/>
  </cols>
  <sheetData>
    <row r="1" spans="1:9" x14ac:dyDescent="0.25">
      <c r="A1" s="18" t="s">
        <v>0</v>
      </c>
      <c r="B1" s="18">
        <v>86</v>
      </c>
    </row>
    <row r="2" spans="1:9" x14ac:dyDescent="0.25">
      <c r="A2" s="18" t="s">
        <v>1</v>
      </c>
      <c r="B2" s="18" t="s">
        <v>2</v>
      </c>
    </row>
    <row r="3" spans="1:9" x14ac:dyDescent="0.25">
      <c r="A3" s="18" t="s">
        <v>3</v>
      </c>
      <c r="B3" s="18" t="s">
        <v>4</v>
      </c>
    </row>
    <row r="4" spans="1:9" x14ac:dyDescent="0.25">
      <c r="A4" s="18" t="s">
        <v>5</v>
      </c>
      <c r="B4" s="18">
        <v>2</v>
      </c>
    </row>
    <row r="5" spans="1:9" x14ac:dyDescent="0.25">
      <c r="A5" s="18" t="s">
        <v>6</v>
      </c>
      <c r="B5" s="18">
        <v>23</v>
      </c>
    </row>
    <row r="6" spans="1:9" x14ac:dyDescent="0.25">
      <c r="A6" s="18" t="s">
        <v>7</v>
      </c>
      <c r="B6" s="18">
        <v>232</v>
      </c>
    </row>
    <row r="7" spans="1:9" x14ac:dyDescent="0.25">
      <c r="A7" s="18" t="s">
        <v>8</v>
      </c>
      <c r="B7" s="18">
        <v>2</v>
      </c>
    </row>
    <row r="8" spans="1:9" x14ac:dyDescent="0.25">
      <c r="A8" s="18" t="s">
        <v>9</v>
      </c>
      <c r="B8" s="18">
        <v>212</v>
      </c>
      <c r="E8" s="276"/>
      <c r="F8" s="276"/>
      <c r="G8" s="276"/>
      <c r="H8" s="276"/>
      <c r="I8" s="276"/>
    </row>
    <row r="9" spans="1:9" x14ac:dyDescent="0.25">
      <c r="A9" s="18" t="s">
        <v>10</v>
      </c>
      <c r="B9" s="18">
        <v>212</v>
      </c>
      <c r="E9" s="282" t="s">
        <v>11</v>
      </c>
      <c r="F9" s="282"/>
      <c r="G9" s="282"/>
      <c r="H9" s="282"/>
      <c r="I9" s="282"/>
    </row>
    <row r="10" spans="1:9" x14ac:dyDescent="0.25">
      <c r="A10" s="18" t="s">
        <v>12</v>
      </c>
      <c r="B10" s="18">
        <v>2</v>
      </c>
      <c r="E10" s="282"/>
      <c r="F10" s="282"/>
      <c r="G10" s="282"/>
      <c r="H10" s="282"/>
      <c r="I10" s="282"/>
    </row>
    <row r="11" spans="1:9" x14ac:dyDescent="0.25">
      <c r="A11" s="18" t="s">
        <v>13</v>
      </c>
      <c r="B11" s="18" t="s">
        <v>14</v>
      </c>
      <c r="E11" s="282"/>
      <c r="F11" s="282"/>
      <c r="G11" s="282"/>
      <c r="H11" s="282"/>
      <c r="I11" s="282"/>
    </row>
    <row r="12" spans="1:9" x14ac:dyDescent="0.25">
      <c r="A12" s="18" t="s">
        <v>15</v>
      </c>
      <c r="B12" s="18" t="s">
        <v>16</v>
      </c>
      <c r="E12" s="282"/>
      <c r="F12" s="282"/>
      <c r="G12" s="282"/>
      <c r="H12" s="282"/>
      <c r="I12" s="282"/>
    </row>
    <row r="13" spans="1:9" x14ac:dyDescent="0.25">
      <c r="A13" s="18" t="s">
        <v>17</v>
      </c>
      <c r="B13" s="18" t="s">
        <v>18</v>
      </c>
      <c r="E13" s="282"/>
      <c r="F13" s="282"/>
      <c r="G13" s="282"/>
      <c r="H13" s="282"/>
      <c r="I13" s="282"/>
    </row>
    <row r="14" spans="1:9" x14ac:dyDescent="0.25">
      <c r="A14" s="18" t="s">
        <v>19</v>
      </c>
      <c r="B14" s="18" t="s">
        <v>20</v>
      </c>
    </row>
    <row r="15" spans="1:9" x14ac:dyDescent="0.25">
      <c r="A15" s="18" t="s">
        <v>21</v>
      </c>
      <c r="B15" s="18" t="s">
        <v>22</v>
      </c>
    </row>
    <row r="16" spans="1:9" x14ac:dyDescent="0.25">
      <c r="A16" s="18" t="s">
        <v>23</v>
      </c>
      <c r="B16" s="18" t="s">
        <v>24</v>
      </c>
    </row>
    <row r="17" spans="1:6" x14ac:dyDescent="0.25">
      <c r="A17" s="18" t="s">
        <v>25</v>
      </c>
      <c r="B17" s="18" t="s">
        <v>26</v>
      </c>
    </row>
    <row r="18" spans="1:6" x14ac:dyDescent="0.25">
      <c r="A18" s="273" t="s">
        <v>27</v>
      </c>
      <c r="B18" s="273"/>
    </row>
    <row r="19" spans="1:6" x14ac:dyDescent="0.25">
      <c r="A19" s="274"/>
      <c r="B19" s="274"/>
    </row>
    <row r="20" spans="1:6" x14ac:dyDescent="0.25">
      <c r="A20" s="279" t="s">
        <v>28</v>
      </c>
      <c r="B20" s="280"/>
      <c r="C20" s="280"/>
      <c r="D20" s="281"/>
    </row>
    <row r="21" spans="1:6" x14ac:dyDescent="0.25">
      <c r="A21" s="18"/>
      <c r="B21" s="16" t="s">
        <v>29</v>
      </c>
      <c r="C21" s="18" t="s">
        <v>30</v>
      </c>
      <c r="D21" s="18" t="s">
        <v>31</v>
      </c>
    </row>
    <row r="22" spans="1:6" x14ac:dyDescent="0.25">
      <c r="A22" s="18" t="s">
        <v>32</v>
      </c>
      <c r="B22" s="18">
        <v>4</v>
      </c>
      <c r="C22" s="18">
        <v>4</v>
      </c>
      <c r="D22" s="18">
        <v>4</v>
      </c>
    </row>
    <row r="23" spans="1:6" x14ac:dyDescent="0.25">
      <c r="A23" s="18" t="s">
        <v>33</v>
      </c>
      <c r="B23" s="18">
        <v>4</v>
      </c>
      <c r="C23" s="18">
        <v>4</v>
      </c>
      <c r="D23" s="18">
        <v>2</v>
      </c>
    </row>
    <row r="25" spans="1:6" x14ac:dyDescent="0.25">
      <c r="A25" s="279" t="s">
        <v>34</v>
      </c>
      <c r="B25" s="280"/>
      <c r="C25" s="280"/>
      <c r="D25" s="280"/>
      <c r="E25" s="280"/>
      <c r="F25" s="281"/>
    </row>
    <row r="26" spans="1:6" x14ac:dyDescent="0.25">
      <c r="A26" s="16" t="s">
        <v>35</v>
      </c>
      <c r="B26" s="16">
        <v>1</v>
      </c>
      <c r="C26" s="16">
        <v>2</v>
      </c>
      <c r="D26" s="16">
        <v>3</v>
      </c>
      <c r="E26" s="16">
        <v>4</v>
      </c>
      <c r="F26" s="16">
        <v>5</v>
      </c>
    </row>
    <row r="27" spans="1:6" x14ac:dyDescent="0.25">
      <c r="A27" s="18">
        <v>223</v>
      </c>
      <c r="B27" s="18">
        <v>6</v>
      </c>
      <c r="C27" s="18">
        <v>6</v>
      </c>
      <c r="D27" s="18">
        <v>6</v>
      </c>
      <c r="E27" s="18">
        <v>66</v>
      </c>
      <c r="F27" s="18">
        <v>6</v>
      </c>
    </row>
    <row r="28" spans="1:6" x14ac:dyDescent="0.25">
      <c r="A28" s="18">
        <v>6</v>
      </c>
      <c r="B28" s="18">
        <v>6</v>
      </c>
      <c r="C28" s="18">
        <v>6</v>
      </c>
      <c r="D28" s="18">
        <v>6</v>
      </c>
      <c r="E28" s="18">
        <v>6</v>
      </c>
      <c r="F28" s="18">
        <v>6</v>
      </c>
    </row>
    <row r="29" spans="1:6" x14ac:dyDescent="0.25">
      <c r="A29" s="18">
        <v>6</v>
      </c>
      <c r="B29" s="18">
        <v>6</v>
      </c>
      <c r="C29" s="18">
        <v>66</v>
      </c>
      <c r="D29" s="18">
        <v>6</v>
      </c>
      <c r="E29" s="18">
        <v>6</v>
      </c>
      <c r="F29" s="18">
        <v>6</v>
      </c>
    </row>
    <row r="30" spans="1:6" x14ac:dyDescent="0.25">
      <c r="A30" s="18">
        <v>6</v>
      </c>
      <c r="B30" s="18">
        <v>6</v>
      </c>
      <c r="C30" s="18">
        <v>67</v>
      </c>
      <c r="D30" s="18">
        <v>21</v>
      </c>
      <c r="E30" s="18">
        <v>7</v>
      </c>
      <c r="F30" s="18">
        <v>22</v>
      </c>
    </row>
    <row r="31" spans="1:6" x14ac:dyDescent="0.25">
      <c r="A31" s="18">
        <v>7</v>
      </c>
      <c r="B31" s="18">
        <v>7</v>
      </c>
      <c r="C31" s="18">
        <v>77</v>
      </c>
      <c r="D31" s="18">
        <v>7</v>
      </c>
      <c r="E31" s="18">
        <v>22</v>
      </c>
      <c r="F31" s="18">
        <v>77</v>
      </c>
    </row>
    <row r="32" spans="1:6" x14ac:dyDescent="0.25">
      <c r="A32" s="18">
        <v>7</v>
      </c>
      <c r="B32" s="18">
        <v>7</v>
      </c>
      <c r="C32" s="18">
        <v>7</v>
      </c>
      <c r="D32" s="18">
        <v>77</v>
      </c>
      <c r="E32" s="18">
        <v>7</v>
      </c>
      <c r="F32" s="18">
        <v>7</v>
      </c>
    </row>
    <row r="33" spans="1:6" x14ac:dyDescent="0.25">
      <c r="A33" s="18">
        <v>7</v>
      </c>
      <c r="B33" s="18">
        <v>7</v>
      </c>
      <c r="C33" s="18">
        <v>7</v>
      </c>
      <c r="D33" s="18">
        <v>7</v>
      </c>
      <c r="E33" s="18">
        <v>7</v>
      </c>
      <c r="F33" s="18">
        <v>7</v>
      </c>
    </row>
    <row r="34" spans="1:6" x14ac:dyDescent="0.25">
      <c r="A34" s="18">
        <v>77</v>
      </c>
      <c r="B34" s="18">
        <v>7</v>
      </c>
      <c r="C34" s="18">
        <v>7</v>
      </c>
      <c r="D34" s="18">
        <v>7</v>
      </c>
      <c r="E34" s="18">
        <v>7</v>
      </c>
      <c r="F34" s="18">
        <v>7</v>
      </c>
    </row>
    <row r="35" spans="1:6" x14ac:dyDescent="0.25">
      <c r="A35" s="18">
        <v>7</v>
      </c>
      <c r="B35" s="18">
        <v>77</v>
      </c>
      <c r="C35" s="18">
        <v>7</v>
      </c>
      <c r="D35" s="18">
        <v>7</v>
      </c>
      <c r="E35" s="18">
        <v>7</v>
      </c>
      <c r="F35" s="18">
        <v>7</v>
      </c>
    </row>
    <row r="36" spans="1:6" x14ac:dyDescent="0.25">
      <c r="A36" s="18">
        <v>7</v>
      </c>
      <c r="B36" s="18">
        <v>7</v>
      </c>
      <c r="C36" s="18">
        <v>7</v>
      </c>
      <c r="D36" s="18">
        <v>7</v>
      </c>
      <c r="E36" s="18">
        <v>7</v>
      </c>
      <c r="F36" s="18">
        <v>7</v>
      </c>
    </row>
    <row r="37" spans="1:6" x14ac:dyDescent="0.25">
      <c r="A37" s="18">
        <v>77</v>
      </c>
      <c r="B37" s="18">
        <v>7</v>
      </c>
      <c r="C37" s="18">
        <v>7</v>
      </c>
      <c r="D37" s="18">
        <v>7</v>
      </c>
      <c r="E37" s="18">
        <v>7</v>
      </c>
      <c r="F37" s="18">
        <v>7</v>
      </c>
    </row>
    <row r="38" spans="1:6" x14ac:dyDescent="0.25">
      <c r="A38" s="18"/>
      <c r="B38" s="18"/>
      <c r="C38" s="18"/>
      <c r="D38" s="18"/>
      <c r="E38" s="18"/>
      <c r="F38" s="18"/>
    </row>
    <row r="39" spans="1:6" x14ac:dyDescent="0.25">
      <c r="A39" s="18"/>
      <c r="B39" s="18"/>
      <c r="C39" s="18"/>
      <c r="D39" s="18"/>
      <c r="E39" s="18"/>
      <c r="F39" s="18"/>
    </row>
    <row r="40" spans="1:6" x14ac:dyDescent="0.25">
      <c r="A40" s="18"/>
      <c r="B40" s="18"/>
      <c r="C40" s="18"/>
      <c r="D40" s="18"/>
      <c r="E40" s="18"/>
      <c r="F40" s="18"/>
    </row>
    <row r="41" spans="1:6" x14ac:dyDescent="0.25">
      <c r="A41" s="18"/>
      <c r="B41" s="18"/>
      <c r="C41" s="18"/>
      <c r="D41" s="18"/>
      <c r="E41" s="18"/>
      <c r="F41" s="18"/>
    </row>
    <row r="43" spans="1:6" x14ac:dyDescent="0.25">
      <c r="A43" s="18" t="s">
        <v>36</v>
      </c>
      <c r="B43" s="18" t="s">
        <v>37</v>
      </c>
    </row>
    <row r="44" spans="1:6" x14ac:dyDescent="0.25">
      <c r="A44" s="18" t="s">
        <v>38</v>
      </c>
      <c r="B44" s="18" t="s">
        <v>39</v>
      </c>
    </row>
    <row r="45" spans="1:6" x14ac:dyDescent="0.25">
      <c r="A45" s="18" t="s">
        <v>40</v>
      </c>
      <c r="B45" s="18" t="s">
        <v>41</v>
      </c>
    </row>
    <row r="46" spans="1:6" x14ac:dyDescent="0.25">
      <c r="A46" s="18" t="s">
        <v>42</v>
      </c>
      <c r="B46" s="18" t="s">
        <v>43</v>
      </c>
    </row>
  </sheetData>
  <sheetProtection algorithmName="SHA-512" hashValue="HAkh1BG0Bm0YP+mb2EOpWNC+y5E1VBN0x6Acj83EbNcHSyOLTx0CWGKXDKMGgv7859ZOy2ytAaMcd+lt67js5g==" saltValue="3xy97JG6UPHC5kHfaXSTUg==" spinCount="100000" sheet="1" formatCells="0" formatColumns="0" formatRows="0"/>
  <mergeCells count="3">
    <mergeCell ref="A20:D20"/>
    <mergeCell ref="A25:F25"/>
    <mergeCell ref="E9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99"/>
    <pageSetUpPr fitToPage="1"/>
  </sheetPr>
  <dimension ref="A1:AM94"/>
  <sheetViews>
    <sheetView showGridLines="0" view="pageBreakPreview" zoomScale="70" zoomScaleSheetLayoutView="70" workbookViewId="0">
      <selection activeCell="W3" sqref="W3"/>
    </sheetView>
  </sheetViews>
  <sheetFormatPr defaultColWidth="8.6640625" defaultRowHeight="15" customHeight="1" x14ac:dyDescent="0.25"/>
  <cols>
    <col min="1" max="2" width="8.6640625" style="1"/>
    <col min="3" max="3" width="9.6640625" style="20" customWidth="1"/>
    <col min="4" max="4" width="9.6640625" style="21" customWidth="1"/>
    <col min="5" max="5" width="8.6640625" style="1"/>
    <col min="6" max="6" width="9.109375" style="1" customWidth="1"/>
    <col min="7" max="14" width="8.6640625" style="1"/>
    <col min="15" max="15" width="12.33203125" style="1" customWidth="1"/>
    <col min="16" max="16" width="4.33203125" style="1" customWidth="1"/>
    <col min="17" max="19" width="11.6640625" style="1" customWidth="1"/>
    <col min="20" max="21" width="15" style="1" customWidth="1"/>
    <col min="22" max="22" width="8.6640625" style="1"/>
  </cols>
  <sheetData>
    <row r="1" spans="1:15" ht="30" customHeight="1" x14ac:dyDescent="0.25">
      <c r="A1" s="287" t="s">
        <v>44</v>
      </c>
      <c r="B1" s="288"/>
      <c r="C1" s="288"/>
      <c r="D1" s="288"/>
      <c r="E1" s="288"/>
      <c r="F1" s="288"/>
      <c r="G1" s="288"/>
      <c r="H1" s="288"/>
      <c r="I1" s="288"/>
      <c r="J1" s="288"/>
      <c r="K1" s="288"/>
      <c r="L1" s="288"/>
      <c r="M1" s="288"/>
      <c r="N1" s="288"/>
      <c r="O1" s="289"/>
    </row>
    <row r="2" spans="1:15" ht="15" customHeight="1" x14ac:dyDescent="0.25">
      <c r="A2" s="330"/>
      <c r="B2" s="330"/>
      <c r="C2" s="330"/>
      <c r="D2" s="330"/>
      <c r="E2" s="330"/>
      <c r="F2" s="330"/>
      <c r="G2" s="330"/>
      <c r="H2" s="330"/>
      <c r="I2" s="330"/>
      <c r="J2" s="330"/>
      <c r="K2" s="330"/>
      <c r="L2" s="330"/>
    </row>
    <row r="3" spans="1:15" ht="15" customHeight="1" x14ac:dyDescent="0.25">
      <c r="A3" s="29" t="s">
        <v>45</v>
      </c>
      <c r="B3" s="39"/>
      <c r="C3" s="39"/>
      <c r="D3" s="38" t="s">
        <v>46</v>
      </c>
      <c r="E3" s="348" t="str">
        <f>'TABEL DATA'!Q6</f>
        <v>PAS-IK-1102-02</v>
      </c>
      <c r="F3" s="348"/>
      <c r="G3" s="348"/>
      <c r="H3" s="349"/>
    </row>
    <row r="4" spans="1:15" ht="15" customHeight="1" x14ac:dyDescent="0.25">
      <c r="A4" s="29" t="s">
        <v>47</v>
      </c>
      <c r="B4" s="39"/>
      <c r="C4" s="39"/>
      <c r="D4" s="38" t="s">
        <v>46</v>
      </c>
      <c r="E4" s="348" t="str">
        <f>'TABEL DATA'!R6</f>
        <v>JIS B 7502:2016 (JMA/JSA); SNSU PK.P-01:2020.</v>
      </c>
      <c r="F4" s="348"/>
      <c r="G4" s="348"/>
      <c r="H4" s="349"/>
    </row>
    <row r="6" spans="1:15" ht="15" customHeight="1" x14ac:dyDescent="0.25">
      <c r="A6" s="29" t="s">
        <v>48</v>
      </c>
      <c r="B6" s="25"/>
      <c r="C6" s="25"/>
      <c r="D6" s="37" t="s">
        <v>46</v>
      </c>
      <c r="E6" s="28">
        <f ca="1">TODAY()</f>
        <v>46028</v>
      </c>
      <c r="F6" s="347">
        <f ca="1">TODAY()</f>
        <v>46028</v>
      </c>
      <c r="G6" s="347"/>
      <c r="H6" s="239">
        <f ca="1">YEAR(TODAY())</f>
        <v>2026</v>
      </c>
    </row>
    <row r="8" spans="1:15" ht="15" customHeight="1" x14ac:dyDescent="0.25">
      <c r="A8" s="350" t="s">
        <v>49</v>
      </c>
      <c r="B8" s="351"/>
      <c r="C8" s="351"/>
      <c r="D8" s="351"/>
      <c r="E8" s="351"/>
      <c r="F8" s="351"/>
      <c r="G8" s="351"/>
      <c r="H8" s="351"/>
      <c r="I8" s="351"/>
      <c r="J8" s="351"/>
      <c r="K8" s="351"/>
      <c r="L8" s="352"/>
    </row>
    <row r="9" spans="1:15" ht="15" customHeight="1" x14ac:dyDescent="0.25">
      <c r="C9" s="1"/>
      <c r="D9" s="3"/>
    </row>
    <row r="10" spans="1:15" ht="15" customHeight="1" x14ac:dyDescent="0.25">
      <c r="A10" s="24" t="s">
        <v>50</v>
      </c>
      <c r="B10" s="25"/>
      <c r="C10" s="26"/>
      <c r="D10" s="37" t="s">
        <v>46</v>
      </c>
      <c r="E10" s="100"/>
      <c r="F10" s="315" t="s">
        <v>51</v>
      </c>
      <c r="G10" s="315"/>
      <c r="H10" s="27">
        <v>2025</v>
      </c>
      <c r="J10" s="330"/>
      <c r="K10" s="330"/>
      <c r="L10" s="330"/>
    </row>
    <row r="11" spans="1:15" ht="15" customHeight="1" x14ac:dyDescent="0.25">
      <c r="A11" s="24" t="s">
        <v>52</v>
      </c>
      <c r="B11" s="25"/>
      <c r="C11" s="26"/>
      <c r="D11" s="37" t="s">
        <v>46</v>
      </c>
      <c r="E11" s="102" t="s">
        <v>53</v>
      </c>
      <c r="F11" s="103" t="s">
        <v>54</v>
      </c>
      <c r="G11" s="103" t="str">
        <f>RIGHT(H10,2)</f>
        <v>25</v>
      </c>
      <c r="H11" s="337" t="s">
        <v>55</v>
      </c>
      <c r="I11" s="338"/>
      <c r="J11" s="330"/>
      <c r="K11" s="330"/>
      <c r="L11" s="330"/>
    </row>
    <row r="12" spans="1:15" ht="15" customHeight="1" x14ac:dyDescent="0.25">
      <c r="D12" s="3"/>
    </row>
    <row r="13" spans="1:15" ht="15" customHeight="1" x14ac:dyDescent="0.25">
      <c r="A13" s="31" t="s">
        <v>56</v>
      </c>
      <c r="B13" s="3"/>
      <c r="C13" s="22"/>
      <c r="E13" s="3"/>
      <c r="F13" s="3"/>
      <c r="G13" s="3"/>
      <c r="H13" s="3"/>
      <c r="I13" s="3"/>
      <c r="J13" s="3"/>
      <c r="K13" s="3"/>
      <c r="L13" s="3"/>
    </row>
    <row r="14" spans="1:15" ht="15" customHeight="1" x14ac:dyDescent="0.25">
      <c r="A14" s="24" t="s">
        <v>57</v>
      </c>
      <c r="B14" s="25"/>
      <c r="C14" s="26"/>
      <c r="D14" s="37" t="s">
        <v>46</v>
      </c>
      <c r="E14" s="327" t="s">
        <v>2</v>
      </c>
      <c r="F14" s="328"/>
      <c r="G14" s="328"/>
      <c r="H14" s="328"/>
      <c r="I14" s="328"/>
      <c r="J14" s="328"/>
      <c r="K14" s="328"/>
      <c r="L14" s="329"/>
    </row>
    <row r="15" spans="1:15" ht="15" customHeight="1" x14ac:dyDescent="0.25">
      <c r="E15" s="339" t="s">
        <v>58</v>
      </c>
      <c r="F15" s="340"/>
      <c r="G15" s="340"/>
      <c r="H15" s="340"/>
      <c r="I15" s="340"/>
      <c r="J15" s="340"/>
      <c r="K15" s="340"/>
      <c r="L15" s="341"/>
    </row>
    <row r="16" spans="1:15" ht="15" customHeight="1" x14ac:dyDescent="0.25">
      <c r="D16" s="3"/>
      <c r="E16" s="327"/>
      <c r="F16" s="328"/>
      <c r="G16" s="328"/>
      <c r="H16" s="328"/>
      <c r="I16" s="328"/>
      <c r="J16" s="328"/>
      <c r="K16" s="328"/>
      <c r="L16" s="329"/>
    </row>
    <row r="17" spans="1:23" ht="15" customHeight="1" x14ac:dyDescent="0.25">
      <c r="D17" s="3"/>
      <c r="W17" s="275"/>
    </row>
    <row r="18" spans="1:23" ht="15" customHeight="1" x14ac:dyDescent="0.25">
      <c r="A18" s="24" t="s">
        <v>59</v>
      </c>
      <c r="B18" s="25"/>
      <c r="C18" s="26"/>
      <c r="D18" s="37" t="s">
        <v>46</v>
      </c>
      <c r="E18" s="327" t="s">
        <v>4</v>
      </c>
      <c r="F18" s="328"/>
      <c r="G18" s="328"/>
      <c r="H18" s="329"/>
    </row>
    <row r="19" spans="1:23" ht="15" customHeight="1" x14ac:dyDescent="0.25">
      <c r="A19" s="24" t="s">
        <v>60</v>
      </c>
      <c r="B19" s="25"/>
      <c r="C19" s="26"/>
      <c r="D19" s="37" t="s">
        <v>46</v>
      </c>
      <c r="E19" s="322">
        <v>2</v>
      </c>
      <c r="F19" s="323"/>
      <c r="G19" s="323"/>
      <c r="H19" s="324"/>
    </row>
    <row r="20" spans="1:23" ht="15" customHeight="1" x14ac:dyDescent="0.25">
      <c r="A20" s="24" t="s">
        <v>61</v>
      </c>
      <c r="B20" s="25"/>
      <c r="C20" s="26"/>
      <c r="D20" s="38" t="s">
        <v>46</v>
      </c>
      <c r="E20" s="322">
        <v>232</v>
      </c>
      <c r="F20" s="323"/>
      <c r="G20" s="323"/>
      <c r="H20" s="324"/>
    </row>
    <row r="21" spans="1:23" ht="15" customHeight="1" x14ac:dyDescent="0.25">
      <c r="A21" s="24" t="s">
        <v>62</v>
      </c>
      <c r="B21" s="25"/>
      <c r="C21" s="26"/>
      <c r="D21" s="37" t="s">
        <v>46</v>
      </c>
      <c r="E21" s="322">
        <v>23</v>
      </c>
      <c r="F21" s="344"/>
      <c r="G21" s="344"/>
      <c r="H21" s="344"/>
      <c r="I21" s="342"/>
      <c r="J21" s="343"/>
      <c r="K21" s="343"/>
      <c r="L21" s="343"/>
    </row>
    <row r="22" spans="1:23" ht="15" customHeight="1" x14ac:dyDescent="0.25">
      <c r="A22" s="24" t="s">
        <v>63</v>
      </c>
      <c r="B22" s="25"/>
      <c r="C22" s="26"/>
      <c r="D22" s="37" t="s">
        <v>46</v>
      </c>
      <c r="E22" s="346"/>
      <c r="F22" s="346"/>
      <c r="G22" s="346"/>
      <c r="H22" s="346"/>
      <c r="I22" s="133"/>
      <c r="J22" s="133"/>
      <c r="K22" s="133"/>
      <c r="L22" s="133"/>
    </row>
    <row r="23" spans="1:23" ht="15" customHeight="1" x14ac:dyDescent="0.25">
      <c r="E23" s="176"/>
      <c r="F23" s="176"/>
      <c r="G23" s="176"/>
      <c r="H23" s="176"/>
      <c r="I23" s="133"/>
      <c r="J23" s="133"/>
    </row>
    <row r="24" spans="1:23" ht="15" customHeight="1" x14ac:dyDescent="0.25">
      <c r="A24" s="24" t="s">
        <v>64</v>
      </c>
      <c r="B24" s="25"/>
      <c r="C24" s="26"/>
      <c r="D24" s="37" t="s">
        <v>46</v>
      </c>
      <c r="E24" s="290"/>
      <c r="F24" s="290"/>
    </row>
    <row r="25" spans="1:23" ht="15" customHeight="1" x14ac:dyDescent="0.25">
      <c r="A25" s="24" t="s">
        <v>65</v>
      </c>
      <c r="B25" s="25"/>
      <c r="C25" s="26"/>
      <c r="D25" s="37" t="s">
        <v>46</v>
      </c>
      <c r="E25" s="345">
        <v>2</v>
      </c>
      <c r="F25" s="345"/>
      <c r="G25" s="179" t="str">
        <f>'TABEL DATA'!$K$5</f>
        <v>mm</v>
      </c>
      <c r="H25" s="21" t="s">
        <v>66</v>
      </c>
      <c r="I25" s="345">
        <v>212</v>
      </c>
      <c r="J25" s="345"/>
      <c r="K25" s="179" t="str">
        <f>'TABEL DATA'!$K$5</f>
        <v>mm</v>
      </c>
    </row>
    <row r="26" spans="1:23" ht="15" customHeight="1" x14ac:dyDescent="0.25">
      <c r="A26" s="24" t="s">
        <v>67</v>
      </c>
      <c r="B26" s="25"/>
      <c r="C26" s="26"/>
      <c r="D26" s="38" t="s">
        <v>46</v>
      </c>
      <c r="E26" s="309">
        <f>I25</f>
        <v>212</v>
      </c>
      <c r="F26" s="309"/>
      <c r="G26" s="179" t="str">
        <f>'TABEL DATA'!$K$5</f>
        <v>mm</v>
      </c>
      <c r="H26" s="3"/>
      <c r="I26" s="3"/>
      <c r="J26" s="3"/>
      <c r="Q26" s="3" t="s">
        <v>68</v>
      </c>
      <c r="R26" s="3" t="s">
        <v>69</v>
      </c>
      <c r="S26" s="3" t="s">
        <v>70</v>
      </c>
    </row>
    <row r="27" spans="1:23" ht="15" customHeight="1" x14ac:dyDescent="0.25">
      <c r="A27" s="24" t="s">
        <v>71</v>
      </c>
      <c r="B27" s="25"/>
      <c r="C27" s="26"/>
      <c r="D27" s="38" t="s">
        <v>46</v>
      </c>
      <c r="E27" s="313">
        <v>2</v>
      </c>
      <c r="F27" s="314"/>
      <c r="G27" s="179" t="str">
        <f>'TABEL DATA'!$K$5</f>
        <v>mm</v>
      </c>
      <c r="H27" s="237"/>
      <c r="I27" s="237" t="s">
        <v>72</v>
      </c>
      <c r="J27" s="237"/>
      <c r="K27" s="238"/>
      <c r="L27" s="238"/>
      <c r="Q27" s="209">
        <f>E27</f>
        <v>2</v>
      </c>
      <c r="R27" s="210">
        <f>'TABEL DATA'!I6</f>
        <v>0.1</v>
      </c>
      <c r="S27" s="209">
        <f>Q27*R27</f>
        <v>0.2</v>
      </c>
    </row>
    <row r="29" spans="1:23" ht="15" customHeight="1" x14ac:dyDescent="0.25">
      <c r="A29" s="31" t="s">
        <v>73</v>
      </c>
    </row>
    <row r="30" spans="1:23" ht="15" customHeight="1" x14ac:dyDescent="0.25">
      <c r="A30" s="24" t="s">
        <v>74</v>
      </c>
      <c r="B30" s="25"/>
      <c r="C30" s="26"/>
      <c r="D30" s="37" t="s">
        <v>46</v>
      </c>
      <c r="E30" s="325" t="s">
        <v>14</v>
      </c>
      <c r="F30" s="325"/>
      <c r="G30" s="325"/>
      <c r="H30" s="325"/>
      <c r="I30" s="325"/>
      <c r="J30" s="325"/>
      <c r="K30" s="325"/>
      <c r="L30" s="325"/>
    </row>
    <row r="31" spans="1:23" ht="15" customHeight="1" x14ac:dyDescent="0.25">
      <c r="A31" s="24" t="s">
        <v>75</v>
      </c>
      <c r="B31" s="25"/>
      <c r="C31" s="26"/>
      <c r="D31" s="37" t="s">
        <v>46</v>
      </c>
      <c r="E31" s="319"/>
      <c r="F31" s="320"/>
      <c r="G31" s="320"/>
      <c r="H31" s="320"/>
      <c r="I31" s="320"/>
      <c r="J31" s="320"/>
      <c r="K31" s="320"/>
      <c r="L31" s="321"/>
    </row>
    <row r="32" spans="1:23" ht="15" customHeight="1" x14ac:dyDescent="0.25">
      <c r="E32" s="267"/>
      <c r="F32" s="267"/>
      <c r="G32" s="267"/>
      <c r="H32" s="267"/>
      <c r="I32" s="267"/>
      <c r="J32" s="267"/>
      <c r="K32" s="267"/>
      <c r="L32" s="267"/>
    </row>
    <row r="33" spans="1:19" ht="15" customHeight="1" x14ac:dyDescent="0.25">
      <c r="A33" s="24" t="s">
        <v>76</v>
      </c>
      <c r="B33" s="25"/>
      <c r="C33" s="26"/>
      <c r="D33" s="37" t="s">
        <v>46</v>
      </c>
      <c r="E33" s="322" t="s">
        <v>24</v>
      </c>
      <c r="F33" s="323"/>
      <c r="G33" s="323"/>
      <c r="H33" s="323"/>
      <c r="I33" s="323"/>
      <c r="J33" s="323"/>
      <c r="K33" s="323"/>
      <c r="L33" s="324"/>
    </row>
    <row r="34" spans="1:19" ht="15" customHeight="1" x14ac:dyDescent="0.25">
      <c r="E34" s="322"/>
      <c r="F34" s="323"/>
      <c r="G34" s="323"/>
      <c r="H34" s="323"/>
      <c r="I34" s="323"/>
      <c r="J34" s="323"/>
      <c r="K34" s="323"/>
      <c r="L34" s="324"/>
    </row>
    <row r="35" spans="1:19" ht="15" customHeight="1" x14ac:dyDescent="0.25">
      <c r="E35" s="23"/>
      <c r="F35" s="23"/>
      <c r="G35" s="23"/>
      <c r="H35" s="23"/>
      <c r="I35" s="23"/>
      <c r="J35" s="23"/>
      <c r="K35" s="23"/>
      <c r="L35" s="23"/>
    </row>
    <row r="36" spans="1:19" ht="15" customHeight="1" x14ac:dyDescent="0.25">
      <c r="A36" s="31" t="s">
        <v>77</v>
      </c>
    </row>
    <row r="37" spans="1:19" ht="15" customHeight="1" x14ac:dyDescent="0.25">
      <c r="A37" s="24" t="s">
        <v>78</v>
      </c>
      <c r="B37" s="25"/>
      <c r="C37" s="26"/>
      <c r="D37" s="37" t="s">
        <v>46</v>
      </c>
      <c r="E37" s="101">
        <v>22</v>
      </c>
      <c r="F37" s="315">
        <v>4</v>
      </c>
      <c r="G37" s="315"/>
      <c r="H37" s="30">
        <v>321</v>
      </c>
    </row>
    <row r="38" spans="1:19" ht="15" customHeight="1" x14ac:dyDescent="0.25">
      <c r="A38" s="24" t="s">
        <v>79</v>
      </c>
      <c r="B38" s="25"/>
      <c r="C38" s="26"/>
      <c r="D38" s="37" t="s">
        <v>46</v>
      </c>
      <c r="E38" s="101">
        <v>13</v>
      </c>
      <c r="F38" s="315">
        <v>2</v>
      </c>
      <c r="G38" s="315"/>
      <c r="H38" s="30">
        <v>433</v>
      </c>
    </row>
    <row r="39" spans="1:19" ht="15" customHeight="1" x14ac:dyDescent="0.25">
      <c r="A39" s="24" t="s">
        <v>80</v>
      </c>
      <c r="B39" s="25"/>
      <c r="C39" s="26"/>
      <c r="D39" s="37" t="s">
        <v>46</v>
      </c>
      <c r="E39" s="327" t="s">
        <v>22</v>
      </c>
      <c r="F39" s="328"/>
      <c r="G39" s="328"/>
      <c r="H39" s="328"/>
      <c r="I39" s="328"/>
      <c r="J39" s="328"/>
      <c r="K39" s="328"/>
      <c r="L39" s="329"/>
    </row>
    <row r="41" spans="1:19" ht="15" customHeight="1" x14ac:dyDescent="0.25">
      <c r="A41" s="24" t="s">
        <v>81</v>
      </c>
      <c r="B41" s="25"/>
      <c r="C41" s="26"/>
      <c r="D41" s="37" t="s">
        <v>46</v>
      </c>
      <c r="E41" s="316" t="s">
        <v>82</v>
      </c>
      <c r="F41" s="316"/>
      <c r="G41" s="316"/>
    </row>
    <row r="42" spans="1:19" ht="15" customHeight="1" x14ac:dyDescent="0.25">
      <c r="A42" s="24" t="s">
        <v>83</v>
      </c>
      <c r="B42" s="25"/>
      <c r="C42" s="26"/>
      <c r="D42" s="37" t="s">
        <v>46</v>
      </c>
      <c r="E42" s="32">
        <v>4</v>
      </c>
      <c r="F42" s="32">
        <v>4</v>
      </c>
      <c r="G42" s="32">
        <v>4</v>
      </c>
      <c r="H42" s="33" t="e">
        <f ca="1">'KONTROL SUHU'!B314</f>
        <v>#N/A</v>
      </c>
      <c r="I42" s="34" t="s">
        <v>84</v>
      </c>
      <c r="J42" s="33">
        <f>'KONTROL SUHU'!C321</f>
        <v>0.55000000000000004</v>
      </c>
      <c r="K42" s="35" t="s">
        <v>85</v>
      </c>
    </row>
    <row r="43" spans="1:19" ht="15" customHeight="1" x14ac:dyDescent="0.25">
      <c r="A43" s="24" t="s">
        <v>86</v>
      </c>
      <c r="B43" s="25"/>
      <c r="C43" s="26"/>
      <c r="D43" s="37" t="s">
        <v>46</v>
      </c>
      <c r="E43" s="32">
        <v>4</v>
      </c>
      <c r="F43" s="32">
        <v>4</v>
      </c>
      <c r="G43" s="32">
        <v>2</v>
      </c>
      <c r="H43" s="33" t="e">
        <f ca="1">'KONTROL SUHU'!G314</f>
        <v>#N/A</v>
      </c>
      <c r="I43" s="34" t="s">
        <v>84</v>
      </c>
      <c r="J43" s="33">
        <f>'KONTROL SUHU'!D321</f>
        <v>3.1012542265634679</v>
      </c>
      <c r="K43" s="35" t="s">
        <v>87</v>
      </c>
    </row>
    <row r="45" spans="1:19" ht="15" customHeight="1" x14ac:dyDescent="0.25">
      <c r="A45" s="24" t="s">
        <v>88</v>
      </c>
      <c r="B45" s="25"/>
      <c r="C45" s="26"/>
      <c r="D45" s="37" t="s">
        <v>46</v>
      </c>
      <c r="E45" s="316"/>
      <c r="F45" s="316"/>
      <c r="G45" s="316"/>
    </row>
    <row r="48" spans="1:19" s="3" customFormat="1" ht="15" customHeight="1" x14ac:dyDescent="0.25">
      <c r="A48" s="326" t="s">
        <v>89</v>
      </c>
      <c r="B48" s="326"/>
      <c r="C48" s="326"/>
      <c r="D48" s="326"/>
      <c r="E48" s="326"/>
      <c r="F48" s="326"/>
      <c r="G48" s="326"/>
      <c r="H48" s="326"/>
      <c r="I48" s="326"/>
      <c r="J48" s="326"/>
      <c r="Q48" s="295" t="s">
        <v>90</v>
      </c>
      <c r="R48" s="295"/>
      <c r="S48" s="295"/>
    </row>
    <row r="49" spans="1:23" s="3" customFormat="1" ht="15" customHeight="1" x14ac:dyDescent="0.25">
      <c r="A49" s="336" t="s">
        <v>91</v>
      </c>
      <c r="B49" s="336"/>
      <c r="C49" s="336"/>
      <c r="D49" s="336"/>
      <c r="E49" s="336"/>
      <c r="F49" s="336" t="s">
        <v>92</v>
      </c>
      <c r="G49" s="336"/>
      <c r="H49" s="336"/>
      <c r="I49" s="336"/>
      <c r="J49" s="336"/>
      <c r="Q49" s="291" t="s">
        <v>93</v>
      </c>
      <c r="R49" s="293" t="s">
        <v>94</v>
      </c>
      <c r="S49" s="291" t="s">
        <v>92</v>
      </c>
    </row>
    <row r="50" spans="1:23" s="40" customFormat="1" ht="34.950000000000003" customHeight="1" x14ac:dyDescent="0.25">
      <c r="A50" s="334" t="s">
        <v>95</v>
      </c>
      <c r="B50" s="335"/>
      <c r="C50" s="317" t="s">
        <v>96</v>
      </c>
      <c r="D50" s="334" t="s">
        <v>97</v>
      </c>
      <c r="E50" s="335"/>
      <c r="F50" s="334" t="s">
        <v>95</v>
      </c>
      <c r="G50" s="335"/>
      <c r="H50" s="317" t="s">
        <v>96</v>
      </c>
      <c r="I50" s="334" t="s">
        <v>97</v>
      </c>
      <c r="J50" s="335"/>
      <c r="K50" s="4"/>
      <c r="Q50" s="292"/>
      <c r="R50" s="294"/>
      <c r="S50" s="292"/>
    </row>
    <row r="51" spans="1:23" s="3" customFormat="1" ht="15" customHeight="1" x14ac:dyDescent="0.25">
      <c r="A51" s="285" t="s">
        <v>98</v>
      </c>
      <c r="B51" s="286"/>
      <c r="C51" s="318"/>
      <c r="D51" s="285" t="s">
        <v>98</v>
      </c>
      <c r="E51" s="286"/>
      <c r="F51" s="285" t="s">
        <v>98</v>
      </c>
      <c r="G51" s="286"/>
      <c r="H51" s="318"/>
      <c r="I51" s="285" t="s">
        <v>98</v>
      </c>
      <c r="J51" s="286"/>
      <c r="Q51" s="183" t="str">
        <f>'TABEL DATA'!$K$5</f>
        <v>mm</v>
      </c>
      <c r="R51" s="183" t="str">
        <f>'TABEL DATA'!$L$5</f>
        <v>μm</v>
      </c>
      <c r="S51" s="183" t="str">
        <f>'TABEL DATA'!$L$5</f>
        <v>μm</v>
      </c>
    </row>
    <row r="52" spans="1:23" s="41" customFormat="1" ht="15" customHeight="1" x14ac:dyDescent="0.25">
      <c r="A52" s="283"/>
      <c r="B52" s="283"/>
      <c r="C52" s="44"/>
      <c r="D52" s="284">
        <f>C52*0.32</f>
        <v>0</v>
      </c>
      <c r="E52" s="284"/>
      <c r="F52" s="283"/>
      <c r="G52" s="283"/>
      <c r="H52" s="44"/>
      <c r="I52" s="284">
        <f>H52*0.32</f>
        <v>0</v>
      </c>
      <c r="J52" s="284"/>
      <c r="Q52" s="224">
        <f>A52/'TABEL DATA'!M5</f>
        <v>0</v>
      </c>
      <c r="R52" s="224">
        <f>D52/'TABEL DATA'!$M$5</f>
        <v>0</v>
      </c>
      <c r="S52" s="224">
        <f>I52/'TABEL DATA'!$M$5</f>
        <v>0</v>
      </c>
    </row>
    <row r="53" spans="1:23" ht="15" customHeight="1" x14ac:dyDescent="0.25">
      <c r="A53" s="330"/>
      <c r="B53" s="330"/>
      <c r="D53" s="331"/>
      <c r="E53" s="331"/>
      <c r="F53" s="331"/>
      <c r="G53" s="331"/>
      <c r="H53" s="3"/>
      <c r="I53" s="331"/>
      <c r="J53" s="331"/>
    </row>
    <row r="54" spans="1:23" s="36" customFormat="1" ht="15" customHeight="1" x14ac:dyDescent="0.25">
      <c r="A54" s="298" t="s">
        <v>99</v>
      </c>
      <c r="B54" s="298"/>
      <c r="C54" s="298"/>
      <c r="D54" s="298"/>
      <c r="E54" s="298"/>
      <c r="F54" s="298"/>
      <c r="G54" s="298"/>
      <c r="H54" s="298"/>
      <c r="I54" s="298"/>
      <c r="J54" s="298"/>
      <c r="K54" s="298"/>
      <c r="L54" s="298"/>
      <c r="M54" s="298"/>
      <c r="N54" s="298"/>
      <c r="O54" s="298"/>
      <c r="P54" s="41"/>
      <c r="Q54" s="295" t="s">
        <v>100</v>
      </c>
      <c r="R54" s="295"/>
      <c r="S54" s="295"/>
      <c r="V54" s="41"/>
      <c r="W54" s="41"/>
    </row>
    <row r="55" spans="1:23" s="36" customFormat="1" ht="15" customHeight="1" x14ac:dyDescent="0.25">
      <c r="A55" s="299" t="s">
        <v>101</v>
      </c>
      <c r="B55" s="300"/>
      <c r="C55" s="300"/>
      <c r="D55" s="301"/>
      <c r="E55" s="299" t="s">
        <v>102</v>
      </c>
      <c r="F55" s="300"/>
      <c r="G55" s="300"/>
      <c r="H55" s="300"/>
      <c r="I55" s="300"/>
      <c r="J55" s="300"/>
      <c r="K55" s="300"/>
      <c r="L55" s="300"/>
      <c r="M55" s="300"/>
      <c r="N55" s="301"/>
      <c r="O55" s="305" t="s">
        <v>103</v>
      </c>
      <c r="P55" s="41"/>
      <c r="Q55" s="291" t="s">
        <v>104</v>
      </c>
      <c r="R55" s="293" t="s">
        <v>105</v>
      </c>
      <c r="S55" s="291" t="s">
        <v>106</v>
      </c>
      <c r="V55" s="41"/>
      <c r="W55" s="41"/>
    </row>
    <row r="56" spans="1:23" s="36" customFormat="1" ht="15" customHeight="1" x14ac:dyDescent="0.25">
      <c r="A56" s="332" t="s">
        <v>93</v>
      </c>
      <c r="B56" s="333"/>
      <c r="C56" s="296" t="s">
        <v>107</v>
      </c>
      <c r="D56" s="297"/>
      <c r="E56" s="302" t="str">
        <f>'TABEL DATA'!$K$5</f>
        <v>mm</v>
      </c>
      <c r="F56" s="303"/>
      <c r="G56" s="303"/>
      <c r="H56" s="303"/>
      <c r="I56" s="303"/>
      <c r="J56" s="303"/>
      <c r="K56" s="303"/>
      <c r="L56" s="303"/>
      <c r="M56" s="303"/>
      <c r="N56" s="304"/>
      <c r="O56" s="305"/>
      <c r="P56" s="41"/>
      <c r="Q56" s="292"/>
      <c r="R56" s="294"/>
      <c r="S56" s="292"/>
    </row>
    <row r="57" spans="1:23" s="36" customFormat="1" ht="15" customHeight="1" x14ac:dyDescent="0.25">
      <c r="A57" s="285" t="s">
        <v>98</v>
      </c>
      <c r="B57" s="286"/>
      <c r="C57" s="2" t="s">
        <v>98</v>
      </c>
      <c r="D57" s="2" t="s">
        <v>108</v>
      </c>
      <c r="E57" s="309">
        <v>1</v>
      </c>
      <c r="F57" s="309"/>
      <c r="G57" s="309">
        <v>2</v>
      </c>
      <c r="H57" s="309"/>
      <c r="I57" s="309">
        <v>3</v>
      </c>
      <c r="J57" s="309"/>
      <c r="K57" s="309">
        <v>4</v>
      </c>
      <c r="L57" s="309"/>
      <c r="M57" s="309">
        <v>5</v>
      </c>
      <c r="N57" s="309"/>
      <c r="O57" s="183" t="str">
        <f>'TABEL DATA'!$K$5</f>
        <v>mm</v>
      </c>
      <c r="P57" s="41"/>
      <c r="Q57" s="183" t="str">
        <f>'TABEL DATA'!$K$5</f>
        <v>mm</v>
      </c>
      <c r="R57" s="183" t="str">
        <f>'TABEL DATA'!$K$5</f>
        <v>mm</v>
      </c>
      <c r="S57" s="183" t="str">
        <f>'TABEL DATA'!$K$5</f>
        <v>mm</v>
      </c>
    </row>
    <row r="58" spans="1:23" ht="15" customHeight="1" x14ac:dyDescent="0.25">
      <c r="A58" s="312">
        <v>223</v>
      </c>
      <c r="B58" s="311"/>
      <c r="C58" s="277">
        <f>'Pilih Standar'!AC61</f>
        <v>0</v>
      </c>
      <c r="D58" s="277">
        <f t="shared" ref="D58:D72" si="0">IF(A58="","",C58/25.4)</f>
        <v>0</v>
      </c>
      <c r="E58" s="306">
        <v>6</v>
      </c>
      <c r="F58" s="307"/>
      <c r="G58" s="306">
        <v>6</v>
      </c>
      <c r="H58" s="307"/>
      <c r="I58" s="306">
        <v>6</v>
      </c>
      <c r="J58" s="307"/>
      <c r="K58" s="306">
        <v>66</v>
      </c>
      <c r="L58" s="307"/>
      <c r="M58" s="306">
        <v>6</v>
      </c>
      <c r="N58" s="308"/>
      <c r="O58" s="225">
        <f t="shared" ref="O58:O72" si="1">IF(E58="","",STDEV(E58:N58))</f>
        <v>26.832815729997478</v>
      </c>
      <c r="P58" s="42"/>
      <c r="Q58" s="225">
        <f>INDEX(C58:D58,'TABEL DATA'!$K$4)</f>
        <v>0</v>
      </c>
      <c r="R58" s="226">
        <f>IF(E58="","",ROUND(AVERAGE(E58:N58),'TABEL DATA'!$N$5))</f>
        <v>18</v>
      </c>
      <c r="S58" s="226">
        <f t="shared" ref="S58:S72" si="2">IF(E58="","",Q58-R58)</f>
        <v>-18</v>
      </c>
    </row>
    <row r="59" spans="1:23" ht="15" customHeight="1" x14ac:dyDescent="0.25">
      <c r="A59" s="310">
        <v>6</v>
      </c>
      <c r="B59" s="311"/>
      <c r="C59" s="277">
        <f>'Pilih Standar'!AC62</f>
        <v>2.5000499999999999</v>
      </c>
      <c r="D59" s="278">
        <f t="shared" si="0"/>
        <v>9.8427165354330715E-2</v>
      </c>
      <c r="E59" s="306">
        <v>6</v>
      </c>
      <c r="F59" s="307"/>
      <c r="G59" s="306">
        <v>6</v>
      </c>
      <c r="H59" s="307"/>
      <c r="I59" s="306">
        <v>6</v>
      </c>
      <c r="J59" s="307"/>
      <c r="K59" s="306">
        <v>6</v>
      </c>
      <c r="L59" s="307"/>
      <c r="M59" s="306">
        <v>6</v>
      </c>
      <c r="N59" s="308"/>
      <c r="O59" s="225">
        <f t="shared" si="1"/>
        <v>0</v>
      </c>
      <c r="P59" s="42"/>
      <c r="Q59" s="225">
        <f>INDEX(C59:D59,'TABEL DATA'!$K$4)</f>
        <v>2.5000499999999999</v>
      </c>
      <c r="R59" s="226">
        <f>IF(E59="","",ROUND(AVERAGE(E59:N59),'TABEL DATA'!$N$5))</f>
        <v>6</v>
      </c>
      <c r="S59" s="226">
        <f t="shared" si="2"/>
        <v>-3.4999500000000001</v>
      </c>
    </row>
    <row r="60" spans="1:23" ht="15" customHeight="1" x14ac:dyDescent="0.25">
      <c r="A60" s="310">
        <v>6</v>
      </c>
      <c r="B60" s="311"/>
      <c r="C60" s="277">
        <f>'Pilih Standar'!AC63</f>
        <v>5.1000899999999998</v>
      </c>
      <c r="D60" s="278">
        <f t="shared" si="0"/>
        <v>0.20079094488188975</v>
      </c>
      <c r="E60" s="306">
        <v>6</v>
      </c>
      <c r="F60" s="307"/>
      <c r="G60" s="306">
        <v>66</v>
      </c>
      <c r="H60" s="307"/>
      <c r="I60" s="306">
        <v>6</v>
      </c>
      <c r="J60" s="307"/>
      <c r="K60" s="306">
        <v>6</v>
      </c>
      <c r="L60" s="307"/>
      <c r="M60" s="306">
        <v>6</v>
      </c>
      <c r="N60" s="308"/>
      <c r="O60" s="225">
        <f t="shared" si="1"/>
        <v>26.832815729997478</v>
      </c>
      <c r="P60" s="42"/>
      <c r="Q60" s="225">
        <f>INDEX(C60:D60,'TABEL DATA'!$K$4)</f>
        <v>5.1000899999999998</v>
      </c>
      <c r="R60" s="226">
        <f>IF(E60="","",ROUND(AVERAGE(E60:N60),'TABEL DATA'!$N$5))</f>
        <v>18</v>
      </c>
      <c r="S60" s="226">
        <f t="shared" si="2"/>
        <v>-12.89991</v>
      </c>
    </row>
    <row r="61" spans="1:23" ht="15" customHeight="1" x14ac:dyDescent="0.25">
      <c r="A61" s="310">
        <v>6</v>
      </c>
      <c r="B61" s="311"/>
      <c r="C61" s="277">
        <f>'Pilih Standar'!AC64</f>
        <v>7.6998899999999999</v>
      </c>
      <c r="D61" s="278">
        <f t="shared" si="0"/>
        <v>0.30314527559055121</v>
      </c>
      <c r="E61" s="306">
        <v>6</v>
      </c>
      <c r="F61" s="307"/>
      <c r="G61" s="306">
        <v>67</v>
      </c>
      <c r="H61" s="307"/>
      <c r="I61" s="306">
        <v>21</v>
      </c>
      <c r="J61" s="307"/>
      <c r="K61" s="306">
        <v>7</v>
      </c>
      <c r="L61" s="307"/>
      <c r="M61" s="306">
        <v>22</v>
      </c>
      <c r="N61" s="308"/>
      <c r="O61" s="225">
        <f t="shared" si="1"/>
        <v>24.865638942122519</v>
      </c>
      <c r="P61" s="42"/>
      <c r="Q61" s="225">
        <f>INDEX(C61:D61,'TABEL DATA'!$K$4)</f>
        <v>7.6998899999999999</v>
      </c>
      <c r="R61" s="226">
        <f>IF(E61="","",ROUND(AVERAGE(E61:N61),'TABEL DATA'!$N$5))</f>
        <v>24.6</v>
      </c>
      <c r="S61" s="226">
        <f t="shared" si="2"/>
        <v>-16.900110000000002</v>
      </c>
    </row>
    <row r="62" spans="1:23" ht="15" customHeight="1" x14ac:dyDescent="0.25">
      <c r="A62" s="310">
        <v>7</v>
      </c>
      <c r="B62" s="311"/>
      <c r="C62" s="277">
        <f>'Pilih Standar'!AC65</f>
        <v>10.299930000000002</v>
      </c>
      <c r="D62" s="278">
        <f t="shared" si="0"/>
        <v>0.40550905511811031</v>
      </c>
      <c r="E62" s="306">
        <v>7</v>
      </c>
      <c r="F62" s="307"/>
      <c r="G62" s="306">
        <v>77</v>
      </c>
      <c r="H62" s="307"/>
      <c r="I62" s="306">
        <v>7</v>
      </c>
      <c r="J62" s="307"/>
      <c r="K62" s="306">
        <v>22</v>
      </c>
      <c r="L62" s="307"/>
      <c r="M62" s="306">
        <v>77</v>
      </c>
      <c r="N62" s="308"/>
      <c r="O62" s="225">
        <f t="shared" si="1"/>
        <v>36.124783736376884</v>
      </c>
      <c r="P62" s="42"/>
      <c r="Q62" s="225">
        <f>INDEX(C62:D62,'TABEL DATA'!$K$4)</f>
        <v>10.299930000000002</v>
      </c>
      <c r="R62" s="226">
        <f>IF(E62="","",ROUND(AVERAGE(E62:N62),'TABEL DATA'!$N$5))</f>
        <v>38</v>
      </c>
      <c r="S62" s="226">
        <f t="shared" si="2"/>
        <v>-27.700069999999997</v>
      </c>
    </row>
    <row r="63" spans="1:23" ht="15" customHeight="1" x14ac:dyDescent="0.25">
      <c r="A63" s="310">
        <v>7</v>
      </c>
      <c r="B63" s="311"/>
      <c r="C63" s="277">
        <f>'Pilih Standar'!AC66</f>
        <v>12.89992</v>
      </c>
      <c r="D63" s="278">
        <f t="shared" si="0"/>
        <v>0.50787086614173227</v>
      </c>
      <c r="E63" s="306">
        <v>7</v>
      </c>
      <c r="F63" s="307"/>
      <c r="G63" s="306">
        <v>7</v>
      </c>
      <c r="H63" s="307"/>
      <c r="I63" s="306">
        <v>77</v>
      </c>
      <c r="J63" s="307"/>
      <c r="K63" s="306">
        <v>7</v>
      </c>
      <c r="L63" s="307"/>
      <c r="M63" s="306">
        <v>7</v>
      </c>
      <c r="N63" s="308"/>
      <c r="O63" s="225">
        <f t="shared" si="1"/>
        <v>31.304951684997057</v>
      </c>
      <c r="P63" s="42"/>
      <c r="Q63" s="225">
        <f>INDEX(C63:D63,'TABEL DATA'!$K$4)</f>
        <v>12.89992</v>
      </c>
      <c r="R63" s="226">
        <f>IF(E63="","",ROUND(AVERAGE(E63:N63),'TABEL DATA'!$N$5))</f>
        <v>21</v>
      </c>
      <c r="S63" s="226">
        <f t="shared" si="2"/>
        <v>-8.1000800000000002</v>
      </c>
    </row>
    <row r="64" spans="1:23" ht="15" customHeight="1" x14ac:dyDescent="0.25">
      <c r="A64" s="310">
        <v>7</v>
      </c>
      <c r="B64" s="311"/>
      <c r="C64" s="277">
        <f>'Pilih Standar'!AC67</f>
        <v>14.999969999999999</v>
      </c>
      <c r="D64" s="278">
        <f t="shared" si="0"/>
        <v>0.59055000000000002</v>
      </c>
      <c r="E64" s="306">
        <v>7</v>
      </c>
      <c r="F64" s="307"/>
      <c r="G64" s="306">
        <v>7</v>
      </c>
      <c r="H64" s="307"/>
      <c r="I64" s="306">
        <v>7</v>
      </c>
      <c r="J64" s="307"/>
      <c r="K64" s="306">
        <v>7</v>
      </c>
      <c r="L64" s="307"/>
      <c r="M64" s="306">
        <v>7</v>
      </c>
      <c r="N64" s="308"/>
      <c r="O64" s="225">
        <f t="shared" si="1"/>
        <v>0</v>
      </c>
      <c r="P64" s="42"/>
      <c r="Q64" s="225">
        <f>INDEX(C64:D64,'TABEL DATA'!$K$4)</f>
        <v>14.999969999999999</v>
      </c>
      <c r="R64" s="226">
        <f>IF(E64="","",ROUND(AVERAGE(E64:N64),'TABEL DATA'!$N$5))</f>
        <v>7</v>
      </c>
      <c r="S64" s="226">
        <f t="shared" si="2"/>
        <v>7.9999699999999994</v>
      </c>
    </row>
    <row r="65" spans="1:39" ht="15" customHeight="1" x14ac:dyDescent="0.25">
      <c r="A65" s="310">
        <v>77</v>
      </c>
      <c r="B65" s="311"/>
      <c r="C65" s="277">
        <f>'Pilih Standar'!AC68</f>
        <v>17.599920000000001</v>
      </c>
      <c r="D65" s="278">
        <f t="shared" si="0"/>
        <v>0.69291023622047254</v>
      </c>
      <c r="E65" s="306">
        <v>7</v>
      </c>
      <c r="F65" s="307"/>
      <c r="G65" s="306">
        <v>7</v>
      </c>
      <c r="H65" s="307"/>
      <c r="I65" s="306">
        <v>7</v>
      </c>
      <c r="J65" s="307"/>
      <c r="K65" s="306">
        <v>7</v>
      </c>
      <c r="L65" s="307"/>
      <c r="M65" s="306">
        <v>7</v>
      </c>
      <c r="N65" s="308"/>
      <c r="O65" s="225">
        <f t="shared" si="1"/>
        <v>0</v>
      </c>
      <c r="P65" s="42"/>
      <c r="Q65" s="225">
        <f>INDEX(C65:D65,'TABEL DATA'!$K$4)</f>
        <v>17.599920000000001</v>
      </c>
      <c r="R65" s="226">
        <f>IF(E65="","",ROUND(AVERAGE(E65:N65),'TABEL DATA'!$N$5))</f>
        <v>7</v>
      </c>
      <c r="S65" s="226">
        <f t="shared" si="2"/>
        <v>10.599920000000001</v>
      </c>
    </row>
    <row r="66" spans="1:39" ht="15" customHeight="1" x14ac:dyDescent="0.25">
      <c r="A66" s="310">
        <v>7</v>
      </c>
      <c r="B66" s="311"/>
      <c r="C66" s="277">
        <f>'Pilih Standar'!AC69</f>
        <v>20.199909999999999</v>
      </c>
      <c r="D66" s="278">
        <f t="shared" si="0"/>
        <v>0.7952720472440945</v>
      </c>
      <c r="E66" s="306">
        <v>77</v>
      </c>
      <c r="F66" s="307"/>
      <c r="G66" s="306">
        <v>7</v>
      </c>
      <c r="H66" s="307"/>
      <c r="I66" s="306">
        <v>7</v>
      </c>
      <c r="J66" s="307"/>
      <c r="K66" s="306">
        <v>7</v>
      </c>
      <c r="L66" s="307"/>
      <c r="M66" s="306">
        <v>7</v>
      </c>
      <c r="N66" s="308"/>
      <c r="O66" s="225">
        <f t="shared" si="1"/>
        <v>31.304951684997057</v>
      </c>
      <c r="P66" s="42"/>
      <c r="Q66" s="225">
        <f>INDEX(C66:D66,'TABEL DATA'!$K$4)</f>
        <v>20.199909999999999</v>
      </c>
      <c r="R66" s="226">
        <f>IF(E66="","",ROUND(AVERAGE(E66:N66),'TABEL DATA'!$N$5))</f>
        <v>21</v>
      </c>
      <c r="S66" s="226">
        <f t="shared" si="2"/>
        <v>-0.80009000000000086</v>
      </c>
    </row>
    <row r="67" spans="1:39" ht="15" customHeight="1" x14ac:dyDescent="0.25">
      <c r="A67" s="310">
        <v>7</v>
      </c>
      <c r="B67" s="311"/>
      <c r="C67" s="277">
        <f>'Pilih Standar'!AC70</f>
        <v>22.799890000000001</v>
      </c>
      <c r="D67" s="278">
        <f t="shared" si="0"/>
        <v>0.89763346456692927</v>
      </c>
      <c r="E67" s="306">
        <v>7</v>
      </c>
      <c r="F67" s="307"/>
      <c r="G67" s="306">
        <v>7</v>
      </c>
      <c r="H67" s="307"/>
      <c r="I67" s="306">
        <v>7</v>
      </c>
      <c r="J67" s="307"/>
      <c r="K67" s="306">
        <v>7</v>
      </c>
      <c r="L67" s="307"/>
      <c r="M67" s="306">
        <v>7</v>
      </c>
      <c r="N67" s="308"/>
      <c r="O67" s="225">
        <f t="shared" si="1"/>
        <v>0</v>
      </c>
      <c r="P67" s="42"/>
      <c r="Q67" s="225">
        <f>INDEX(C67:D67,'TABEL DATA'!$K$4)</f>
        <v>22.799890000000001</v>
      </c>
      <c r="R67" s="226">
        <f>IF(E67="","",ROUND(AVERAGE(E67:N67),'TABEL DATA'!$N$5))</f>
        <v>7</v>
      </c>
      <c r="S67" s="226">
        <f t="shared" si="2"/>
        <v>15.799890000000001</v>
      </c>
    </row>
    <row r="68" spans="1:39" ht="15" customHeight="1" x14ac:dyDescent="0.25">
      <c r="A68" s="310">
        <v>77</v>
      </c>
      <c r="B68" s="311"/>
      <c r="C68" s="277">
        <f>'Pilih Standar'!AC71</f>
        <v>25.000080000000001</v>
      </c>
      <c r="D68" s="278">
        <f t="shared" si="0"/>
        <v>0.98425511811023625</v>
      </c>
      <c r="E68" s="306">
        <v>7</v>
      </c>
      <c r="F68" s="307"/>
      <c r="G68" s="306">
        <v>7</v>
      </c>
      <c r="H68" s="307"/>
      <c r="I68" s="306">
        <v>7</v>
      </c>
      <c r="J68" s="307"/>
      <c r="K68" s="306">
        <v>7</v>
      </c>
      <c r="L68" s="307"/>
      <c r="M68" s="306">
        <v>7</v>
      </c>
      <c r="N68" s="308"/>
      <c r="O68" s="225">
        <f t="shared" si="1"/>
        <v>0</v>
      </c>
      <c r="P68" s="42"/>
      <c r="Q68" s="225">
        <f>INDEX(C68:D68,'TABEL DATA'!$K$4)</f>
        <v>25.000080000000001</v>
      </c>
      <c r="R68" s="226">
        <f>IF(E68="","",ROUND(AVERAGE(E68:N68),'TABEL DATA'!$N$5))</f>
        <v>7</v>
      </c>
      <c r="S68" s="226">
        <f t="shared" si="2"/>
        <v>18.000080000000001</v>
      </c>
    </row>
    <row r="69" spans="1:39" ht="15" customHeight="1" x14ac:dyDescent="0.25">
      <c r="A69" s="310"/>
      <c r="B69" s="311"/>
      <c r="C69" s="277" t="str">
        <f>'Pilih Standar'!AC72</f>
        <v/>
      </c>
      <c r="D69" s="278" t="str">
        <f t="shared" si="0"/>
        <v/>
      </c>
      <c r="E69" s="306"/>
      <c r="F69" s="307"/>
      <c r="G69" s="306"/>
      <c r="H69" s="307"/>
      <c r="I69" s="306"/>
      <c r="J69" s="307"/>
      <c r="K69" s="306"/>
      <c r="L69" s="307"/>
      <c r="M69" s="306"/>
      <c r="N69" s="308"/>
      <c r="O69" s="225" t="str">
        <f t="shared" si="1"/>
        <v/>
      </c>
      <c r="P69" s="42"/>
      <c r="Q69" s="225" t="str">
        <f>INDEX(C69:D69,'TABEL DATA'!$K$4)</f>
        <v/>
      </c>
      <c r="R69" s="226" t="str">
        <f>IF(E69="","",ROUND(AVERAGE(E69:N69),'TABEL DATA'!$N$5))</f>
        <v/>
      </c>
      <c r="S69" s="226" t="str">
        <f t="shared" si="2"/>
        <v/>
      </c>
    </row>
    <row r="70" spans="1:39" ht="15" customHeight="1" x14ac:dyDescent="0.25">
      <c r="A70" s="310"/>
      <c r="B70" s="311"/>
      <c r="C70" s="277" t="str">
        <f>'Pilih Standar'!AC73</f>
        <v/>
      </c>
      <c r="D70" s="278" t="str">
        <f t="shared" si="0"/>
        <v/>
      </c>
      <c r="E70" s="306"/>
      <c r="F70" s="307"/>
      <c r="G70" s="306"/>
      <c r="H70" s="307"/>
      <c r="I70" s="306"/>
      <c r="J70" s="307"/>
      <c r="K70" s="306"/>
      <c r="L70" s="307"/>
      <c r="M70" s="306"/>
      <c r="N70" s="308"/>
      <c r="O70" s="225" t="str">
        <f t="shared" si="1"/>
        <v/>
      </c>
      <c r="P70" s="42"/>
      <c r="Q70" s="225" t="str">
        <f>INDEX(C70:D70,'TABEL DATA'!$K$4)</f>
        <v/>
      </c>
      <c r="R70" s="226" t="str">
        <f>IF(E70="","",ROUND(AVERAGE(E70:N70),'TABEL DATA'!$N$5))</f>
        <v/>
      </c>
      <c r="S70" s="226" t="str">
        <f t="shared" si="2"/>
        <v/>
      </c>
    </row>
    <row r="71" spans="1:39" ht="15" customHeight="1" x14ac:dyDescent="0.25">
      <c r="A71" s="310"/>
      <c r="B71" s="311"/>
      <c r="C71" s="277" t="str">
        <f>'Pilih Standar'!AC74</f>
        <v/>
      </c>
      <c r="D71" s="278" t="str">
        <f t="shared" si="0"/>
        <v/>
      </c>
      <c r="E71" s="306"/>
      <c r="F71" s="307"/>
      <c r="G71" s="306"/>
      <c r="H71" s="307"/>
      <c r="I71" s="306"/>
      <c r="J71" s="307"/>
      <c r="K71" s="306"/>
      <c r="L71" s="307"/>
      <c r="M71" s="306"/>
      <c r="N71" s="308"/>
      <c r="O71" s="225" t="str">
        <f t="shared" si="1"/>
        <v/>
      </c>
      <c r="P71" s="42"/>
      <c r="Q71" s="225" t="str">
        <f>INDEX(C71:D71,'TABEL DATA'!$K$4)</f>
        <v/>
      </c>
      <c r="R71" s="226" t="str">
        <f>IF(E71="","",ROUND(AVERAGE(E71:N71),'TABEL DATA'!$N$5))</f>
        <v/>
      </c>
      <c r="S71" s="226" t="str">
        <f t="shared" si="2"/>
        <v/>
      </c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</row>
    <row r="72" spans="1:39" ht="15" customHeight="1" x14ac:dyDescent="0.25">
      <c r="A72" s="310"/>
      <c r="B72" s="311"/>
      <c r="C72" s="277" t="str">
        <f>'Pilih Standar'!AC75</f>
        <v/>
      </c>
      <c r="D72" s="278" t="str">
        <f t="shared" si="0"/>
        <v/>
      </c>
      <c r="E72" s="306"/>
      <c r="F72" s="307"/>
      <c r="G72" s="306"/>
      <c r="H72" s="307"/>
      <c r="I72" s="306"/>
      <c r="J72" s="307"/>
      <c r="K72" s="306"/>
      <c r="L72" s="307"/>
      <c r="M72" s="306"/>
      <c r="N72" s="308"/>
      <c r="O72" s="225" t="str">
        <f t="shared" si="1"/>
        <v/>
      </c>
      <c r="P72" s="42"/>
      <c r="Q72" s="225" t="str">
        <f>INDEX(C72:D72,'TABEL DATA'!$K$4)</f>
        <v/>
      </c>
      <c r="R72" s="226" t="str">
        <f>IF(E72="","",ROUND(AVERAGE(E72:N72),'TABEL DATA'!$N$5))</f>
        <v/>
      </c>
      <c r="S72" s="226" t="str">
        <f t="shared" si="2"/>
        <v/>
      </c>
    </row>
    <row r="73" spans="1:39" ht="15" customHeight="1" x14ac:dyDescent="0.25">
      <c r="A73" s="355"/>
      <c r="B73" s="355"/>
      <c r="C73" s="42"/>
      <c r="D73" s="43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131" t="s">
        <v>109</v>
      </c>
      <c r="P73" s="42"/>
      <c r="Q73" s="42"/>
    </row>
    <row r="74" spans="1:39" ht="15" customHeight="1" x14ac:dyDescent="0.25">
      <c r="A74" s="181" t="s">
        <v>110</v>
      </c>
      <c r="B74" s="42"/>
      <c r="C74" s="42"/>
      <c r="D74" s="43"/>
      <c r="E74" s="42"/>
      <c r="F74" s="42"/>
      <c r="G74" s="42"/>
      <c r="H74" s="42"/>
      <c r="I74" s="42"/>
      <c r="J74" s="42"/>
      <c r="K74" s="42"/>
      <c r="L74" s="42"/>
      <c r="M74" s="42"/>
      <c r="O74" s="132" t="e">
        <f ca="1">_xludf.AGGREGATE(4,6,O58:O72)</f>
        <v>#NAME?</v>
      </c>
      <c r="P74" s="180" t="str">
        <f>'TABEL DATA'!$K$5</f>
        <v>mm</v>
      </c>
      <c r="Q74" s="42"/>
    </row>
    <row r="75" spans="1:39" ht="15" customHeight="1" x14ac:dyDescent="0.25">
      <c r="A75" s="181" t="s">
        <v>111</v>
      </c>
      <c r="B75" s="42"/>
      <c r="C75" s="353">
        <v>0</v>
      </c>
      <c r="D75" s="354"/>
      <c r="E75" s="42" t="str">
        <f>'TABEL DATA'!$K$5</f>
        <v>mm</v>
      </c>
      <c r="F75" s="42"/>
      <c r="G75" s="42"/>
      <c r="H75" s="42"/>
      <c r="I75" s="42"/>
      <c r="J75" s="42"/>
      <c r="K75" s="42"/>
      <c r="L75" s="42"/>
      <c r="M75" s="42"/>
      <c r="O75" s="184" t="e">
        <f ca="1">O74*'TABEL DATA'!M5</f>
        <v>#NAME?</v>
      </c>
      <c r="P75" s="181" t="s">
        <v>98</v>
      </c>
      <c r="Q75" s="42"/>
    </row>
    <row r="76" spans="1:39" ht="15" customHeight="1" x14ac:dyDescent="0.25">
      <c r="A76" s="42" t="s">
        <v>112</v>
      </c>
      <c r="B76" s="42"/>
      <c r="C76" s="42"/>
      <c r="D76" s="43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182" t="s">
        <v>113</v>
      </c>
      <c r="P76" s="42"/>
      <c r="Q76" s="42"/>
      <c r="R76" s="42"/>
      <c r="S76" s="42"/>
      <c r="V76" s="42"/>
      <c r="W76" s="42"/>
      <c r="X76" s="42"/>
      <c r="Y76" s="42"/>
      <c r="Z76" s="42"/>
      <c r="AA76" s="42"/>
      <c r="AB76" s="42"/>
    </row>
    <row r="77" spans="1:39" ht="15" customHeight="1" x14ac:dyDescent="0.25">
      <c r="A77" s="42"/>
      <c r="B77" s="42"/>
      <c r="C77" s="42"/>
      <c r="D77" s="43"/>
      <c r="E77" s="42"/>
      <c r="F77" s="42"/>
      <c r="V77" s="42"/>
      <c r="W77" s="42"/>
      <c r="X77" s="42"/>
      <c r="Y77" s="42"/>
      <c r="Z77" s="42"/>
      <c r="AA77" s="42"/>
      <c r="AB77" s="42"/>
    </row>
    <row r="78" spans="1:39" ht="15" customHeight="1" x14ac:dyDescent="0.25">
      <c r="A78" s="42"/>
      <c r="B78" s="42"/>
      <c r="C78" s="42"/>
      <c r="D78" s="43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</row>
    <row r="79" spans="1:39" ht="15" customHeight="1" x14ac:dyDescent="0.25">
      <c r="A79" s="42"/>
      <c r="B79" s="42"/>
      <c r="C79" s="42"/>
      <c r="D79" s="43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</row>
    <row r="80" spans="1:39" ht="15" customHeight="1" x14ac:dyDescent="0.25">
      <c r="A80" s="42"/>
      <c r="B80" s="42"/>
      <c r="C80" s="42"/>
      <c r="D80" s="43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</row>
    <row r="81" spans="1:28" ht="15" customHeight="1" x14ac:dyDescent="0.25">
      <c r="A81" s="42"/>
      <c r="B81" s="42"/>
      <c r="C81" s="42"/>
      <c r="D81" s="43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</row>
    <row r="82" spans="1:28" ht="15" customHeight="1" x14ac:dyDescent="0.25">
      <c r="A82" s="42"/>
      <c r="B82" s="42"/>
      <c r="C82" s="42"/>
      <c r="D82" s="43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</row>
    <row r="83" spans="1:28" ht="15" customHeight="1" x14ac:dyDescent="0.25">
      <c r="A83" s="42"/>
      <c r="B83" s="42"/>
      <c r="C83" s="42"/>
      <c r="D83" s="43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</row>
    <row r="84" spans="1:28" ht="15" customHeight="1" x14ac:dyDescent="0.25">
      <c r="A84" s="42"/>
      <c r="B84" s="42"/>
      <c r="C84" s="42"/>
      <c r="D84" s="43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</row>
    <row r="85" spans="1:28" ht="15" customHeight="1" x14ac:dyDescent="0.25">
      <c r="A85" s="42"/>
      <c r="B85" s="42"/>
      <c r="C85" s="42"/>
      <c r="D85" s="43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</row>
    <row r="86" spans="1:28" ht="15" customHeight="1" x14ac:dyDescent="0.25">
      <c r="A86" s="42"/>
      <c r="B86" s="42"/>
      <c r="C86" s="42"/>
      <c r="D86" s="43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</row>
    <row r="87" spans="1:28" ht="15" customHeight="1" x14ac:dyDescent="0.25">
      <c r="A87" s="42"/>
      <c r="B87" s="42"/>
      <c r="C87" s="42"/>
      <c r="D87" s="43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</row>
    <row r="88" spans="1:28" ht="15" customHeight="1" x14ac:dyDescent="0.25">
      <c r="A88" s="42"/>
      <c r="B88" s="42"/>
      <c r="C88" s="42"/>
      <c r="D88" s="43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</row>
    <row r="89" spans="1:28" ht="15" customHeight="1" x14ac:dyDescent="0.25">
      <c r="A89" s="42"/>
      <c r="B89" s="42"/>
      <c r="C89" s="42"/>
      <c r="D89" s="43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</row>
    <row r="90" spans="1:28" ht="15" customHeight="1" x14ac:dyDescent="0.25">
      <c r="A90" s="42"/>
      <c r="B90" s="42"/>
      <c r="C90" s="42"/>
      <c r="D90" s="43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</row>
    <row r="91" spans="1:28" ht="15" customHeight="1" x14ac:dyDescent="0.25">
      <c r="A91" s="42"/>
      <c r="B91" s="42"/>
      <c r="C91" s="42"/>
      <c r="D91" s="43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</row>
    <row r="92" spans="1:28" ht="15" customHeight="1" x14ac:dyDescent="0.25">
      <c r="A92" s="42"/>
      <c r="B92" s="42"/>
      <c r="C92" s="42"/>
      <c r="D92" s="43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</row>
    <row r="93" spans="1:28" ht="15" customHeight="1" x14ac:dyDescent="0.25">
      <c r="A93" s="42"/>
      <c r="B93" s="42"/>
      <c r="C93" s="42"/>
      <c r="D93" s="43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</row>
    <row r="94" spans="1:28" ht="15" customHeight="1" x14ac:dyDescent="0.25">
      <c r="A94" s="42"/>
      <c r="B94" s="42"/>
      <c r="C94" s="42"/>
      <c r="D94" s="43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</row>
  </sheetData>
  <mergeCells count="167">
    <mergeCell ref="I70:J70"/>
    <mergeCell ref="K70:L70"/>
    <mergeCell ref="M70:N70"/>
    <mergeCell ref="A69:B69"/>
    <mergeCell ref="E69:F69"/>
    <mergeCell ref="G69:H69"/>
    <mergeCell ref="I69:J69"/>
    <mergeCell ref="K69:L69"/>
    <mergeCell ref="F10:G10"/>
    <mergeCell ref="A2:F2"/>
    <mergeCell ref="G2:L2"/>
    <mergeCell ref="E3:H3"/>
    <mergeCell ref="E4:H4"/>
    <mergeCell ref="A8:L8"/>
    <mergeCell ref="C75:D75"/>
    <mergeCell ref="K72:L72"/>
    <mergeCell ref="M72:N72"/>
    <mergeCell ref="A71:B71"/>
    <mergeCell ref="E71:F71"/>
    <mergeCell ref="G71:H71"/>
    <mergeCell ref="I71:J71"/>
    <mergeCell ref="K71:L71"/>
    <mergeCell ref="M71:N71"/>
    <mergeCell ref="A72:B72"/>
    <mergeCell ref="E72:F72"/>
    <mergeCell ref="G72:H72"/>
    <mergeCell ref="I72:J72"/>
    <mergeCell ref="A73:B73"/>
    <mergeCell ref="M69:N69"/>
    <mergeCell ref="A70:B70"/>
    <mergeCell ref="E70:F70"/>
    <mergeCell ref="G70:H70"/>
    <mergeCell ref="A57:B57"/>
    <mergeCell ref="G57:H57"/>
    <mergeCell ref="I57:J57"/>
    <mergeCell ref="K57:L57"/>
    <mergeCell ref="F53:G53"/>
    <mergeCell ref="I53:J53"/>
    <mergeCell ref="A50:B50"/>
    <mergeCell ref="D50:E50"/>
    <mergeCell ref="F50:G50"/>
    <mergeCell ref="I50:J50"/>
    <mergeCell ref="E61:F61"/>
    <mergeCell ref="G61:H61"/>
    <mergeCell ref="E63:F63"/>
    <mergeCell ref="G63:H63"/>
    <mergeCell ref="E65:F65"/>
    <mergeCell ref="G65:H65"/>
    <mergeCell ref="I65:J65"/>
    <mergeCell ref="E27:F27"/>
    <mergeCell ref="F38:G38"/>
    <mergeCell ref="E41:G41"/>
    <mergeCell ref="I51:J51"/>
    <mergeCell ref="H50:H51"/>
    <mergeCell ref="E31:L31"/>
    <mergeCell ref="E33:L33"/>
    <mergeCell ref="E30:L30"/>
    <mergeCell ref="E34:L34"/>
    <mergeCell ref="A48:J48"/>
    <mergeCell ref="F37:G37"/>
    <mergeCell ref="C50:C51"/>
    <mergeCell ref="E57:F57"/>
    <mergeCell ref="F52:G52"/>
    <mergeCell ref="E39:L39"/>
    <mergeCell ref="E45:G45"/>
    <mergeCell ref="A53:B53"/>
    <mergeCell ref="A66:B66"/>
    <mergeCell ref="A67:B67"/>
    <mergeCell ref="A68:B68"/>
    <mergeCell ref="A58:B58"/>
    <mergeCell ref="A59:B59"/>
    <mergeCell ref="E64:F64"/>
    <mergeCell ref="G64:H64"/>
    <mergeCell ref="I64:J64"/>
    <mergeCell ref="I61:J61"/>
    <mergeCell ref="E62:F62"/>
    <mergeCell ref="G62:H62"/>
    <mergeCell ref="I62:J62"/>
    <mergeCell ref="A64:B64"/>
    <mergeCell ref="E58:F58"/>
    <mergeCell ref="G58:H58"/>
    <mergeCell ref="E59:F59"/>
    <mergeCell ref="G59:H59"/>
    <mergeCell ref="E60:F60"/>
    <mergeCell ref="G60:H60"/>
    <mergeCell ref="A60:B60"/>
    <mergeCell ref="A61:B61"/>
    <mergeCell ref="A62:B62"/>
    <mergeCell ref="A63:B63"/>
    <mergeCell ref="A65:B65"/>
    <mergeCell ref="K65:L65"/>
    <mergeCell ref="M65:N65"/>
    <mergeCell ref="K60:L60"/>
    <mergeCell ref="M60:N60"/>
    <mergeCell ref="M64:N64"/>
    <mergeCell ref="M61:N61"/>
    <mergeCell ref="M62:N62"/>
    <mergeCell ref="M68:N68"/>
    <mergeCell ref="E66:F66"/>
    <mergeCell ref="G66:H66"/>
    <mergeCell ref="I66:J66"/>
    <mergeCell ref="K66:L66"/>
    <mergeCell ref="M66:N66"/>
    <mergeCell ref="E67:F67"/>
    <mergeCell ref="E68:F68"/>
    <mergeCell ref="G68:H68"/>
    <mergeCell ref="G67:H67"/>
    <mergeCell ref="M67:N67"/>
    <mergeCell ref="I67:J67"/>
    <mergeCell ref="I68:J68"/>
    <mergeCell ref="K68:L68"/>
    <mergeCell ref="K67:L67"/>
    <mergeCell ref="K64:L64"/>
    <mergeCell ref="K61:L61"/>
    <mergeCell ref="I63:J63"/>
    <mergeCell ref="K63:L63"/>
    <mergeCell ref="M63:N63"/>
    <mergeCell ref="M57:N57"/>
    <mergeCell ref="I58:J58"/>
    <mergeCell ref="K58:L58"/>
    <mergeCell ref="M58:N58"/>
    <mergeCell ref="I59:J59"/>
    <mergeCell ref="K59:L59"/>
    <mergeCell ref="M59:N59"/>
    <mergeCell ref="I60:J60"/>
    <mergeCell ref="K62:L62"/>
    <mergeCell ref="R55:R56"/>
    <mergeCell ref="S55:S56"/>
    <mergeCell ref="Q54:S54"/>
    <mergeCell ref="C56:D56"/>
    <mergeCell ref="A54:O54"/>
    <mergeCell ref="A55:D55"/>
    <mergeCell ref="Q48:S48"/>
    <mergeCell ref="Q49:Q50"/>
    <mergeCell ref="R49:R50"/>
    <mergeCell ref="S49:S50"/>
    <mergeCell ref="E55:N55"/>
    <mergeCell ref="E56:N56"/>
    <mergeCell ref="O55:O56"/>
    <mergeCell ref="D53:E53"/>
    <mergeCell ref="A56:B56"/>
    <mergeCell ref="A49:E49"/>
    <mergeCell ref="F49:J49"/>
    <mergeCell ref="A52:B52"/>
    <mergeCell ref="D52:E52"/>
    <mergeCell ref="I52:J52"/>
    <mergeCell ref="A51:B51"/>
    <mergeCell ref="F51:G51"/>
    <mergeCell ref="D51:E51"/>
    <mergeCell ref="A1:O1"/>
    <mergeCell ref="E24:F24"/>
    <mergeCell ref="Q55:Q56"/>
    <mergeCell ref="E26:F26"/>
    <mergeCell ref="E18:H18"/>
    <mergeCell ref="E19:H19"/>
    <mergeCell ref="E20:H20"/>
    <mergeCell ref="H11:I11"/>
    <mergeCell ref="E16:L16"/>
    <mergeCell ref="E15:L15"/>
    <mergeCell ref="E14:L14"/>
    <mergeCell ref="I21:L21"/>
    <mergeCell ref="E21:H21"/>
    <mergeCell ref="J10:L11"/>
    <mergeCell ref="E25:F25"/>
    <mergeCell ref="I25:J25"/>
    <mergeCell ref="E22:H22"/>
    <mergeCell ref="F6:G6"/>
  </mergeCells>
  <dataValidations count="3">
    <dataValidation type="whole" allowBlank="1" showInputMessage="1" showErrorMessage="1" errorTitle="Error" error="Format tahun berlaku dari 2019 s/d 2025" sqref="H10 H37:H38" xr:uid="{00000000-0002-0000-0100-000000000000}">
      <formula1>2019</formula1>
      <formula2>2025</formula2>
    </dataValidation>
    <dataValidation allowBlank="1" showInputMessage="1" sqref="H11:I11" xr:uid="{00000000-0002-0000-0100-000001000000}"/>
    <dataValidation type="list" allowBlank="1" showInputMessage="1" showErrorMessage="1" sqref="A41:D41" xr:uid="{00000000-0002-0000-0100-000002000000}">
      <formula1>#REF!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7</xdr:col>
                    <xdr:colOff>22860</xdr:colOff>
                    <xdr:row>26</xdr:row>
                    <xdr:rowOff>22860</xdr:rowOff>
                  </from>
                  <to>
                    <xdr:col>8</xdr:col>
                    <xdr:colOff>7620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Line="0" autoPict="0">
                <anchor moveWithCells="1">
                  <from>
                    <xdr:col>4</xdr:col>
                    <xdr:colOff>121920</xdr:colOff>
                    <xdr:row>23</xdr:row>
                    <xdr:rowOff>22860</xdr:rowOff>
                  </from>
                  <to>
                    <xdr:col>5</xdr:col>
                    <xdr:colOff>365760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Drop Down 26">
              <controlPr defaultSize="0" autoLine="0" autoPict="0">
                <anchor moveWithCells="1">
                  <from>
                    <xdr:col>4</xdr:col>
                    <xdr:colOff>121920</xdr:colOff>
                    <xdr:row>21</xdr:row>
                    <xdr:rowOff>22860</xdr:rowOff>
                  </from>
                  <to>
                    <xdr:col>5</xdr:col>
                    <xdr:colOff>365760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Module5.BtnVerifyCalibration_Click">
                <anchor moveWithCells="1" sizeWithCells="1">
                  <from>
                    <xdr:col>19</xdr:col>
                    <xdr:colOff>922020</xdr:colOff>
                    <xdr:row>5</xdr:row>
                    <xdr:rowOff>121920</xdr:rowOff>
                  </from>
                  <to>
                    <xdr:col>21</xdr:col>
                    <xdr:colOff>586740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PindahkanDataTest">
                <anchor moveWithCells="1" sizeWithCells="1">
                  <from>
                    <xdr:col>19</xdr:col>
                    <xdr:colOff>929640</xdr:colOff>
                    <xdr:row>0</xdr:row>
                    <xdr:rowOff>327660</xdr:rowOff>
                  </from>
                  <to>
                    <xdr:col>21</xdr:col>
                    <xdr:colOff>556260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3000000}">
          <x14:formula1>
            <xm:f>'TABEL DATA'!$A$2:$A$32</xm:f>
          </x14:formula1>
          <xm:sqref>E10 E37:E38</xm:sqref>
        </x14:dataValidation>
        <x14:dataValidation type="list" allowBlank="1" showInputMessage="1" showErrorMessage="1" xr:uid="{00000000-0002-0000-0100-000004000000}">
          <x14:formula1>
            <xm:f>'TABEL DATA'!$E$2:$E$3</xm:f>
          </x14:formula1>
          <xm:sqref>E39:L39</xm:sqref>
        </x14:dataValidation>
        <x14:dataValidation type="list" allowBlank="1" showInputMessage="1" showErrorMessage="1" xr:uid="{00000000-0002-0000-0100-000005000000}">
          <x14:formula1>
            <xm:f>'TABEL DATA'!$D$2:$D$4</xm:f>
          </x14:formula1>
          <xm:sqref>E45:G45</xm:sqref>
        </x14:dataValidation>
        <x14:dataValidation type="list" allowBlank="1" showInputMessage="1" showErrorMessage="1" xr:uid="{00000000-0002-0000-0100-000006000000}">
          <x14:formula1>
            <xm:f>'TABEL DATA'!$B$2:$B$13</xm:f>
          </x14:formula1>
          <xm:sqref>F10:G10 F37:G38</xm:sqref>
        </x14:dataValidation>
        <x14:dataValidation type="list" allowBlank="1" showInputMessage="1" showErrorMessage="1" xr:uid="{00000000-0002-0000-0100-000007000000}">
          <x14:formula1>
            <xm:f>'TABEL DATA'!$F$2:$F$10</xm:f>
          </x14:formula1>
          <xm:sqref>E18:H18</xm:sqref>
        </x14:dataValidation>
        <x14:dataValidation type="list" allowBlank="1" showInputMessage="1" showErrorMessage="1" xr:uid="{00000000-0002-0000-0100-000008000000}">
          <x14:formula1>
            <xm:f>'TABEL DATA'!$H$2:$H$5</xm:f>
          </x14:formula1>
          <xm:sqref>E27:F27</xm:sqref>
        </x14:dataValidation>
        <x14:dataValidation type="list" allowBlank="1" showInputMessage="1" showErrorMessage="1" xr:uid="{00000000-0002-0000-0100-000009000000}">
          <x14:formula1>
            <xm:f>'KONTROL SUHU'!$B$291:$B$308</xm:f>
          </x14:formula1>
          <xm:sqref>E41:G41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92D050"/>
  </sheetPr>
  <dimension ref="A1:N66"/>
  <sheetViews>
    <sheetView showGridLines="0" tabSelected="1" view="pageBreakPreview" zoomScale="85" zoomScaleSheetLayoutView="85" workbookViewId="0">
      <selection activeCell="J50" sqref="J50"/>
    </sheetView>
  </sheetViews>
  <sheetFormatPr defaultRowHeight="13.95" customHeight="1" x14ac:dyDescent="0.25"/>
  <cols>
    <col min="1" max="1" width="21.6640625" style="45" customWidth="1"/>
    <col min="2" max="2" width="2.44140625" style="45" customWidth="1"/>
    <col min="3" max="9" width="6.6640625" style="45" customWidth="1"/>
    <col min="10" max="10" width="5.6640625" style="45" customWidth="1"/>
    <col min="11" max="14" width="2.6640625" style="45" customWidth="1"/>
    <col min="15" max="241" width="8.88671875" style="45" customWidth="1"/>
    <col min="242" max="242" width="5.109375" style="45" customWidth="1"/>
    <col min="243" max="243" width="22" style="45" customWidth="1"/>
    <col min="244" max="244" width="2.44140625" style="45" customWidth="1"/>
    <col min="245" max="245" width="32.109375" style="45" customWidth="1"/>
    <col min="246" max="247" width="8.88671875" style="45" customWidth="1"/>
    <col min="248" max="248" width="1.5546875" style="45" customWidth="1"/>
    <col min="249" max="249" width="4" style="45" customWidth="1"/>
    <col min="250" max="250" width="5" style="45" customWidth="1"/>
    <col min="251" max="251" width="4.109375" style="45" customWidth="1"/>
    <col min="252" max="497" width="8.88671875" style="45" customWidth="1"/>
    <col min="498" max="498" width="5.109375" style="45" customWidth="1"/>
    <col min="499" max="499" width="22" style="45" customWidth="1"/>
    <col min="500" max="500" width="2.44140625" style="45" customWidth="1"/>
    <col min="501" max="501" width="32.109375" style="45" customWidth="1"/>
    <col min="502" max="503" width="8.88671875" style="45" customWidth="1"/>
    <col min="504" max="504" width="1.5546875" style="45" customWidth="1"/>
    <col min="505" max="505" width="4" style="45" customWidth="1"/>
    <col min="506" max="506" width="5" style="45" customWidth="1"/>
    <col min="507" max="507" width="4.109375" style="45" customWidth="1"/>
    <col min="508" max="753" width="8.88671875" style="45" customWidth="1"/>
    <col min="754" max="754" width="5.109375" style="45" customWidth="1"/>
    <col min="755" max="755" width="22" style="45" customWidth="1"/>
    <col min="756" max="756" width="2.44140625" style="45" customWidth="1"/>
    <col min="757" max="757" width="32.109375" style="45" customWidth="1"/>
    <col min="758" max="759" width="8.88671875" style="45" customWidth="1"/>
    <col min="760" max="760" width="1.5546875" style="45" customWidth="1"/>
    <col min="761" max="761" width="4" style="45" customWidth="1"/>
    <col min="762" max="762" width="5" style="45" customWidth="1"/>
    <col min="763" max="763" width="4.109375" style="45" customWidth="1"/>
    <col min="764" max="1009" width="8.88671875" style="45" customWidth="1"/>
    <col min="1010" max="1010" width="5.109375" style="45" customWidth="1"/>
    <col min="1011" max="1011" width="22" style="45" customWidth="1"/>
    <col min="1012" max="1012" width="2.44140625" style="45" customWidth="1"/>
    <col min="1013" max="1013" width="32.109375" style="45" customWidth="1"/>
    <col min="1014" max="1015" width="8.88671875" style="45" customWidth="1"/>
    <col min="1016" max="1016" width="1.5546875" style="45" customWidth="1"/>
    <col min="1017" max="1017" width="4" style="45" customWidth="1"/>
    <col min="1018" max="1018" width="5" style="45" customWidth="1"/>
    <col min="1019" max="1019" width="4.109375" style="45" customWidth="1"/>
    <col min="1020" max="1265" width="8.88671875" style="45" customWidth="1"/>
    <col min="1266" max="1266" width="5.109375" style="45" customWidth="1"/>
    <col min="1267" max="1267" width="22" style="45" customWidth="1"/>
    <col min="1268" max="1268" width="2.44140625" style="45" customWidth="1"/>
    <col min="1269" max="1269" width="32.109375" style="45" customWidth="1"/>
    <col min="1270" max="1271" width="8.88671875" style="45" customWidth="1"/>
    <col min="1272" max="1272" width="1.5546875" style="45" customWidth="1"/>
    <col min="1273" max="1273" width="4" style="45" customWidth="1"/>
    <col min="1274" max="1274" width="5" style="45" customWidth="1"/>
    <col min="1275" max="1275" width="4.109375" style="45" customWidth="1"/>
    <col min="1276" max="1521" width="8.88671875" style="45" customWidth="1"/>
    <col min="1522" max="1522" width="5.109375" style="45" customWidth="1"/>
    <col min="1523" max="1523" width="22" style="45" customWidth="1"/>
    <col min="1524" max="1524" width="2.44140625" style="45" customWidth="1"/>
    <col min="1525" max="1525" width="32.109375" style="45" customWidth="1"/>
    <col min="1526" max="1527" width="8.88671875" style="45" customWidth="1"/>
    <col min="1528" max="1528" width="1.5546875" style="45" customWidth="1"/>
    <col min="1529" max="1529" width="4" style="45" customWidth="1"/>
    <col min="1530" max="1530" width="5" style="45" customWidth="1"/>
    <col min="1531" max="1531" width="4.109375" style="45" customWidth="1"/>
    <col min="1532" max="1777" width="8.88671875" style="45" customWidth="1"/>
    <col min="1778" max="1778" width="5.109375" style="45" customWidth="1"/>
    <col min="1779" max="1779" width="22" style="45" customWidth="1"/>
    <col min="1780" max="1780" width="2.44140625" style="45" customWidth="1"/>
    <col min="1781" max="1781" width="32.109375" style="45" customWidth="1"/>
    <col min="1782" max="1783" width="8.88671875" style="45" customWidth="1"/>
    <col min="1784" max="1784" width="1.5546875" style="45" customWidth="1"/>
    <col min="1785" max="1785" width="4" style="45" customWidth="1"/>
    <col min="1786" max="1786" width="5" style="45" customWidth="1"/>
    <col min="1787" max="1787" width="4.109375" style="45" customWidth="1"/>
    <col min="1788" max="2033" width="8.88671875" style="45" customWidth="1"/>
    <col min="2034" max="2034" width="5.109375" style="45" customWidth="1"/>
    <col min="2035" max="2035" width="22" style="45" customWidth="1"/>
    <col min="2036" max="2036" width="2.44140625" style="45" customWidth="1"/>
    <col min="2037" max="2037" width="32.109375" style="45" customWidth="1"/>
    <col min="2038" max="2039" width="8.88671875" style="45" customWidth="1"/>
    <col min="2040" max="2040" width="1.5546875" style="45" customWidth="1"/>
    <col min="2041" max="2041" width="4" style="45" customWidth="1"/>
    <col min="2042" max="2042" width="5" style="45" customWidth="1"/>
    <col min="2043" max="2043" width="4.109375" style="45" customWidth="1"/>
    <col min="2044" max="2289" width="8.88671875" style="45" customWidth="1"/>
    <col min="2290" max="2290" width="5.109375" style="45" customWidth="1"/>
    <col min="2291" max="2291" width="22" style="45" customWidth="1"/>
    <col min="2292" max="2292" width="2.44140625" style="45" customWidth="1"/>
    <col min="2293" max="2293" width="32.109375" style="45" customWidth="1"/>
    <col min="2294" max="2295" width="8.88671875" style="45" customWidth="1"/>
    <col min="2296" max="2296" width="1.5546875" style="45" customWidth="1"/>
    <col min="2297" max="2297" width="4" style="45" customWidth="1"/>
    <col min="2298" max="2298" width="5" style="45" customWidth="1"/>
    <col min="2299" max="2299" width="4.109375" style="45" customWidth="1"/>
    <col min="2300" max="2545" width="8.88671875" style="45" customWidth="1"/>
    <col min="2546" max="2546" width="5.109375" style="45" customWidth="1"/>
    <col min="2547" max="2547" width="22" style="45" customWidth="1"/>
    <col min="2548" max="2548" width="2.44140625" style="45" customWidth="1"/>
    <col min="2549" max="2549" width="32.109375" style="45" customWidth="1"/>
    <col min="2550" max="2551" width="8.88671875" style="45" customWidth="1"/>
    <col min="2552" max="2552" width="1.5546875" style="45" customWidth="1"/>
    <col min="2553" max="2553" width="4" style="45" customWidth="1"/>
    <col min="2554" max="2554" width="5" style="45" customWidth="1"/>
    <col min="2555" max="2555" width="4.109375" style="45" customWidth="1"/>
    <col min="2556" max="2801" width="8.88671875" style="45" customWidth="1"/>
    <col min="2802" max="2802" width="5.109375" style="45" customWidth="1"/>
    <col min="2803" max="2803" width="22" style="45" customWidth="1"/>
    <col min="2804" max="2804" width="2.44140625" style="45" customWidth="1"/>
    <col min="2805" max="2805" width="32.109375" style="45" customWidth="1"/>
    <col min="2806" max="2807" width="8.88671875" style="45" customWidth="1"/>
    <col min="2808" max="2808" width="1.5546875" style="45" customWidth="1"/>
    <col min="2809" max="2809" width="4" style="45" customWidth="1"/>
    <col min="2810" max="2810" width="5" style="45" customWidth="1"/>
    <col min="2811" max="2811" width="4.109375" style="45" customWidth="1"/>
    <col min="2812" max="3057" width="8.88671875" style="45" customWidth="1"/>
    <col min="3058" max="3058" width="5.109375" style="45" customWidth="1"/>
    <col min="3059" max="3059" width="22" style="45" customWidth="1"/>
    <col min="3060" max="3060" width="2.44140625" style="45" customWidth="1"/>
    <col min="3061" max="3061" width="32.109375" style="45" customWidth="1"/>
    <col min="3062" max="3063" width="8.88671875" style="45" customWidth="1"/>
    <col min="3064" max="3064" width="1.5546875" style="45" customWidth="1"/>
    <col min="3065" max="3065" width="4" style="45" customWidth="1"/>
    <col min="3066" max="3066" width="5" style="45" customWidth="1"/>
    <col min="3067" max="3067" width="4.109375" style="45" customWidth="1"/>
    <col min="3068" max="3313" width="8.88671875" style="45" customWidth="1"/>
    <col min="3314" max="3314" width="5.109375" style="45" customWidth="1"/>
    <col min="3315" max="3315" width="22" style="45" customWidth="1"/>
    <col min="3316" max="3316" width="2.44140625" style="45" customWidth="1"/>
    <col min="3317" max="3317" width="32.109375" style="45" customWidth="1"/>
    <col min="3318" max="3319" width="8.88671875" style="45" customWidth="1"/>
    <col min="3320" max="3320" width="1.5546875" style="45" customWidth="1"/>
    <col min="3321" max="3321" width="4" style="45" customWidth="1"/>
    <col min="3322" max="3322" width="5" style="45" customWidth="1"/>
    <col min="3323" max="3323" width="4.109375" style="45" customWidth="1"/>
    <col min="3324" max="3569" width="8.88671875" style="45" customWidth="1"/>
    <col min="3570" max="3570" width="5.109375" style="45" customWidth="1"/>
    <col min="3571" max="3571" width="22" style="45" customWidth="1"/>
    <col min="3572" max="3572" width="2.44140625" style="45" customWidth="1"/>
    <col min="3573" max="3573" width="32.109375" style="45" customWidth="1"/>
    <col min="3574" max="3575" width="8.88671875" style="45" customWidth="1"/>
    <col min="3576" max="3576" width="1.5546875" style="45" customWidth="1"/>
    <col min="3577" max="3577" width="4" style="45" customWidth="1"/>
    <col min="3578" max="3578" width="5" style="45" customWidth="1"/>
    <col min="3579" max="3579" width="4.109375" style="45" customWidth="1"/>
    <col min="3580" max="3825" width="8.88671875" style="45" customWidth="1"/>
    <col min="3826" max="3826" width="5.109375" style="45" customWidth="1"/>
    <col min="3827" max="3827" width="22" style="45" customWidth="1"/>
    <col min="3828" max="3828" width="2.44140625" style="45" customWidth="1"/>
    <col min="3829" max="3829" width="32.109375" style="45" customWidth="1"/>
    <col min="3830" max="3831" width="8.88671875" style="45" customWidth="1"/>
    <col min="3832" max="3832" width="1.5546875" style="45" customWidth="1"/>
    <col min="3833" max="3833" width="4" style="45" customWidth="1"/>
    <col min="3834" max="3834" width="5" style="45" customWidth="1"/>
    <col min="3835" max="3835" width="4.109375" style="45" customWidth="1"/>
    <col min="3836" max="4081" width="8.88671875" style="45" customWidth="1"/>
    <col min="4082" max="4082" width="5.109375" style="45" customWidth="1"/>
    <col min="4083" max="4083" width="22" style="45" customWidth="1"/>
    <col min="4084" max="4084" width="2.44140625" style="45" customWidth="1"/>
    <col min="4085" max="4085" width="32.109375" style="45" customWidth="1"/>
    <col min="4086" max="4087" width="8.88671875" style="45" customWidth="1"/>
    <col min="4088" max="4088" width="1.5546875" style="45" customWidth="1"/>
    <col min="4089" max="4089" width="4" style="45" customWidth="1"/>
    <col min="4090" max="4090" width="5" style="45" customWidth="1"/>
    <col min="4091" max="4091" width="4.109375" style="45" customWidth="1"/>
    <col min="4092" max="4337" width="8.88671875" style="45" customWidth="1"/>
    <col min="4338" max="4338" width="5.109375" style="45" customWidth="1"/>
    <col min="4339" max="4339" width="22" style="45" customWidth="1"/>
    <col min="4340" max="4340" width="2.44140625" style="45" customWidth="1"/>
    <col min="4341" max="4341" width="32.109375" style="45" customWidth="1"/>
    <col min="4342" max="4343" width="8.88671875" style="45" customWidth="1"/>
    <col min="4344" max="4344" width="1.5546875" style="45" customWidth="1"/>
    <col min="4345" max="4345" width="4" style="45" customWidth="1"/>
    <col min="4346" max="4346" width="5" style="45" customWidth="1"/>
    <col min="4347" max="4347" width="4.109375" style="45" customWidth="1"/>
    <col min="4348" max="4593" width="8.88671875" style="45" customWidth="1"/>
    <col min="4594" max="4594" width="5.109375" style="45" customWidth="1"/>
    <col min="4595" max="4595" width="22" style="45" customWidth="1"/>
    <col min="4596" max="4596" width="2.44140625" style="45" customWidth="1"/>
    <col min="4597" max="4597" width="32.109375" style="45" customWidth="1"/>
    <col min="4598" max="4599" width="8.88671875" style="45" customWidth="1"/>
    <col min="4600" max="4600" width="1.5546875" style="45" customWidth="1"/>
    <col min="4601" max="4601" width="4" style="45" customWidth="1"/>
    <col min="4602" max="4602" width="5" style="45" customWidth="1"/>
    <col min="4603" max="4603" width="4.109375" style="45" customWidth="1"/>
    <col min="4604" max="4849" width="8.88671875" style="45" customWidth="1"/>
    <col min="4850" max="4850" width="5.109375" style="45" customWidth="1"/>
    <col min="4851" max="4851" width="22" style="45" customWidth="1"/>
    <col min="4852" max="4852" width="2.44140625" style="45" customWidth="1"/>
    <col min="4853" max="4853" width="32.109375" style="45" customWidth="1"/>
    <col min="4854" max="4855" width="8.88671875" style="45" customWidth="1"/>
    <col min="4856" max="4856" width="1.5546875" style="45" customWidth="1"/>
    <col min="4857" max="4857" width="4" style="45" customWidth="1"/>
    <col min="4858" max="4858" width="5" style="45" customWidth="1"/>
    <col min="4859" max="4859" width="4.109375" style="45" customWidth="1"/>
    <col min="4860" max="5105" width="8.88671875" style="45" customWidth="1"/>
    <col min="5106" max="5106" width="5.109375" style="45" customWidth="1"/>
    <col min="5107" max="5107" width="22" style="45" customWidth="1"/>
    <col min="5108" max="5108" width="2.44140625" style="45" customWidth="1"/>
    <col min="5109" max="5109" width="32.109375" style="45" customWidth="1"/>
    <col min="5110" max="5111" width="8.88671875" style="45" customWidth="1"/>
    <col min="5112" max="5112" width="1.5546875" style="45" customWidth="1"/>
    <col min="5113" max="5113" width="4" style="45" customWidth="1"/>
    <col min="5114" max="5114" width="5" style="45" customWidth="1"/>
    <col min="5115" max="5115" width="4.109375" style="45" customWidth="1"/>
    <col min="5116" max="5361" width="8.88671875" style="45" customWidth="1"/>
    <col min="5362" max="5362" width="5.109375" style="45" customWidth="1"/>
    <col min="5363" max="5363" width="22" style="45" customWidth="1"/>
    <col min="5364" max="5364" width="2.44140625" style="45" customWidth="1"/>
    <col min="5365" max="5365" width="32.109375" style="45" customWidth="1"/>
    <col min="5366" max="5367" width="8.88671875" style="45" customWidth="1"/>
    <col min="5368" max="5368" width="1.5546875" style="45" customWidth="1"/>
    <col min="5369" max="5369" width="4" style="45" customWidth="1"/>
    <col min="5370" max="5370" width="5" style="45" customWidth="1"/>
    <col min="5371" max="5371" width="4.109375" style="45" customWidth="1"/>
    <col min="5372" max="5617" width="8.88671875" style="45" customWidth="1"/>
    <col min="5618" max="5618" width="5.109375" style="45" customWidth="1"/>
    <col min="5619" max="5619" width="22" style="45" customWidth="1"/>
    <col min="5620" max="5620" width="2.44140625" style="45" customWidth="1"/>
    <col min="5621" max="5621" width="32.109375" style="45" customWidth="1"/>
    <col min="5622" max="5623" width="8.88671875" style="45" customWidth="1"/>
    <col min="5624" max="5624" width="1.5546875" style="45" customWidth="1"/>
    <col min="5625" max="5625" width="4" style="45" customWidth="1"/>
    <col min="5626" max="5626" width="5" style="45" customWidth="1"/>
    <col min="5627" max="5627" width="4.109375" style="45" customWidth="1"/>
    <col min="5628" max="5873" width="8.88671875" style="45" customWidth="1"/>
    <col min="5874" max="5874" width="5.109375" style="45" customWidth="1"/>
    <col min="5875" max="5875" width="22" style="45" customWidth="1"/>
    <col min="5876" max="5876" width="2.44140625" style="45" customWidth="1"/>
    <col min="5877" max="5877" width="32.109375" style="45" customWidth="1"/>
    <col min="5878" max="5879" width="8.88671875" style="45" customWidth="1"/>
    <col min="5880" max="5880" width="1.5546875" style="45" customWidth="1"/>
    <col min="5881" max="5881" width="4" style="45" customWidth="1"/>
    <col min="5882" max="5882" width="5" style="45" customWidth="1"/>
    <col min="5883" max="5883" width="4.109375" style="45" customWidth="1"/>
    <col min="5884" max="6129" width="8.88671875" style="45" customWidth="1"/>
    <col min="6130" max="6130" width="5.109375" style="45" customWidth="1"/>
    <col min="6131" max="6131" width="22" style="45" customWidth="1"/>
    <col min="6132" max="6132" width="2.44140625" style="45" customWidth="1"/>
    <col min="6133" max="6133" width="32.109375" style="45" customWidth="1"/>
    <col min="6134" max="6135" width="8.88671875" style="45" customWidth="1"/>
    <col min="6136" max="6136" width="1.5546875" style="45" customWidth="1"/>
    <col min="6137" max="6137" width="4" style="45" customWidth="1"/>
    <col min="6138" max="6138" width="5" style="45" customWidth="1"/>
    <col min="6139" max="6139" width="4.109375" style="45" customWidth="1"/>
    <col min="6140" max="6385" width="8.88671875" style="45" customWidth="1"/>
    <col min="6386" max="6386" width="5.109375" style="45" customWidth="1"/>
    <col min="6387" max="6387" width="22" style="45" customWidth="1"/>
    <col min="6388" max="6388" width="2.44140625" style="45" customWidth="1"/>
    <col min="6389" max="6389" width="32.109375" style="45" customWidth="1"/>
    <col min="6390" max="6391" width="8.88671875" style="45" customWidth="1"/>
    <col min="6392" max="6392" width="1.5546875" style="45" customWidth="1"/>
    <col min="6393" max="6393" width="4" style="45" customWidth="1"/>
    <col min="6394" max="6394" width="5" style="45" customWidth="1"/>
    <col min="6395" max="6395" width="4.109375" style="45" customWidth="1"/>
    <col min="6396" max="6641" width="8.88671875" style="45" customWidth="1"/>
    <col min="6642" max="6642" width="5.109375" style="45" customWidth="1"/>
    <col min="6643" max="6643" width="22" style="45" customWidth="1"/>
    <col min="6644" max="6644" width="2.44140625" style="45" customWidth="1"/>
    <col min="6645" max="6645" width="32.109375" style="45" customWidth="1"/>
    <col min="6646" max="6647" width="8.88671875" style="45" customWidth="1"/>
    <col min="6648" max="6648" width="1.5546875" style="45" customWidth="1"/>
    <col min="6649" max="6649" width="4" style="45" customWidth="1"/>
    <col min="6650" max="6650" width="5" style="45" customWidth="1"/>
    <col min="6651" max="6651" width="4.109375" style="45" customWidth="1"/>
    <col min="6652" max="6897" width="8.88671875" style="45" customWidth="1"/>
    <col min="6898" max="6898" width="5.109375" style="45" customWidth="1"/>
    <col min="6899" max="6899" width="22" style="45" customWidth="1"/>
    <col min="6900" max="6900" width="2.44140625" style="45" customWidth="1"/>
    <col min="6901" max="6901" width="32.109375" style="45" customWidth="1"/>
    <col min="6902" max="6903" width="8.88671875" style="45" customWidth="1"/>
    <col min="6904" max="6904" width="1.5546875" style="45" customWidth="1"/>
    <col min="6905" max="6905" width="4" style="45" customWidth="1"/>
    <col min="6906" max="6906" width="5" style="45" customWidth="1"/>
    <col min="6907" max="6907" width="4.109375" style="45" customWidth="1"/>
    <col min="6908" max="7153" width="8.88671875" style="45" customWidth="1"/>
    <col min="7154" max="7154" width="5.109375" style="45" customWidth="1"/>
    <col min="7155" max="7155" width="22" style="45" customWidth="1"/>
    <col min="7156" max="7156" width="2.44140625" style="45" customWidth="1"/>
    <col min="7157" max="7157" width="32.109375" style="45" customWidth="1"/>
    <col min="7158" max="7159" width="8.88671875" style="45" customWidth="1"/>
    <col min="7160" max="7160" width="1.5546875" style="45" customWidth="1"/>
    <col min="7161" max="7161" width="4" style="45" customWidth="1"/>
    <col min="7162" max="7162" width="5" style="45" customWidth="1"/>
    <col min="7163" max="7163" width="4.109375" style="45" customWidth="1"/>
    <col min="7164" max="7409" width="8.88671875" style="45" customWidth="1"/>
    <col min="7410" max="7410" width="5.109375" style="45" customWidth="1"/>
    <col min="7411" max="7411" width="22" style="45" customWidth="1"/>
    <col min="7412" max="7412" width="2.44140625" style="45" customWidth="1"/>
    <col min="7413" max="7413" width="32.109375" style="45" customWidth="1"/>
    <col min="7414" max="7415" width="8.88671875" style="45" customWidth="1"/>
    <col min="7416" max="7416" width="1.5546875" style="45" customWidth="1"/>
    <col min="7417" max="7417" width="4" style="45" customWidth="1"/>
    <col min="7418" max="7418" width="5" style="45" customWidth="1"/>
    <col min="7419" max="7419" width="4.109375" style="45" customWidth="1"/>
    <col min="7420" max="7665" width="8.88671875" style="45" customWidth="1"/>
    <col min="7666" max="7666" width="5.109375" style="45" customWidth="1"/>
    <col min="7667" max="7667" width="22" style="45" customWidth="1"/>
    <col min="7668" max="7668" width="2.44140625" style="45" customWidth="1"/>
    <col min="7669" max="7669" width="32.109375" style="45" customWidth="1"/>
    <col min="7670" max="7671" width="8.88671875" style="45" customWidth="1"/>
    <col min="7672" max="7672" width="1.5546875" style="45" customWidth="1"/>
    <col min="7673" max="7673" width="4" style="45" customWidth="1"/>
    <col min="7674" max="7674" width="5" style="45" customWidth="1"/>
    <col min="7675" max="7675" width="4.109375" style="45" customWidth="1"/>
    <col min="7676" max="7921" width="8.88671875" style="45" customWidth="1"/>
    <col min="7922" max="7922" width="5.109375" style="45" customWidth="1"/>
    <col min="7923" max="7923" width="22" style="45" customWidth="1"/>
    <col min="7924" max="7924" width="2.44140625" style="45" customWidth="1"/>
    <col min="7925" max="7925" width="32.109375" style="45" customWidth="1"/>
    <col min="7926" max="7927" width="8.88671875" style="45" customWidth="1"/>
    <col min="7928" max="7928" width="1.5546875" style="45" customWidth="1"/>
    <col min="7929" max="7929" width="4" style="45" customWidth="1"/>
    <col min="7930" max="7930" width="5" style="45" customWidth="1"/>
    <col min="7931" max="7931" width="4.109375" style="45" customWidth="1"/>
    <col min="7932" max="8177" width="8.88671875" style="45" customWidth="1"/>
    <col min="8178" max="8178" width="5.109375" style="45" customWidth="1"/>
    <col min="8179" max="8179" width="22" style="45" customWidth="1"/>
    <col min="8180" max="8180" width="2.44140625" style="45" customWidth="1"/>
    <col min="8181" max="8181" width="32.109375" style="45" customWidth="1"/>
    <col min="8182" max="8183" width="8.88671875" style="45" customWidth="1"/>
    <col min="8184" max="8184" width="1.5546875" style="45" customWidth="1"/>
    <col min="8185" max="8185" width="4" style="45" customWidth="1"/>
    <col min="8186" max="8186" width="5" style="45" customWidth="1"/>
    <col min="8187" max="8187" width="4.109375" style="45" customWidth="1"/>
    <col min="8188" max="8433" width="8.88671875" style="45" customWidth="1"/>
    <col min="8434" max="8434" width="5.109375" style="45" customWidth="1"/>
    <col min="8435" max="8435" width="22" style="45" customWidth="1"/>
    <col min="8436" max="8436" width="2.44140625" style="45" customWidth="1"/>
    <col min="8437" max="8437" width="32.109375" style="45" customWidth="1"/>
    <col min="8438" max="8439" width="8.88671875" style="45" customWidth="1"/>
    <col min="8440" max="8440" width="1.5546875" style="45" customWidth="1"/>
    <col min="8441" max="8441" width="4" style="45" customWidth="1"/>
    <col min="8442" max="8442" width="5" style="45" customWidth="1"/>
    <col min="8443" max="8443" width="4.109375" style="45" customWidth="1"/>
    <col min="8444" max="8689" width="8.88671875" style="45" customWidth="1"/>
    <col min="8690" max="8690" width="5.109375" style="45" customWidth="1"/>
    <col min="8691" max="8691" width="22" style="45" customWidth="1"/>
    <col min="8692" max="8692" width="2.44140625" style="45" customWidth="1"/>
    <col min="8693" max="8693" width="32.109375" style="45" customWidth="1"/>
    <col min="8694" max="8695" width="8.88671875" style="45" customWidth="1"/>
    <col min="8696" max="8696" width="1.5546875" style="45" customWidth="1"/>
    <col min="8697" max="8697" width="4" style="45" customWidth="1"/>
    <col min="8698" max="8698" width="5" style="45" customWidth="1"/>
    <col min="8699" max="8699" width="4.109375" style="45" customWidth="1"/>
    <col min="8700" max="8945" width="8.88671875" style="45" customWidth="1"/>
    <col min="8946" max="8946" width="5.109375" style="45" customWidth="1"/>
    <col min="8947" max="8947" width="22" style="45" customWidth="1"/>
    <col min="8948" max="8948" width="2.44140625" style="45" customWidth="1"/>
    <col min="8949" max="8949" width="32.109375" style="45" customWidth="1"/>
    <col min="8950" max="8951" width="8.88671875" style="45" customWidth="1"/>
    <col min="8952" max="8952" width="1.5546875" style="45" customWidth="1"/>
    <col min="8953" max="8953" width="4" style="45" customWidth="1"/>
    <col min="8954" max="8954" width="5" style="45" customWidth="1"/>
    <col min="8955" max="8955" width="4.109375" style="45" customWidth="1"/>
    <col min="8956" max="9201" width="8.88671875" style="45" customWidth="1"/>
    <col min="9202" max="9202" width="5.109375" style="45" customWidth="1"/>
    <col min="9203" max="9203" width="22" style="45" customWidth="1"/>
    <col min="9204" max="9204" width="2.44140625" style="45" customWidth="1"/>
    <col min="9205" max="9205" width="32.109375" style="45" customWidth="1"/>
    <col min="9206" max="9207" width="8.88671875" style="45" customWidth="1"/>
    <col min="9208" max="9208" width="1.5546875" style="45" customWidth="1"/>
    <col min="9209" max="9209" width="4" style="45" customWidth="1"/>
    <col min="9210" max="9210" width="5" style="45" customWidth="1"/>
    <col min="9211" max="9211" width="4.109375" style="45" customWidth="1"/>
    <col min="9212" max="9457" width="8.88671875" style="45" customWidth="1"/>
    <col min="9458" max="9458" width="5.109375" style="45" customWidth="1"/>
    <col min="9459" max="9459" width="22" style="45" customWidth="1"/>
    <col min="9460" max="9460" width="2.44140625" style="45" customWidth="1"/>
    <col min="9461" max="9461" width="32.109375" style="45" customWidth="1"/>
    <col min="9462" max="9463" width="8.88671875" style="45" customWidth="1"/>
    <col min="9464" max="9464" width="1.5546875" style="45" customWidth="1"/>
    <col min="9465" max="9465" width="4" style="45" customWidth="1"/>
    <col min="9466" max="9466" width="5" style="45" customWidth="1"/>
    <col min="9467" max="9467" width="4.109375" style="45" customWidth="1"/>
    <col min="9468" max="9713" width="8.88671875" style="45" customWidth="1"/>
    <col min="9714" max="9714" width="5.109375" style="45" customWidth="1"/>
    <col min="9715" max="9715" width="22" style="45" customWidth="1"/>
    <col min="9716" max="9716" width="2.44140625" style="45" customWidth="1"/>
    <col min="9717" max="9717" width="32.109375" style="45" customWidth="1"/>
    <col min="9718" max="9719" width="8.88671875" style="45" customWidth="1"/>
    <col min="9720" max="9720" width="1.5546875" style="45" customWidth="1"/>
    <col min="9721" max="9721" width="4" style="45" customWidth="1"/>
    <col min="9722" max="9722" width="5" style="45" customWidth="1"/>
    <col min="9723" max="9723" width="4.109375" style="45" customWidth="1"/>
    <col min="9724" max="9969" width="8.88671875" style="45" customWidth="1"/>
    <col min="9970" max="9970" width="5.109375" style="45" customWidth="1"/>
    <col min="9971" max="9971" width="22" style="45" customWidth="1"/>
    <col min="9972" max="9972" width="2.44140625" style="45" customWidth="1"/>
    <col min="9973" max="9973" width="32.109375" style="45" customWidth="1"/>
    <col min="9974" max="9975" width="8.88671875" style="45" customWidth="1"/>
    <col min="9976" max="9976" width="1.5546875" style="45" customWidth="1"/>
    <col min="9977" max="9977" width="4" style="45" customWidth="1"/>
    <col min="9978" max="9978" width="5" style="45" customWidth="1"/>
    <col min="9979" max="9979" width="4.109375" style="45" customWidth="1"/>
    <col min="9980" max="10225" width="8.88671875" style="45" customWidth="1"/>
    <col min="10226" max="10226" width="5.109375" style="45" customWidth="1"/>
    <col min="10227" max="10227" width="22" style="45" customWidth="1"/>
    <col min="10228" max="10228" width="2.44140625" style="45" customWidth="1"/>
    <col min="10229" max="10229" width="32.109375" style="45" customWidth="1"/>
    <col min="10230" max="10231" width="8.88671875" style="45" customWidth="1"/>
    <col min="10232" max="10232" width="1.5546875" style="45" customWidth="1"/>
    <col min="10233" max="10233" width="4" style="45" customWidth="1"/>
    <col min="10234" max="10234" width="5" style="45" customWidth="1"/>
    <col min="10235" max="10235" width="4.109375" style="45" customWidth="1"/>
    <col min="10236" max="10481" width="8.88671875" style="45" customWidth="1"/>
    <col min="10482" max="10482" width="5.109375" style="45" customWidth="1"/>
    <col min="10483" max="10483" width="22" style="45" customWidth="1"/>
    <col min="10484" max="10484" width="2.44140625" style="45" customWidth="1"/>
    <col min="10485" max="10485" width="32.109375" style="45" customWidth="1"/>
    <col min="10486" max="10487" width="8.88671875" style="45" customWidth="1"/>
    <col min="10488" max="10488" width="1.5546875" style="45" customWidth="1"/>
    <col min="10489" max="10489" width="4" style="45" customWidth="1"/>
    <col min="10490" max="10490" width="5" style="45" customWidth="1"/>
    <col min="10491" max="10491" width="4.109375" style="45" customWidth="1"/>
    <col min="10492" max="10737" width="8.88671875" style="45" customWidth="1"/>
    <col min="10738" max="10738" width="5.109375" style="45" customWidth="1"/>
    <col min="10739" max="10739" width="22" style="45" customWidth="1"/>
    <col min="10740" max="10740" width="2.44140625" style="45" customWidth="1"/>
    <col min="10741" max="10741" width="32.109375" style="45" customWidth="1"/>
    <col min="10742" max="10743" width="8.88671875" style="45" customWidth="1"/>
    <col min="10744" max="10744" width="1.5546875" style="45" customWidth="1"/>
    <col min="10745" max="10745" width="4" style="45" customWidth="1"/>
    <col min="10746" max="10746" width="5" style="45" customWidth="1"/>
    <col min="10747" max="10747" width="4.109375" style="45" customWidth="1"/>
    <col min="10748" max="10993" width="8.88671875" style="45" customWidth="1"/>
    <col min="10994" max="10994" width="5.109375" style="45" customWidth="1"/>
    <col min="10995" max="10995" width="22" style="45" customWidth="1"/>
    <col min="10996" max="10996" width="2.44140625" style="45" customWidth="1"/>
    <col min="10997" max="10997" width="32.109375" style="45" customWidth="1"/>
    <col min="10998" max="10999" width="8.88671875" style="45" customWidth="1"/>
    <col min="11000" max="11000" width="1.5546875" style="45" customWidth="1"/>
    <col min="11001" max="11001" width="4" style="45" customWidth="1"/>
    <col min="11002" max="11002" width="5" style="45" customWidth="1"/>
    <col min="11003" max="11003" width="4.109375" style="45" customWidth="1"/>
    <col min="11004" max="11249" width="8.88671875" style="45" customWidth="1"/>
    <col min="11250" max="11250" width="5.109375" style="45" customWidth="1"/>
    <col min="11251" max="11251" width="22" style="45" customWidth="1"/>
    <col min="11252" max="11252" width="2.44140625" style="45" customWidth="1"/>
    <col min="11253" max="11253" width="32.109375" style="45" customWidth="1"/>
    <col min="11254" max="11255" width="8.88671875" style="45" customWidth="1"/>
    <col min="11256" max="11256" width="1.5546875" style="45" customWidth="1"/>
    <col min="11257" max="11257" width="4" style="45" customWidth="1"/>
    <col min="11258" max="11258" width="5" style="45" customWidth="1"/>
    <col min="11259" max="11259" width="4.109375" style="45" customWidth="1"/>
    <col min="11260" max="11505" width="8.88671875" style="45" customWidth="1"/>
    <col min="11506" max="11506" width="5.109375" style="45" customWidth="1"/>
    <col min="11507" max="11507" width="22" style="45" customWidth="1"/>
    <col min="11508" max="11508" width="2.44140625" style="45" customWidth="1"/>
    <col min="11509" max="11509" width="32.109375" style="45" customWidth="1"/>
    <col min="11510" max="11511" width="8.88671875" style="45" customWidth="1"/>
    <col min="11512" max="11512" width="1.5546875" style="45" customWidth="1"/>
    <col min="11513" max="11513" width="4" style="45" customWidth="1"/>
    <col min="11514" max="11514" width="5" style="45" customWidth="1"/>
    <col min="11515" max="11515" width="4.109375" style="45" customWidth="1"/>
    <col min="11516" max="11761" width="8.88671875" style="45" customWidth="1"/>
    <col min="11762" max="11762" width="5.109375" style="45" customWidth="1"/>
    <col min="11763" max="11763" width="22" style="45" customWidth="1"/>
    <col min="11764" max="11764" width="2.44140625" style="45" customWidth="1"/>
    <col min="11765" max="11765" width="32.109375" style="45" customWidth="1"/>
    <col min="11766" max="11767" width="8.88671875" style="45" customWidth="1"/>
    <col min="11768" max="11768" width="1.5546875" style="45" customWidth="1"/>
    <col min="11769" max="11769" width="4" style="45" customWidth="1"/>
    <col min="11770" max="11770" width="5" style="45" customWidth="1"/>
    <col min="11771" max="11771" width="4.109375" style="45" customWidth="1"/>
    <col min="11772" max="12017" width="8.88671875" style="45" customWidth="1"/>
    <col min="12018" max="12018" width="5.109375" style="45" customWidth="1"/>
    <col min="12019" max="12019" width="22" style="45" customWidth="1"/>
    <col min="12020" max="12020" width="2.44140625" style="45" customWidth="1"/>
    <col min="12021" max="12021" width="32.109375" style="45" customWidth="1"/>
    <col min="12022" max="12023" width="8.88671875" style="45" customWidth="1"/>
    <col min="12024" max="12024" width="1.5546875" style="45" customWidth="1"/>
    <col min="12025" max="12025" width="4" style="45" customWidth="1"/>
    <col min="12026" max="12026" width="5" style="45" customWidth="1"/>
    <col min="12027" max="12027" width="4.109375" style="45" customWidth="1"/>
    <col min="12028" max="12273" width="8.88671875" style="45" customWidth="1"/>
    <col min="12274" max="12274" width="5.109375" style="45" customWidth="1"/>
    <col min="12275" max="12275" width="22" style="45" customWidth="1"/>
    <col min="12276" max="12276" width="2.44140625" style="45" customWidth="1"/>
    <col min="12277" max="12277" width="32.109375" style="45" customWidth="1"/>
    <col min="12278" max="12279" width="8.88671875" style="45" customWidth="1"/>
    <col min="12280" max="12280" width="1.5546875" style="45" customWidth="1"/>
    <col min="12281" max="12281" width="4" style="45" customWidth="1"/>
    <col min="12282" max="12282" width="5" style="45" customWidth="1"/>
    <col min="12283" max="12283" width="4.109375" style="45" customWidth="1"/>
    <col min="12284" max="12529" width="8.88671875" style="45" customWidth="1"/>
    <col min="12530" max="12530" width="5.109375" style="45" customWidth="1"/>
    <col min="12531" max="12531" width="22" style="45" customWidth="1"/>
    <col min="12532" max="12532" width="2.44140625" style="45" customWidth="1"/>
    <col min="12533" max="12533" width="32.109375" style="45" customWidth="1"/>
    <col min="12534" max="12535" width="8.88671875" style="45" customWidth="1"/>
    <col min="12536" max="12536" width="1.5546875" style="45" customWidth="1"/>
    <col min="12537" max="12537" width="4" style="45" customWidth="1"/>
    <col min="12538" max="12538" width="5" style="45" customWidth="1"/>
    <col min="12539" max="12539" width="4.109375" style="45" customWidth="1"/>
    <col min="12540" max="12785" width="8.88671875" style="45" customWidth="1"/>
    <col min="12786" max="12786" width="5.109375" style="45" customWidth="1"/>
    <col min="12787" max="12787" width="22" style="45" customWidth="1"/>
    <col min="12788" max="12788" width="2.44140625" style="45" customWidth="1"/>
    <col min="12789" max="12789" width="32.109375" style="45" customWidth="1"/>
    <col min="12790" max="12791" width="8.88671875" style="45" customWidth="1"/>
    <col min="12792" max="12792" width="1.5546875" style="45" customWidth="1"/>
    <col min="12793" max="12793" width="4" style="45" customWidth="1"/>
    <col min="12794" max="12794" width="5" style="45" customWidth="1"/>
    <col min="12795" max="12795" width="4.109375" style="45" customWidth="1"/>
    <col min="12796" max="13041" width="8.88671875" style="45" customWidth="1"/>
    <col min="13042" max="13042" width="5.109375" style="45" customWidth="1"/>
    <col min="13043" max="13043" width="22" style="45" customWidth="1"/>
    <col min="13044" max="13044" width="2.44140625" style="45" customWidth="1"/>
    <col min="13045" max="13045" width="32.109375" style="45" customWidth="1"/>
    <col min="13046" max="13047" width="8.88671875" style="45" customWidth="1"/>
    <col min="13048" max="13048" width="1.5546875" style="45" customWidth="1"/>
    <col min="13049" max="13049" width="4" style="45" customWidth="1"/>
    <col min="13050" max="13050" width="5" style="45" customWidth="1"/>
    <col min="13051" max="13051" width="4.109375" style="45" customWidth="1"/>
    <col min="13052" max="13297" width="8.88671875" style="45" customWidth="1"/>
    <col min="13298" max="13298" width="5.109375" style="45" customWidth="1"/>
    <col min="13299" max="13299" width="22" style="45" customWidth="1"/>
    <col min="13300" max="13300" width="2.44140625" style="45" customWidth="1"/>
    <col min="13301" max="13301" width="32.109375" style="45" customWidth="1"/>
    <col min="13302" max="13303" width="8.88671875" style="45" customWidth="1"/>
    <col min="13304" max="13304" width="1.5546875" style="45" customWidth="1"/>
    <col min="13305" max="13305" width="4" style="45" customWidth="1"/>
    <col min="13306" max="13306" width="5" style="45" customWidth="1"/>
    <col min="13307" max="13307" width="4.109375" style="45" customWidth="1"/>
    <col min="13308" max="13553" width="8.88671875" style="45" customWidth="1"/>
    <col min="13554" max="13554" width="5.109375" style="45" customWidth="1"/>
    <col min="13555" max="13555" width="22" style="45" customWidth="1"/>
    <col min="13556" max="13556" width="2.44140625" style="45" customWidth="1"/>
    <col min="13557" max="13557" width="32.109375" style="45" customWidth="1"/>
    <col min="13558" max="13559" width="8.88671875" style="45" customWidth="1"/>
    <col min="13560" max="13560" width="1.5546875" style="45" customWidth="1"/>
    <col min="13561" max="13561" width="4" style="45" customWidth="1"/>
    <col min="13562" max="13562" width="5" style="45" customWidth="1"/>
    <col min="13563" max="13563" width="4.109375" style="45" customWidth="1"/>
    <col min="13564" max="13809" width="8.88671875" style="45" customWidth="1"/>
    <col min="13810" max="13810" width="5.109375" style="45" customWidth="1"/>
    <col min="13811" max="13811" width="22" style="45" customWidth="1"/>
    <col min="13812" max="13812" width="2.44140625" style="45" customWidth="1"/>
    <col min="13813" max="13813" width="32.109375" style="45" customWidth="1"/>
    <col min="13814" max="13815" width="8.88671875" style="45" customWidth="1"/>
    <col min="13816" max="13816" width="1.5546875" style="45" customWidth="1"/>
    <col min="13817" max="13817" width="4" style="45" customWidth="1"/>
    <col min="13818" max="13818" width="5" style="45" customWidth="1"/>
    <col min="13819" max="13819" width="4.109375" style="45" customWidth="1"/>
    <col min="13820" max="14065" width="8.88671875" style="45" customWidth="1"/>
    <col min="14066" max="14066" width="5.109375" style="45" customWidth="1"/>
    <col min="14067" max="14067" width="22" style="45" customWidth="1"/>
    <col min="14068" max="14068" width="2.44140625" style="45" customWidth="1"/>
    <col min="14069" max="14069" width="32.109375" style="45" customWidth="1"/>
    <col min="14070" max="14071" width="8.88671875" style="45" customWidth="1"/>
    <col min="14072" max="14072" width="1.5546875" style="45" customWidth="1"/>
    <col min="14073" max="14073" width="4" style="45" customWidth="1"/>
    <col min="14074" max="14074" width="5" style="45" customWidth="1"/>
    <col min="14075" max="14075" width="4.109375" style="45" customWidth="1"/>
    <col min="14076" max="14321" width="8.88671875" style="45" customWidth="1"/>
    <col min="14322" max="14322" width="5.109375" style="45" customWidth="1"/>
    <col min="14323" max="14323" width="22" style="45" customWidth="1"/>
    <col min="14324" max="14324" width="2.44140625" style="45" customWidth="1"/>
    <col min="14325" max="14325" width="32.109375" style="45" customWidth="1"/>
    <col min="14326" max="14327" width="8.88671875" style="45" customWidth="1"/>
    <col min="14328" max="14328" width="1.5546875" style="45" customWidth="1"/>
    <col min="14329" max="14329" width="4" style="45" customWidth="1"/>
    <col min="14330" max="14330" width="5" style="45" customWidth="1"/>
    <col min="14331" max="14331" width="4.109375" style="45" customWidth="1"/>
    <col min="14332" max="14577" width="8.88671875" style="45" customWidth="1"/>
    <col min="14578" max="14578" width="5.109375" style="45" customWidth="1"/>
    <col min="14579" max="14579" width="22" style="45" customWidth="1"/>
    <col min="14580" max="14580" width="2.44140625" style="45" customWidth="1"/>
    <col min="14581" max="14581" width="32.109375" style="45" customWidth="1"/>
    <col min="14582" max="14583" width="8.88671875" style="45" customWidth="1"/>
    <col min="14584" max="14584" width="1.5546875" style="45" customWidth="1"/>
    <col min="14585" max="14585" width="4" style="45" customWidth="1"/>
    <col min="14586" max="14586" width="5" style="45" customWidth="1"/>
    <col min="14587" max="14587" width="4.109375" style="45" customWidth="1"/>
    <col min="14588" max="14833" width="8.88671875" style="45" customWidth="1"/>
    <col min="14834" max="14834" width="5.109375" style="45" customWidth="1"/>
    <col min="14835" max="14835" width="22" style="45" customWidth="1"/>
    <col min="14836" max="14836" width="2.44140625" style="45" customWidth="1"/>
    <col min="14837" max="14837" width="32.109375" style="45" customWidth="1"/>
    <col min="14838" max="14839" width="8.88671875" style="45" customWidth="1"/>
    <col min="14840" max="14840" width="1.5546875" style="45" customWidth="1"/>
    <col min="14841" max="14841" width="4" style="45" customWidth="1"/>
    <col min="14842" max="14842" width="5" style="45" customWidth="1"/>
    <col min="14843" max="14843" width="4.109375" style="45" customWidth="1"/>
    <col min="14844" max="15089" width="8.88671875" style="45" customWidth="1"/>
    <col min="15090" max="15090" width="5.109375" style="45" customWidth="1"/>
    <col min="15091" max="15091" width="22" style="45" customWidth="1"/>
    <col min="15092" max="15092" width="2.44140625" style="45" customWidth="1"/>
    <col min="15093" max="15093" width="32.109375" style="45" customWidth="1"/>
    <col min="15094" max="15095" width="8.88671875" style="45" customWidth="1"/>
    <col min="15096" max="15096" width="1.5546875" style="45" customWidth="1"/>
    <col min="15097" max="15097" width="4" style="45" customWidth="1"/>
    <col min="15098" max="15098" width="5" style="45" customWidth="1"/>
    <col min="15099" max="15099" width="4.109375" style="45" customWidth="1"/>
    <col min="15100" max="15345" width="8.88671875" style="45" customWidth="1"/>
    <col min="15346" max="15346" width="5.109375" style="45" customWidth="1"/>
    <col min="15347" max="15347" width="22" style="45" customWidth="1"/>
    <col min="15348" max="15348" width="2.44140625" style="45" customWidth="1"/>
    <col min="15349" max="15349" width="32.109375" style="45" customWidth="1"/>
    <col min="15350" max="15351" width="8.88671875" style="45" customWidth="1"/>
    <col min="15352" max="15352" width="1.5546875" style="45" customWidth="1"/>
    <col min="15353" max="15353" width="4" style="45" customWidth="1"/>
    <col min="15354" max="15354" width="5" style="45" customWidth="1"/>
    <col min="15355" max="15355" width="4.109375" style="45" customWidth="1"/>
    <col min="15356" max="15601" width="8.88671875" style="45" customWidth="1"/>
    <col min="15602" max="15602" width="5.109375" style="45" customWidth="1"/>
    <col min="15603" max="15603" width="22" style="45" customWidth="1"/>
    <col min="15604" max="15604" width="2.44140625" style="45" customWidth="1"/>
    <col min="15605" max="15605" width="32.109375" style="45" customWidth="1"/>
    <col min="15606" max="15607" width="8.88671875" style="45" customWidth="1"/>
    <col min="15608" max="15608" width="1.5546875" style="45" customWidth="1"/>
    <col min="15609" max="15609" width="4" style="45" customWidth="1"/>
    <col min="15610" max="15610" width="5" style="45" customWidth="1"/>
    <col min="15611" max="15611" width="4.109375" style="45" customWidth="1"/>
    <col min="15612" max="15857" width="8.88671875" style="45" customWidth="1"/>
    <col min="15858" max="15858" width="5.109375" style="45" customWidth="1"/>
    <col min="15859" max="15859" width="22" style="45" customWidth="1"/>
    <col min="15860" max="15860" width="2.44140625" style="45" customWidth="1"/>
    <col min="15861" max="15861" width="32.109375" style="45" customWidth="1"/>
    <col min="15862" max="15863" width="8.88671875" style="45" customWidth="1"/>
    <col min="15864" max="15864" width="1.5546875" style="45" customWidth="1"/>
    <col min="15865" max="15865" width="4" style="45" customWidth="1"/>
    <col min="15866" max="15866" width="5" style="45" customWidth="1"/>
    <col min="15867" max="15867" width="4.109375" style="45" customWidth="1"/>
    <col min="15868" max="16113" width="8.88671875" style="45" customWidth="1"/>
    <col min="16114" max="16114" width="5.109375" style="45" customWidth="1"/>
    <col min="16115" max="16115" width="22" style="45" customWidth="1"/>
    <col min="16116" max="16116" width="2.44140625" style="45" customWidth="1"/>
    <col min="16117" max="16117" width="32.109375" style="45" customWidth="1"/>
    <col min="16118" max="16119" width="8.88671875" style="45" customWidth="1"/>
    <col min="16120" max="16120" width="1.5546875" style="45" customWidth="1"/>
    <col min="16121" max="16121" width="4" style="45" customWidth="1"/>
    <col min="16122" max="16122" width="5" style="45" customWidth="1"/>
    <col min="16123" max="16123" width="4.109375" style="45" customWidth="1"/>
    <col min="16124" max="16384" width="8.88671875" style="45" customWidth="1"/>
  </cols>
  <sheetData>
    <row r="1" spans="1:14" ht="30" customHeight="1" x14ac:dyDescent="0.25">
      <c r="A1" s="366" t="s">
        <v>114</v>
      </c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</row>
    <row r="2" spans="1:14" ht="13.95" customHeight="1" x14ac:dyDescent="0.25">
      <c r="A2" s="46" t="s">
        <v>115</v>
      </c>
      <c r="B2" s="364" t="s">
        <v>46</v>
      </c>
      <c r="C2" s="363" t="str">
        <f>CONCATENATE('INPUT DATA'!E11,"-",'INPUT DATA'!F11,'INPUT DATA'!G11,"-",'INPUT DATA'!H11)</f>
        <v>PAS-K25-999999</v>
      </c>
      <c r="D2" s="363"/>
      <c r="E2" s="363"/>
      <c r="F2" s="363"/>
      <c r="I2" s="47" t="s">
        <v>116</v>
      </c>
      <c r="J2" s="367" t="s">
        <v>46</v>
      </c>
      <c r="K2" s="364">
        <v>1</v>
      </c>
      <c r="L2" s="367" t="s">
        <v>117</v>
      </c>
      <c r="M2" s="367"/>
      <c r="N2" s="364">
        <v>2</v>
      </c>
    </row>
    <row r="3" spans="1:14" ht="12" customHeight="1" x14ac:dyDescent="0.25">
      <c r="A3" s="48" t="s">
        <v>118</v>
      </c>
      <c r="B3" s="364"/>
      <c r="C3" s="363"/>
      <c r="D3" s="363"/>
      <c r="E3" s="363"/>
      <c r="F3" s="363"/>
      <c r="I3" s="49" t="s">
        <v>119</v>
      </c>
      <c r="J3" s="367"/>
      <c r="K3" s="364"/>
      <c r="L3" s="368" t="s">
        <v>120</v>
      </c>
      <c r="M3" s="368"/>
      <c r="N3" s="364"/>
    </row>
    <row r="4" spans="1:14" ht="6" customHeight="1" x14ac:dyDescent="0.25">
      <c r="A4" s="48"/>
      <c r="B4" s="50"/>
      <c r="C4" s="51"/>
      <c r="D4" s="51"/>
      <c r="E4" s="52"/>
      <c r="F4" s="52"/>
    </row>
    <row r="5" spans="1:14" ht="13.95" customHeight="1" x14ac:dyDescent="0.25">
      <c r="A5" s="46" t="s">
        <v>121</v>
      </c>
      <c r="B5" s="364" t="s">
        <v>46</v>
      </c>
      <c r="C5" s="357" t="str">
        <f>CONCATENATE('INPUT DATA'!E10," ",'INPUT DATA'!F10," ",'INPUT DATA'!H10)</f>
        <v xml:space="preserve"> September 2025</v>
      </c>
      <c r="D5" s="357"/>
      <c r="E5" s="357"/>
      <c r="F5" s="357"/>
    </row>
    <row r="6" spans="1:14" ht="12" customHeight="1" x14ac:dyDescent="0.25">
      <c r="A6" s="48" t="s">
        <v>122</v>
      </c>
      <c r="B6" s="364"/>
      <c r="C6" s="357"/>
      <c r="D6" s="357"/>
      <c r="E6" s="357"/>
      <c r="F6" s="357"/>
    </row>
    <row r="7" spans="1:14" ht="10.199999999999999" customHeight="1" x14ac:dyDescent="0.25"/>
    <row r="8" spans="1:14" ht="13.95" customHeight="1" x14ac:dyDescent="0.25">
      <c r="A8" s="358" t="s">
        <v>123</v>
      </c>
      <c r="B8" s="358"/>
      <c r="C8" s="358"/>
      <c r="D8" s="358"/>
      <c r="E8" s="358"/>
      <c r="F8" s="358"/>
      <c r="G8" s="358"/>
      <c r="H8" s="358"/>
      <c r="I8" s="358"/>
      <c r="J8" s="358"/>
      <c r="K8" s="358"/>
      <c r="L8" s="358"/>
      <c r="M8" s="358"/>
      <c r="N8" s="358"/>
    </row>
    <row r="9" spans="1:14" ht="13.95" customHeight="1" x14ac:dyDescent="0.25">
      <c r="A9" s="365" t="s">
        <v>124</v>
      </c>
      <c r="B9" s="365"/>
      <c r="C9" s="365"/>
      <c r="D9" s="365"/>
      <c r="E9" s="365"/>
      <c r="F9" s="365"/>
      <c r="G9" s="365"/>
      <c r="H9" s="365"/>
      <c r="I9" s="365"/>
      <c r="J9" s="365"/>
      <c r="K9" s="365"/>
      <c r="L9" s="365"/>
      <c r="M9" s="365"/>
      <c r="N9" s="365"/>
    </row>
    <row r="10" spans="1:14" ht="6" customHeight="1" x14ac:dyDescent="0.25"/>
    <row r="11" spans="1:14" ht="13.95" customHeight="1" x14ac:dyDescent="0.25">
      <c r="A11" s="46" t="s">
        <v>1</v>
      </c>
      <c r="B11" s="53" t="s">
        <v>46</v>
      </c>
      <c r="C11" s="357" t="str">
        <f>CONCATENATE('INPUT DATA'!E14)</f>
        <v>Depth Micrometer</v>
      </c>
      <c r="D11" s="357"/>
      <c r="E11" s="357"/>
      <c r="F11" s="357"/>
      <c r="G11" s="357"/>
      <c r="H11" s="357"/>
      <c r="I11" s="357"/>
      <c r="J11" s="357"/>
      <c r="K11" s="357"/>
      <c r="L11" s="357"/>
      <c r="M11" s="357"/>
      <c r="N11" s="357"/>
    </row>
    <row r="12" spans="1:14" ht="12" customHeight="1" x14ac:dyDescent="0.25">
      <c r="A12" s="48" t="s">
        <v>125</v>
      </c>
      <c r="B12" s="53"/>
    </row>
    <row r="13" spans="1:14" ht="6" customHeight="1" x14ac:dyDescent="0.25">
      <c r="A13" s="48"/>
      <c r="B13" s="53"/>
    </row>
    <row r="14" spans="1:14" ht="13.95" customHeight="1" x14ac:dyDescent="0.25">
      <c r="A14" s="46" t="s">
        <v>126</v>
      </c>
      <c r="B14" s="53" t="s">
        <v>46</v>
      </c>
      <c r="C14" s="357" t="str">
        <f>CONCATENATE('INPUT DATA'!E18)</f>
        <v>w1</v>
      </c>
      <c r="D14" s="357"/>
      <c r="E14" s="357"/>
      <c r="F14" s="357"/>
      <c r="G14" s="357"/>
      <c r="H14" s="357"/>
      <c r="I14" s="357"/>
      <c r="J14" s="357"/>
      <c r="K14" s="357"/>
      <c r="L14" s="357"/>
      <c r="M14" s="357"/>
      <c r="N14" s="357"/>
    </row>
    <row r="15" spans="1:14" ht="12" customHeight="1" x14ac:dyDescent="0.25">
      <c r="A15" s="48" t="s">
        <v>127</v>
      </c>
      <c r="B15" s="53"/>
    </row>
    <row r="16" spans="1:14" ht="6" customHeight="1" x14ac:dyDescent="0.25">
      <c r="A16" s="48"/>
      <c r="B16" s="53"/>
    </row>
    <row r="17" spans="1:14" ht="13.95" customHeight="1" x14ac:dyDescent="0.25">
      <c r="A17" s="46" t="s">
        <v>128</v>
      </c>
      <c r="B17" s="53" t="s">
        <v>46</v>
      </c>
      <c r="C17" s="357" t="str">
        <f>CONCATENATE('INPUT DATA'!E19,"    /   ",'INPUT DATA'!E20)</f>
        <v>2    /   232</v>
      </c>
      <c r="D17" s="357"/>
      <c r="E17" s="357"/>
      <c r="F17" s="357"/>
      <c r="G17" s="357"/>
      <c r="H17" s="357"/>
      <c r="I17" s="357"/>
      <c r="J17" s="357"/>
      <c r="K17" s="357"/>
      <c r="L17" s="357"/>
      <c r="M17" s="357"/>
      <c r="N17" s="357"/>
    </row>
    <row r="18" spans="1:14" ht="12" customHeight="1" x14ac:dyDescent="0.25">
      <c r="A18" s="48" t="s">
        <v>129</v>
      </c>
      <c r="B18" s="53"/>
      <c r="E18" s="54"/>
    </row>
    <row r="19" spans="1:14" ht="6" customHeight="1" x14ac:dyDescent="0.25">
      <c r="A19" s="48"/>
      <c r="B19" s="53"/>
      <c r="E19" s="54"/>
    </row>
    <row r="20" spans="1:14" ht="13.95" customHeight="1" x14ac:dyDescent="0.25">
      <c r="A20" s="46" t="s">
        <v>62</v>
      </c>
      <c r="B20" s="53" t="s">
        <v>46</v>
      </c>
      <c r="C20" s="361">
        <f>'INPUT DATA'!E21</f>
        <v>23</v>
      </c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</row>
    <row r="21" spans="1:14" ht="12" customHeight="1" x14ac:dyDescent="0.25">
      <c r="A21" s="48" t="s">
        <v>130</v>
      </c>
      <c r="B21" s="46"/>
    </row>
    <row r="22" spans="1:14" ht="6" customHeight="1" x14ac:dyDescent="0.25">
      <c r="A22" s="48"/>
      <c r="B22" s="53"/>
      <c r="E22" s="54"/>
    </row>
    <row r="23" spans="1:14" ht="13.95" customHeight="1" x14ac:dyDescent="0.25">
      <c r="A23" s="46" t="s">
        <v>131</v>
      </c>
      <c r="B23" s="53" t="s">
        <v>46</v>
      </c>
      <c r="C23" s="361" t="str">
        <f>CONCATENATE('INPUT DATA'!E25,"  ~  ",'INPUT DATA'!I25," ",'INPUT DATA'!K25,"    /    ",'INPUT DATA'!E27," ",'INPUT DATA'!G27)</f>
        <v>2  ~  212 mm    /    2 mm</v>
      </c>
      <c r="D23" s="362"/>
      <c r="E23" s="362"/>
      <c r="F23" s="362"/>
      <c r="G23" s="362"/>
      <c r="H23" s="362"/>
      <c r="I23" s="362"/>
      <c r="J23" s="362"/>
      <c r="K23" s="362"/>
      <c r="L23" s="362"/>
      <c r="M23" s="362"/>
      <c r="N23" s="362"/>
    </row>
    <row r="24" spans="1:14" ht="12" customHeight="1" x14ac:dyDescent="0.25">
      <c r="A24" s="48" t="s">
        <v>132</v>
      </c>
      <c r="B24" s="46"/>
    </row>
    <row r="25" spans="1:14" ht="10.199999999999999" customHeight="1" x14ac:dyDescent="0.25"/>
    <row r="26" spans="1:14" ht="13.95" customHeight="1" x14ac:dyDescent="0.25">
      <c r="A26" s="358" t="s">
        <v>133</v>
      </c>
      <c r="B26" s="358"/>
      <c r="C26" s="358"/>
      <c r="D26" s="358"/>
      <c r="E26" s="358"/>
      <c r="F26" s="358"/>
      <c r="G26" s="358"/>
      <c r="H26" s="358"/>
      <c r="I26" s="358"/>
      <c r="J26" s="358"/>
      <c r="K26" s="358"/>
      <c r="L26" s="358"/>
      <c r="M26" s="358"/>
      <c r="N26" s="358"/>
    </row>
    <row r="27" spans="1:14" ht="13.95" customHeight="1" x14ac:dyDescent="0.25">
      <c r="A27" s="359" t="s">
        <v>134</v>
      </c>
      <c r="B27" s="359"/>
      <c r="C27" s="359"/>
      <c r="D27" s="359"/>
      <c r="E27" s="359"/>
      <c r="F27" s="359"/>
      <c r="G27" s="359"/>
      <c r="H27" s="359"/>
      <c r="I27" s="359"/>
      <c r="J27" s="359"/>
      <c r="K27" s="359"/>
      <c r="L27" s="359"/>
      <c r="M27" s="359"/>
      <c r="N27" s="359"/>
    </row>
    <row r="28" spans="1:14" ht="6" customHeight="1" x14ac:dyDescent="0.25"/>
    <row r="29" spans="1:14" ht="13.95" customHeight="1" x14ac:dyDescent="0.25">
      <c r="A29" s="46" t="s">
        <v>135</v>
      </c>
      <c r="B29" s="46" t="s">
        <v>46</v>
      </c>
      <c r="C29" s="363" t="str">
        <f>CONCATENATE('INPUT DATA'!E30)</f>
        <v>e</v>
      </c>
      <c r="D29" s="363"/>
      <c r="E29" s="363"/>
      <c r="F29" s="363"/>
      <c r="G29" s="363"/>
      <c r="H29" s="363"/>
      <c r="I29" s="363"/>
      <c r="J29" s="363"/>
      <c r="K29" s="363"/>
      <c r="L29" s="363"/>
      <c r="M29" s="363"/>
      <c r="N29" s="363"/>
    </row>
    <row r="30" spans="1:14" ht="12" customHeight="1" x14ac:dyDescent="0.25">
      <c r="A30" s="48" t="s">
        <v>136</v>
      </c>
      <c r="B30" s="46"/>
      <c r="C30" s="363" t="str">
        <f>CONCATENATE('INPUT DATA'!E31)</f>
        <v/>
      </c>
      <c r="D30" s="363"/>
      <c r="E30" s="363"/>
      <c r="F30" s="363"/>
      <c r="G30" s="363"/>
      <c r="H30" s="363"/>
      <c r="I30" s="363"/>
      <c r="J30" s="363"/>
      <c r="K30" s="363"/>
      <c r="L30" s="363"/>
      <c r="M30" s="363"/>
      <c r="N30" s="363"/>
    </row>
    <row r="31" spans="1:14" ht="6" customHeight="1" x14ac:dyDescent="0.25">
      <c r="A31" s="48"/>
      <c r="B31" s="46"/>
    </row>
    <row r="32" spans="1:14" ht="13.95" customHeight="1" x14ac:dyDescent="0.25">
      <c r="A32" s="46" t="s">
        <v>137</v>
      </c>
      <c r="B32" s="46" t="s">
        <v>46</v>
      </c>
      <c r="C32" s="357" t="str">
        <f>CONCATENATE('INPUT DATA'!E33)</f>
        <v>d</v>
      </c>
      <c r="D32" s="357"/>
      <c r="E32" s="357"/>
      <c r="F32" s="357"/>
      <c r="G32" s="357"/>
      <c r="H32" s="357"/>
      <c r="I32" s="357"/>
      <c r="J32" s="357"/>
      <c r="K32" s="357"/>
      <c r="L32" s="357"/>
      <c r="M32" s="357"/>
      <c r="N32" s="357"/>
    </row>
    <row r="33" spans="1:14" ht="12" customHeight="1" x14ac:dyDescent="0.25">
      <c r="A33" s="48" t="s">
        <v>138</v>
      </c>
      <c r="B33" s="46"/>
      <c r="C33" s="357" t="str">
        <f>CONCATENATE('INPUT DATA'!E34)</f>
        <v/>
      </c>
      <c r="D33" s="357"/>
      <c r="E33" s="357"/>
      <c r="F33" s="357"/>
      <c r="G33" s="357"/>
      <c r="H33" s="357"/>
      <c r="I33" s="357"/>
      <c r="J33" s="357"/>
      <c r="K33" s="357"/>
      <c r="L33" s="357"/>
      <c r="M33" s="357"/>
      <c r="N33" s="357"/>
    </row>
    <row r="34" spans="1:14" ht="10.199999999999999" customHeight="1" x14ac:dyDescent="0.25"/>
    <row r="35" spans="1:14" ht="13.95" customHeight="1" x14ac:dyDescent="0.25">
      <c r="A35" s="358" t="s">
        <v>139</v>
      </c>
      <c r="B35" s="358"/>
      <c r="C35" s="358"/>
      <c r="D35" s="358"/>
      <c r="E35" s="358"/>
      <c r="F35" s="358"/>
      <c r="G35" s="358"/>
      <c r="H35" s="358"/>
      <c r="I35" s="358"/>
      <c r="J35" s="358"/>
      <c r="K35" s="358"/>
      <c r="L35" s="358"/>
      <c r="M35" s="358"/>
      <c r="N35" s="358"/>
    </row>
    <row r="36" spans="1:14" ht="13.95" customHeight="1" x14ac:dyDescent="0.25">
      <c r="A36" s="359" t="s">
        <v>140</v>
      </c>
      <c r="B36" s="359"/>
      <c r="C36" s="359"/>
      <c r="D36" s="359"/>
      <c r="E36" s="359"/>
      <c r="F36" s="359"/>
      <c r="G36" s="359"/>
      <c r="H36" s="359"/>
      <c r="I36" s="359"/>
      <c r="J36" s="359"/>
      <c r="K36" s="359"/>
      <c r="L36" s="359"/>
      <c r="M36" s="359"/>
      <c r="N36" s="359"/>
    </row>
    <row r="37" spans="1:14" ht="6" customHeight="1" x14ac:dyDescent="0.25"/>
    <row r="38" spans="1:14" ht="13.95" customHeight="1" x14ac:dyDescent="0.25">
      <c r="A38" s="46" t="s">
        <v>141</v>
      </c>
      <c r="B38" s="46" t="s">
        <v>46</v>
      </c>
      <c r="C38" s="357" t="str">
        <f>'INPUT DATA'!E3</f>
        <v>PAS-IK-1102-02</v>
      </c>
      <c r="D38" s="357"/>
      <c r="E38" s="357"/>
      <c r="F38" s="357"/>
      <c r="G38" s="357"/>
      <c r="H38" s="357"/>
      <c r="I38" s="357"/>
      <c r="J38" s="357"/>
      <c r="K38" s="357"/>
      <c r="L38" s="357"/>
      <c r="M38" s="357"/>
      <c r="N38" s="357"/>
    </row>
    <row r="39" spans="1:14" ht="12" customHeight="1" x14ac:dyDescent="0.25">
      <c r="A39" s="48" t="s">
        <v>142</v>
      </c>
      <c r="B39" s="46"/>
      <c r="C39" s="46"/>
      <c r="D39" s="46"/>
    </row>
    <row r="40" spans="1:14" ht="6" customHeight="1" x14ac:dyDescent="0.25"/>
    <row r="41" spans="1:14" ht="13.95" customHeight="1" x14ac:dyDescent="0.25">
      <c r="A41" s="46" t="s">
        <v>143</v>
      </c>
      <c r="B41" s="46" t="s">
        <v>46</v>
      </c>
      <c r="C41" s="357" t="str">
        <f>'INPUT DATA'!E4</f>
        <v>JIS B 7502:2016 (JMA/JSA); SNSU PK.P-01:2020.</v>
      </c>
      <c r="D41" s="357"/>
      <c r="E41" s="357"/>
      <c r="F41" s="357"/>
      <c r="G41" s="357"/>
      <c r="H41" s="357"/>
      <c r="I41" s="357"/>
      <c r="J41" s="357"/>
      <c r="K41" s="357"/>
      <c r="L41" s="357"/>
      <c r="M41" s="357"/>
      <c r="N41" s="357"/>
    </row>
    <row r="42" spans="1:14" ht="12" customHeight="1" x14ac:dyDescent="0.25">
      <c r="A42" s="48" t="s">
        <v>144</v>
      </c>
      <c r="B42" s="46"/>
      <c r="C42" s="359"/>
      <c r="D42" s="359"/>
      <c r="E42" s="359"/>
      <c r="F42" s="359"/>
      <c r="G42" s="359"/>
      <c r="H42" s="359"/>
      <c r="I42" s="359"/>
      <c r="J42" s="359"/>
      <c r="K42" s="359"/>
      <c r="L42" s="359"/>
      <c r="M42" s="359"/>
      <c r="N42" s="359"/>
    </row>
    <row r="43" spans="1:14" ht="6" customHeight="1" x14ac:dyDescent="0.25">
      <c r="A43" s="48"/>
      <c r="B43" s="46"/>
    </row>
    <row r="44" spans="1:14" ht="13.95" customHeight="1" x14ac:dyDescent="0.25">
      <c r="A44" s="46" t="s">
        <v>145</v>
      </c>
      <c r="B44" s="46" t="s">
        <v>46</v>
      </c>
      <c r="C44" s="360" t="str">
        <f>"Gauge Block, Grade 0, "&amp;'Pilih Standar'!CU16</f>
        <v>Gauge Block, Grade 0, Mitutoyo, 516-106-10, S/N. 1103008.</v>
      </c>
      <c r="D44" s="360"/>
      <c r="E44" s="360"/>
      <c r="F44" s="360"/>
      <c r="G44" s="360"/>
      <c r="H44" s="360"/>
      <c r="I44" s="360"/>
      <c r="J44" s="360"/>
      <c r="K44" s="360"/>
      <c r="L44" s="360"/>
      <c r="M44" s="360"/>
      <c r="N44" s="360"/>
    </row>
    <row r="45" spans="1:14" ht="15.6" customHeight="1" x14ac:dyDescent="0.25">
      <c r="A45" s="172" t="s">
        <v>146</v>
      </c>
      <c r="B45" s="46"/>
      <c r="C45" s="360"/>
      <c r="D45" s="360"/>
      <c r="E45" s="360"/>
      <c r="F45" s="360"/>
      <c r="G45" s="360"/>
      <c r="H45" s="360"/>
      <c r="I45" s="360"/>
      <c r="J45" s="360"/>
      <c r="K45" s="360"/>
      <c r="L45" s="360"/>
      <c r="M45" s="360"/>
      <c r="N45" s="360"/>
    </row>
    <row r="46" spans="1:14" ht="6" customHeight="1" x14ac:dyDescent="0.25">
      <c r="A46" s="48"/>
      <c r="B46" s="46"/>
    </row>
    <row r="47" spans="1:14" ht="13.95" customHeight="1" x14ac:dyDescent="0.25">
      <c r="A47" s="46" t="s">
        <v>147</v>
      </c>
      <c r="B47" s="46" t="s">
        <v>46</v>
      </c>
      <c r="C47" s="360" t="str">
        <f>"Hasil kalibrasi yang dilaporkan tertelusur ke SI melalui "&amp;'Pilih Standar'!BZ16</f>
        <v>Hasil kalibrasi yang dilaporkan tertelusur ke SI melalui LK-066-IDN.</v>
      </c>
      <c r="D47" s="360"/>
      <c r="E47" s="360"/>
      <c r="F47" s="360"/>
      <c r="G47" s="360"/>
      <c r="H47" s="360"/>
      <c r="I47" s="360"/>
      <c r="J47" s="360"/>
      <c r="K47" s="360"/>
      <c r="L47" s="360"/>
      <c r="M47" s="360"/>
      <c r="N47" s="360"/>
    </row>
    <row r="48" spans="1:14" ht="17.399999999999999" customHeight="1" x14ac:dyDescent="0.25">
      <c r="A48" s="172" t="s">
        <v>148</v>
      </c>
      <c r="B48" s="46"/>
      <c r="C48" s="360"/>
      <c r="D48" s="360"/>
      <c r="E48" s="360"/>
      <c r="F48" s="360"/>
      <c r="G48" s="360"/>
      <c r="H48" s="360"/>
      <c r="I48" s="360"/>
      <c r="J48" s="360"/>
      <c r="K48" s="360"/>
      <c r="L48" s="360"/>
      <c r="M48" s="360"/>
      <c r="N48" s="360"/>
    </row>
    <row r="50" spans="1:14" ht="117.6" customHeight="1" x14ac:dyDescent="0.25">
      <c r="I50" s="272" t="str">
        <f>C66</f>
        <v>https://pascalibration.com/PAS-K25-999999-DEPTH MICROMETER-e|Signed and Approved by M. Iqbal Fauzi</v>
      </c>
      <c r="J50" s="272"/>
      <c r="K50" s="272"/>
      <c r="L50" s="272"/>
      <c r="M50" s="272"/>
    </row>
    <row r="51" spans="1:14" ht="13.95" customHeight="1" x14ac:dyDescent="0.25">
      <c r="H51" s="272"/>
      <c r="I51" s="272"/>
      <c r="J51" s="272"/>
      <c r="K51" s="272"/>
      <c r="L51" s="272"/>
      <c r="M51" s="272"/>
    </row>
    <row r="52" spans="1:14" ht="13.95" customHeight="1" x14ac:dyDescent="0.25">
      <c r="H52" s="272"/>
      <c r="I52" s="272"/>
      <c r="J52" s="272"/>
      <c r="K52" s="272"/>
      <c r="L52" s="272"/>
      <c r="M52" s="272"/>
    </row>
    <row r="53" spans="1:14" ht="13.8" hidden="1" customHeight="1" x14ac:dyDescent="0.25">
      <c r="H53" s="272"/>
      <c r="I53" s="272"/>
      <c r="J53" s="272"/>
      <c r="K53" s="272"/>
      <c r="L53" s="272"/>
      <c r="M53" s="272"/>
    </row>
    <row r="54" spans="1:14" ht="13.95" hidden="1" customHeight="1" x14ac:dyDescent="0.25">
      <c r="H54" s="272"/>
      <c r="I54" s="272"/>
      <c r="J54" s="272"/>
      <c r="K54" s="272"/>
      <c r="L54" s="272"/>
      <c r="M54" s="272"/>
    </row>
    <row r="55" spans="1:14" ht="13.95" hidden="1" customHeight="1" x14ac:dyDescent="0.25">
      <c r="H55" s="272"/>
      <c r="I55" s="272"/>
      <c r="J55" s="272"/>
      <c r="K55" s="272"/>
      <c r="L55" s="272"/>
      <c r="M55" s="272"/>
    </row>
    <row r="56" spans="1:14" ht="13.95" hidden="1" customHeight="1" x14ac:dyDescent="0.25">
      <c r="H56" s="272"/>
      <c r="I56" s="272"/>
      <c r="J56" s="272"/>
      <c r="K56" s="272"/>
      <c r="L56" s="272"/>
      <c r="M56" s="272"/>
    </row>
    <row r="57" spans="1:14" ht="13.95" hidden="1" customHeight="1" x14ac:dyDescent="0.25">
      <c r="H57" s="272"/>
      <c r="I57" s="272"/>
      <c r="J57" s="272"/>
      <c r="K57" s="272"/>
      <c r="L57" s="272"/>
      <c r="M57" s="272"/>
    </row>
    <row r="58" spans="1:14" ht="13.95" hidden="1" customHeight="1" x14ac:dyDescent="0.25">
      <c r="H58" s="272">
        <f>C74</f>
        <v>0</v>
      </c>
    </row>
    <row r="59" spans="1:14" ht="13.95" customHeight="1" x14ac:dyDescent="0.25">
      <c r="A59" s="268"/>
      <c r="B59" s="269"/>
      <c r="C59" s="269"/>
      <c r="D59" s="269"/>
      <c r="E59" s="269"/>
      <c r="F59" s="269"/>
      <c r="H59" s="47" t="str">
        <f>"Signed and Approved by "&amp; J59</f>
        <v>Signed and Approved by M. Iqbal Fauzi</v>
      </c>
      <c r="I59" s="269"/>
      <c r="J59" s="356" t="s">
        <v>149</v>
      </c>
      <c r="K59" s="356"/>
      <c r="L59" s="356"/>
      <c r="M59" s="356"/>
      <c r="N59" s="356"/>
    </row>
    <row r="60" spans="1:14" ht="13.95" customHeight="1" x14ac:dyDescent="0.25">
      <c r="A60" s="268"/>
      <c r="B60" s="269"/>
      <c r="C60" s="269"/>
      <c r="D60" s="269"/>
      <c r="E60" s="269"/>
      <c r="F60" s="269"/>
      <c r="H60" s="270" t="s">
        <v>150</v>
      </c>
      <c r="I60" s="269"/>
      <c r="J60" s="269"/>
      <c r="K60" s="269"/>
      <c r="L60" s="269"/>
      <c r="M60" s="269"/>
      <c r="N60" s="269"/>
    </row>
    <row r="61" spans="1:14" ht="13.95" customHeight="1" x14ac:dyDescent="0.25">
      <c r="A61" s="268"/>
      <c r="B61" s="269"/>
      <c r="C61" s="269"/>
      <c r="D61" s="269"/>
      <c r="E61" s="269"/>
      <c r="F61" s="269"/>
      <c r="H61" s="270" t="s">
        <v>149</v>
      </c>
      <c r="I61" s="269"/>
      <c r="J61" s="269"/>
      <c r="K61" s="269"/>
      <c r="L61" s="269"/>
      <c r="M61" s="269"/>
      <c r="N61" s="269"/>
    </row>
    <row r="62" spans="1:14" ht="13.95" customHeight="1" x14ac:dyDescent="0.25">
      <c r="A62" s="268"/>
      <c r="B62" s="269"/>
      <c r="C62" s="269"/>
      <c r="D62" s="269"/>
      <c r="E62" s="269"/>
      <c r="F62" s="269"/>
      <c r="H62" s="270" t="s">
        <v>151</v>
      </c>
      <c r="I62" s="269"/>
      <c r="J62" s="269"/>
      <c r="K62" s="269"/>
      <c r="L62" s="269"/>
      <c r="M62" s="269"/>
      <c r="N62" s="269"/>
    </row>
    <row r="63" spans="1:14" ht="13.95" customHeight="1" x14ac:dyDescent="0.25">
      <c r="A63" s="45" t="s">
        <v>152</v>
      </c>
      <c r="C63" s="271" t="s">
        <v>153</v>
      </c>
    </row>
    <row r="64" spans="1:14" ht="13.95" customHeight="1" x14ac:dyDescent="0.25">
      <c r="A64" s="45" t="s">
        <v>154</v>
      </c>
      <c r="C64" s="45" t="str">
        <f>C2</f>
        <v>PAS-K25-999999</v>
      </c>
    </row>
    <row r="65" spans="1:3" ht="13.95" customHeight="1" x14ac:dyDescent="0.25">
      <c r="A65" s="45" t="s">
        <v>155</v>
      </c>
      <c r="C65" s="45" t="str">
        <f>_xlfn.VALUETOTEXT(C64&amp;"-"&amp;UPPER(C11)&amp;"-"&amp;C29&amp;IF(C30&lt;&gt;""," ("&amp;C30&amp;")",""))</f>
        <v>PAS-K25-999999-DEPTH MICROMETER-e</v>
      </c>
    </row>
    <row r="66" spans="1:3" ht="13.95" customHeight="1" x14ac:dyDescent="0.25">
      <c r="A66" s="45" t="s">
        <v>156</v>
      </c>
      <c r="C66" s="45" t="str">
        <f>C63&amp;C65&amp;"|"&amp;H59</f>
        <v>https://pascalibration.com/PAS-K25-999999-DEPTH MICROMETER-e|Signed and Approved by M. Iqbal Fauzi</v>
      </c>
    </row>
  </sheetData>
  <mergeCells count="31">
    <mergeCell ref="A1:N1"/>
    <mergeCell ref="B2:B3"/>
    <mergeCell ref="C2:F3"/>
    <mergeCell ref="J2:J3"/>
    <mergeCell ref="K2:K3"/>
    <mergeCell ref="L2:M2"/>
    <mergeCell ref="N2:N3"/>
    <mergeCell ref="L3:M3"/>
    <mergeCell ref="C23:N23"/>
    <mergeCell ref="C17:N17"/>
    <mergeCell ref="C30:N30"/>
    <mergeCell ref="B5:B6"/>
    <mergeCell ref="C5:F6"/>
    <mergeCell ref="A8:N8"/>
    <mergeCell ref="A9:N9"/>
    <mergeCell ref="C11:N11"/>
    <mergeCell ref="C14:N14"/>
    <mergeCell ref="A26:N26"/>
    <mergeCell ref="A27:N27"/>
    <mergeCell ref="C29:N29"/>
    <mergeCell ref="C20:N20"/>
    <mergeCell ref="J59:N59"/>
    <mergeCell ref="C32:N32"/>
    <mergeCell ref="C33:N33"/>
    <mergeCell ref="A35:N35"/>
    <mergeCell ref="A36:N36"/>
    <mergeCell ref="C38:N38"/>
    <mergeCell ref="C41:N41"/>
    <mergeCell ref="C42:N42"/>
    <mergeCell ref="C47:N48"/>
    <mergeCell ref="C44:N45"/>
  </mergeCells>
  <dataValidations count="1">
    <dataValidation type="list" allowBlank="1" showInputMessage="1" showErrorMessage="1" sqref="J59:N59" xr:uid="{00000000-0002-0000-0200-000000000000}">
      <formula1>$H$60:$H$62</formula1>
    </dataValidation>
  </dataValidations>
  <hyperlinks>
    <hyperlink ref="C63" r:id="rId1" xr:uid="{00000000-0004-0000-0200-000000000000}"/>
  </hyperlinks>
  <printOptions horizontalCentered="1"/>
  <pageMargins left="0" right="0" top="1.1023622047243999" bottom="0.78740157480314998" header="0" footer="0"/>
  <pageSetup paperSize="9" orientation="portrait" r:id="rId2"/>
  <headerFooter>
    <oddHeader>&amp;C&amp;G</oddHeader>
    <oddFooter>&amp;C&amp;G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Module5.btnApprove">
                <anchor moveWithCells="1" sizeWithCells="1">
                  <from>
                    <xdr:col>14</xdr:col>
                    <xdr:colOff>464820</xdr:colOff>
                    <xdr:row>5</xdr:row>
                    <xdr:rowOff>83820</xdr:rowOff>
                  </from>
                  <to>
                    <xdr:col>17</xdr:col>
                    <xdr:colOff>358140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Pict="0" macro="[0]!btnReject">
                <anchor moveWithCells="1" sizeWithCells="1">
                  <from>
                    <xdr:col>14</xdr:col>
                    <xdr:colOff>480060</xdr:colOff>
                    <xdr:row>11</xdr:row>
                    <xdr:rowOff>99060</xdr:rowOff>
                  </from>
                  <to>
                    <xdr:col>17</xdr:col>
                    <xdr:colOff>373380</xdr:colOff>
                    <xdr:row>16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99"/>
  </sheetPr>
  <dimension ref="A1:XEY114"/>
  <sheetViews>
    <sheetView workbookViewId="0">
      <selection activeCell="K20" sqref="K20"/>
    </sheetView>
  </sheetViews>
  <sheetFormatPr defaultColWidth="0" defaultRowHeight="13.8" zeroHeight="1" x14ac:dyDescent="0.3"/>
  <cols>
    <col min="1" max="1" width="13.5546875" customWidth="1"/>
    <col min="2" max="2" width="7.6640625" style="139" hidden="1" customWidth="1"/>
    <col min="3" max="3" width="5.6640625" style="139" customWidth="1"/>
    <col min="4" max="4" width="4.33203125" hidden="1" customWidth="1"/>
    <col min="5" max="5" width="8.88671875" customWidth="1"/>
    <col min="6" max="6" width="8.88671875" hidden="1" customWidth="1"/>
    <col min="7" max="7" width="9.88671875" hidden="1" customWidth="1"/>
    <col min="8" max="8" width="8.88671875" hidden="1" customWidth="1"/>
    <col min="9" max="9" width="17.5546875" hidden="1" customWidth="1"/>
    <col min="10" max="10" width="0.109375" customWidth="1"/>
    <col min="11" max="11" width="6.33203125" customWidth="1"/>
    <col min="12" max="24" width="5.6640625" style="215" customWidth="1"/>
    <col min="25" max="25" width="6.6640625" style="215" customWidth="1"/>
    <col min="26" max="26" width="10.5546875" style="215" customWidth="1"/>
    <col min="27" max="27" width="3.109375" customWidth="1"/>
    <col min="28" max="42" width="5.6640625" hidden="1" customWidth="1"/>
    <col min="43" max="43" width="1.6640625" hidden="1" customWidth="1"/>
    <col min="44" max="58" width="5.6640625" hidden="1" customWidth="1"/>
    <col min="59" max="59" width="1.33203125" hidden="1" customWidth="1"/>
    <col min="60" max="74" width="5.6640625" hidden="1" customWidth="1"/>
    <col min="75" max="75" width="2" hidden="1" customWidth="1"/>
    <col min="76" max="79" width="8.88671875" hidden="1" customWidth="1"/>
    <col min="80" max="80" width="1.5546875" hidden="1" customWidth="1"/>
    <col min="81" max="95" width="5.6640625" hidden="1" customWidth="1"/>
    <col min="96" max="96" width="2" hidden="1" customWidth="1"/>
    <col min="97" max="99" width="8.88671875" hidden="1" customWidth="1"/>
    <col min="100" max="100" width="11.6640625" hidden="1" customWidth="1"/>
    <col min="102" max="16379" width="8.88671875" hidden="1" customWidth="1"/>
    <col min="16380" max="16380" width="3.5546875" customWidth="1"/>
    <col min="16381" max="16381" width="4" customWidth="1"/>
    <col min="16382" max="16382" width="10.77734375" customWidth="1"/>
    <col min="16383" max="16383" width="5.5546875" customWidth="1"/>
    <col min="16384" max="16384" width="30.109375" customWidth="1"/>
  </cols>
  <sheetData>
    <row r="1" spans="1:101" x14ac:dyDescent="0.3">
      <c r="A1" s="185" t="s">
        <v>157</v>
      </c>
      <c r="B1" s="186"/>
      <c r="C1" s="186"/>
      <c r="D1" s="185"/>
      <c r="E1" s="187"/>
      <c r="F1" s="187"/>
      <c r="G1" s="187"/>
      <c r="H1" s="187"/>
      <c r="I1" s="187"/>
      <c r="J1" s="187"/>
      <c r="K1" s="187"/>
      <c r="L1" s="185" t="s">
        <v>158</v>
      </c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5" t="s">
        <v>159</v>
      </c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5" t="s">
        <v>160</v>
      </c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5" t="s">
        <v>161</v>
      </c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5" t="s">
        <v>162</v>
      </c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  <c r="CS1" s="187"/>
      <c r="CT1" s="187"/>
      <c r="CU1" s="187"/>
      <c r="CV1" s="187"/>
      <c r="CW1" s="187"/>
    </row>
    <row r="2" spans="1:101" x14ac:dyDescent="0.3">
      <c r="A2" s="187" t="s">
        <v>163</v>
      </c>
      <c r="B2" s="188"/>
      <c r="C2" s="188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  <c r="CD2" s="187"/>
      <c r="CE2" s="187"/>
      <c r="CF2" s="187"/>
      <c r="CG2" s="187"/>
      <c r="CH2" s="187"/>
      <c r="CI2" s="187"/>
      <c r="CJ2" s="187"/>
      <c r="CK2" s="187"/>
      <c r="CL2" s="187"/>
      <c r="CM2" s="187"/>
      <c r="CN2" s="187"/>
      <c r="CO2" s="187"/>
      <c r="CP2" s="187"/>
      <c r="CQ2" s="187"/>
      <c r="CR2" s="187"/>
      <c r="CS2" s="187"/>
      <c r="CT2" s="187"/>
      <c r="CU2" s="187"/>
      <c r="CV2" s="187"/>
      <c r="CW2" s="187"/>
    </row>
    <row r="3" spans="1:101" x14ac:dyDescent="0.3">
      <c r="A3" s="187"/>
      <c r="B3" s="188"/>
      <c r="C3" s="188"/>
      <c r="D3" s="187"/>
      <c r="E3" s="187"/>
      <c r="F3" s="187"/>
      <c r="G3" s="187"/>
      <c r="H3" s="187"/>
      <c r="I3" s="187"/>
      <c r="J3" s="187"/>
      <c r="K3" s="187"/>
      <c r="L3" s="190">
        <v>1</v>
      </c>
      <c r="M3" s="190">
        <v>2</v>
      </c>
      <c r="N3" s="190">
        <v>3</v>
      </c>
      <c r="O3" s="190">
        <v>4</v>
      </c>
      <c r="P3" s="190">
        <v>5</v>
      </c>
      <c r="Q3" s="190">
        <v>6</v>
      </c>
      <c r="R3" s="190">
        <v>7</v>
      </c>
      <c r="S3" s="190">
        <v>8</v>
      </c>
      <c r="T3" s="190">
        <v>9</v>
      </c>
      <c r="U3" s="190">
        <v>10</v>
      </c>
      <c r="V3" s="190">
        <v>11</v>
      </c>
      <c r="W3" s="190">
        <v>12</v>
      </c>
      <c r="X3" s="190">
        <v>13</v>
      </c>
      <c r="Y3" s="190">
        <v>14</v>
      </c>
      <c r="Z3" s="190">
        <v>15</v>
      </c>
      <c r="AA3" s="187"/>
      <c r="AB3" s="187"/>
      <c r="AC3" s="187"/>
      <c r="AD3" s="187"/>
      <c r="AE3" s="187"/>
      <c r="AF3" s="187"/>
      <c r="AG3" s="187"/>
      <c r="AH3" s="187"/>
      <c r="AI3" s="187"/>
      <c r="AJ3" s="187"/>
      <c r="AK3" s="187"/>
      <c r="AL3" s="187"/>
      <c r="AM3" s="187"/>
      <c r="AN3" s="187"/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7"/>
      <c r="BQ3" s="187"/>
      <c r="BR3" s="187"/>
      <c r="BS3" s="187"/>
      <c r="BT3" s="187"/>
      <c r="BU3" s="187"/>
      <c r="BV3" s="187"/>
      <c r="BW3" s="187"/>
      <c r="BX3" s="187"/>
      <c r="BY3" s="187"/>
      <c r="BZ3" s="187"/>
      <c r="CA3" s="187"/>
      <c r="CB3" s="187"/>
      <c r="CC3" s="187"/>
      <c r="CD3" s="187"/>
      <c r="CE3" s="187"/>
      <c r="CF3" s="187"/>
      <c r="CG3" s="187"/>
      <c r="CH3" s="187"/>
      <c r="CI3" s="187"/>
      <c r="CJ3" s="187"/>
      <c r="CK3" s="187"/>
      <c r="CL3" s="187"/>
      <c r="CM3" s="187"/>
      <c r="CN3" s="187"/>
      <c r="CO3" s="187"/>
      <c r="CP3" s="187"/>
      <c r="CQ3" s="187"/>
      <c r="CR3" s="187"/>
      <c r="CS3" s="187"/>
      <c r="CT3" s="187"/>
      <c r="CU3" s="187"/>
      <c r="CV3" s="187"/>
      <c r="CW3" s="187"/>
    </row>
    <row r="4" spans="1:101" x14ac:dyDescent="0.3">
      <c r="A4" s="372" t="s">
        <v>164</v>
      </c>
      <c r="B4" s="374" t="s">
        <v>165</v>
      </c>
      <c r="C4" s="374" t="s">
        <v>166</v>
      </c>
      <c r="D4" s="189" t="s">
        <v>167</v>
      </c>
      <c r="E4" s="189" t="s">
        <v>93</v>
      </c>
      <c r="F4" s="189" t="s">
        <v>168</v>
      </c>
      <c r="G4" s="189" t="s">
        <v>169</v>
      </c>
      <c r="H4" s="189" t="s">
        <v>170</v>
      </c>
      <c r="I4" s="189" t="s">
        <v>171</v>
      </c>
      <c r="J4" s="189" t="s">
        <v>172</v>
      </c>
      <c r="K4" s="227" t="s">
        <v>173</v>
      </c>
      <c r="L4" s="191">
        <f>'INPUT DATA'!$A58</f>
        <v>223</v>
      </c>
      <c r="M4" s="191">
        <f>'INPUT DATA'!$A59</f>
        <v>6</v>
      </c>
      <c r="N4" s="191">
        <f>'INPUT DATA'!$A60</f>
        <v>6</v>
      </c>
      <c r="O4" s="191">
        <f>'INPUT DATA'!$A61</f>
        <v>6</v>
      </c>
      <c r="P4" s="191">
        <f>'INPUT DATA'!$A62</f>
        <v>7</v>
      </c>
      <c r="Q4" s="191">
        <f>'INPUT DATA'!$A63</f>
        <v>7</v>
      </c>
      <c r="R4" s="191">
        <f>'INPUT DATA'!$A64</f>
        <v>7</v>
      </c>
      <c r="S4" s="191">
        <f>'INPUT DATA'!$A65</f>
        <v>77</v>
      </c>
      <c r="T4" s="191">
        <f>'INPUT DATA'!$A66</f>
        <v>7</v>
      </c>
      <c r="U4" s="191">
        <f>'INPUT DATA'!$A67</f>
        <v>7</v>
      </c>
      <c r="V4" s="191">
        <f>'INPUT DATA'!$A68</f>
        <v>77</v>
      </c>
      <c r="W4" s="191">
        <f>'INPUT DATA'!$A69</f>
        <v>0</v>
      </c>
      <c r="X4" s="191">
        <f>'INPUT DATA'!$A70</f>
        <v>0</v>
      </c>
      <c r="Y4" s="191">
        <f>'INPUT DATA'!$A71</f>
        <v>0</v>
      </c>
      <c r="Z4" s="191">
        <f>'INPUT DATA'!$A72</f>
        <v>0</v>
      </c>
      <c r="AB4" s="16">
        <v>1</v>
      </c>
      <c r="AC4" s="16">
        <v>2</v>
      </c>
      <c r="AD4" s="16">
        <v>3</v>
      </c>
      <c r="AE4" s="16">
        <v>4</v>
      </c>
      <c r="AF4" s="16">
        <v>5</v>
      </c>
      <c r="AG4" s="16">
        <v>6</v>
      </c>
      <c r="AH4" s="16">
        <v>7</v>
      </c>
      <c r="AI4" s="16">
        <v>8</v>
      </c>
      <c r="AJ4" s="16">
        <v>9</v>
      </c>
      <c r="AK4" s="16">
        <v>10</v>
      </c>
      <c r="AL4" s="16">
        <v>11</v>
      </c>
      <c r="AM4" s="16">
        <v>12</v>
      </c>
      <c r="AN4" s="16">
        <v>13</v>
      </c>
      <c r="AO4" s="16">
        <v>14</v>
      </c>
      <c r="AP4" s="16">
        <v>15</v>
      </c>
      <c r="AR4" s="16">
        <v>1</v>
      </c>
      <c r="AS4" s="16">
        <v>2</v>
      </c>
      <c r="AT4" s="16">
        <v>3</v>
      </c>
      <c r="AU4" s="16">
        <v>4</v>
      </c>
      <c r="AV4" s="16">
        <v>5</v>
      </c>
      <c r="AW4" s="16">
        <v>6</v>
      </c>
      <c r="AX4" s="16">
        <v>7</v>
      </c>
      <c r="AY4" s="16">
        <v>8</v>
      </c>
      <c r="AZ4" s="16">
        <v>9</v>
      </c>
      <c r="BA4" s="16">
        <v>10</v>
      </c>
      <c r="BB4" s="16">
        <v>11</v>
      </c>
      <c r="BC4" s="16">
        <v>12</v>
      </c>
      <c r="BD4" s="16">
        <v>13</v>
      </c>
      <c r="BE4" s="16">
        <v>14</v>
      </c>
      <c r="BF4" s="16">
        <v>15</v>
      </c>
      <c r="BH4" s="16">
        <v>1</v>
      </c>
      <c r="BI4" s="16">
        <v>2</v>
      </c>
      <c r="BJ4" s="16">
        <v>3</v>
      </c>
      <c r="BK4" s="16">
        <v>4</v>
      </c>
      <c r="BL4" s="16">
        <v>5</v>
      </c>
      <c r="BM4" s="16">
        <v>6</v>
      </c>
      <c r="BN4" s="16">
        <v>7</v>
      </c>
      <c r="BO4" s="16">
        <v>8</v>
      </c>
      <c r="BP4" s="16">
        <v>9</v>
      </c>
      <c r="BQ4" s="16">
        <v>10</v>
      </c>
      <c r="BR4" s="16">
        <v>11</v>
      </c>
      <c r="BS4" s="16">
        <v>12</v>
      </c>
      <c r="BT4" s="16">
        <v>13</v>
      </c>
      <c r="BU4" s="16">
        <v>14</v>
      </c>
      <c r="BV4" s="16">
        <v>15</v>
      </c>
      <c r="BX4" s="164" t="s">
        <v>174</v>
      </c>
      <c r="BY4" s="165">
        <f t="shared" ref="BY4:BY11" si="0">COUNTIF($BH$6:$BV$54,BX4)</f>
        <v>0</v>
      </c>
      <c r="BZ4" s="165" t="str">
        <f t="shared" ref="BZ4:BZ11" si="1">IF(BY4&gt;0,BX4,"")</f>
        <v/>
      </c>
      <c r="CA4" s="165" t="str">
        <f t="shared" ref="CA4:CA11" si="2">IF(BZ4="","",BZ4&amp;", ")</f>
        <v/>
      </c>
      <c r="CC4" s="16">
        <v>1</v>
      </c>
      <c r="CD4" s="16">
        <v>2</v>
      </c>
      <c r="CE4" s="16">
        <v>3</v>
      </c>
      <c r="CF4" s="16">
        <v>4</v>
      </c>
      <c r="CG4" s="16">
        <v>5</v>
      </c>
      <c r="CH4" s="16">
        <v>6</v>
      </c>
      <c r="CI4" s="16">
        <v>7</v>
      </c>
      <c r="CJ4" s="16">
        <v>8</v>
      </c>
      <c r="CK4" s="16">
        <v>9</v>
      </c>
      <c r="CL4" s="16">
        <v>10</v>
      </c>
      <c r="CM4" s="16">
        <v>11</v>
      </c>
      <c r="CN4" s="16">
        <v>12</v>
      </c>
      <c r="CO4" s="16">
        <v>13</v>
      </c>
      <c r="CP4" s="16">
        <v>14</v>
      </c>
      <c r="CQ4" s="16">
        <v>15</v>
      </c>
      <c r="CS4" s="146" t="s">
        <v>175</v>
      </c>
      <c r="CT4" s="165">
        <f t="shared" ref="CT4:CT11" si="3">COUNTIF($CC$6:$CQ$54,CS4)</f>
        <v>10</v>
      </c>
      <c r="CU4" s="165" t="str">
        <f t="shared" ref="CU4:CU11" si="4">IF(CT4&gt;0,CS4,"")</f>
        <v>Mitutoyo, 516-106-10, S/N. 1103008</v>
      </c>
      <c r="CV4" s="164" t="str">
        <f t="shared" ref="CV4:CV11" si="5">IF(CU4="","",CU4&amp;"; ")</f>
        <v xml:space="preserve">Mitutoyo, 516-106-10, S/N. 1103008; </v>
      </c>
    </row>
    <row r="5" spans="1:101" x14ac:dyDescent="0.3">
      <c r="A5" s="373"/>
      <c r="B5" s="375"/>
      <c r="C5" s="375"/>
      <c r="D5" s="190"/>
      <c r="E5" s="190" t="s">
        <v>176</v>
      </c>
      <c r="F5" s="190" t="s">
        <v>177</v>
      </c>
      <c r="G5" s="190" t="s">
        <v>176</v>
      </c>
      <c r="H5" s="190" t="s">
        <v>177</v>
      </c>
      <c r="I5" s="190"/>
      <c r="J5" s="190"/>
      <c r="K5" s="227" t="s">
        <v>178</v>
      </c>
      <c r="L5" s="229">
        <f t="shared" ref="L5:Z5" si="6">AB58</f>
        <v>0</v>
      </c>
      <c r="M5" s="229">
        <f t="shared" si="6"/>
        <v>2.5000499999999999</v>
      </c>
      <c r="N5" s="229">
        <f t="shared" si="6"/>
        <v>5.1000899999999998</v>
      </c>
      <c r="O5" s="229">
        <f t="shared" si="6"/>
        <v>7.6998899999999999</v>
      </c>
      <c r="P5" s="229">
        <f t="shared" si="6"/>
        <v>10.299930000000002</v>
      </c>
      <c r="Q5" s="229">
        <f t="shared" si="6"/>
        <v>12.89992</v>
      </c>
      <c r="R5" s="229">
        <f t="shared" si="6"/>
        <v>14.999969999999999</v>
      </c>
      <c r="S5" s="229">
        <f t="shared" si="6"/>
        <v>17.599920000000001</v>
      </c>
      <c r="T5" s="229">
        <f t="shared" si="6"/>
        <v>20.199909999999999</v>
      </c>
      <c r="U5" s="229">
        <f t="shared" si="6"/>
        <v>22.799890000000001</v>
      </c>
      <c r="V5" s="229">
        <f t="shared" si="6"/>
        <v>25.000080000000001</v>
      </c>
      <c r="W5" s="229">
        <f t="shared" si="6"/>
        <v>0</v>
      </c>
      <c r="X5" s="229">
        <f t="shared" si="6"/>
        <v>0</v>
      </c>
      <c r="Y5" s="229">
        <f t="shared" si="6"/>
        <v>0</v>
      </c>
      <c r="Z5" s="229">
        <f t="shared" si="6"/>
        <v>0</v>
      </c>
      <c r="AB5" s="162">
        <f t="shared" ref="AB5:AP5" si="7">L4</f>
        <v>223</v>
      </c>
      <c r="AC5" s="162">
        <f t="shared" si="7"/>
        <v>6</v>
      </c>
      <c r="AD5" s="162">
        <f t="shared" si="7"/>
        <v>6</v>
      </c>
      <c r="AE5" s="162">
        <f t="shared" si="7"/>
        <v>6</v>
      </c>
      <c r="AF5" s="162">
        <f t="shared" si="7"/>
        <v>7</v>
      </c>
      <c r="AG5" s="162">
        <f t="shared" si="7"/>
        <v>7</v>
      </c>
      <c r="AH5" s="162">
        <f t="shared" si="7"/>
        <v>7</v>
      </c>
      <c r="AI5" s="162">
        <f t="shared" si="7"/>
        <v>77</v>
      </c>
      <c r="AJ5" s="162">
        <f t="shared" si="7"/>
        <v>7</v>
      </c>
      <c r="AK5" s="162">
        <f t="shared" si="7"/>
        <v>7</v>
      </c>
      <c r="AL5" s="162">
        <f t="shared" si="7"/>
        <v>77</v>
      </c>
      <c r="AM5" s="162">
        <f t="shared" si="7"/>
        <v>0</v>
      </c>
      <c r="AN5" s="162">
        <f t="shared" si="7"/>
        <v>0</v>
      </c>
      <c r="AO5" s="162">
        <f t="shared" si="7"/>
        <v>0</v>
      </c>
      <c r="AP5" s="162">
        <f t="shared" si="7"/>
        <v>0</v>
      </c>
      <c r="AR5" s="162">
        <f t="shared" ref="AR5:BF5" si="8">L4</f>
        <v>223</v>
      </c>
      <c r="AS5" s="162">
        <f t="shared" si="8"/>
        <v>6</v>
      </c>
      <c r="AT5" s="162">
        <f t="shared" si="8"/>
        <v>6</v>
      </c>
      <c r="AU5" s="162">
        <f t="shared" si="8"/>
        <v>6</v>
      </c>
      <c r="AV5" s="162">
        <f t="shared" si="8"/>
        <v>7</v>
      </c>
      <c r="AW5" s="162">
        <f t="shared" si="8"/>
        <v>7</v>
      </c>
      <c r="AX5" s="162">
        <f t="shared" si="8"/>
        <v>7</v>
      </c>
      <c r="AY5" s="162">
        <f t="shared" si="8"/>
        <v>77</v>
      </c>
      <c r="AZ5" s="162">
        <f t="shared" si="8"/>
        <v>7</v>
      </c>
      <c r="BA5" s="162">
        <f t="shared" si="8"/>
        <v>7</v>
      </c>
      <c r="BB5" s="162">
        <f t="shared" si="8"/>
        <v>77</v>
      </c>
      <c r="BC5" s="162">
        <f t="shared" si="8"/>
        <v>0</v>
      </c>
      <c r="BD5" s="162">
        <f t="shared" si="8"/>
        <v>0</v>
      </c>
      <c r="BE5" s="162">
        <f t="shared" si="8"/>
        <v>0</v>
      </c>
      <c r="BF5" s="162">
        <f t="shared" si="8"/>
        <v>0</v>
      </c>
      <c r="BH5" s="162">
        <f t="shared" ref="BH5:BV5" si="9">L4</f>
        <v>223</v>
      </c>
      <c r="BI5" s="162">
        <f t="shared" si="9"/>
        <v>6</v>
      </c>
      <c r="BJ5" s="162">
        <f t="shared" si="9"/>
        <v>6</v>
      </c>
      <c r="BK5" s="162">
        <f t="shared" si="9"/>
        <v>6</v>
      </c>
      <c r="BL5" s="162">
        <f t="shared" si="9"/>
        <v>7</v>
      </c>
      <c r="BM5" s="162">
        <f t="shared" si="9"/>
        <v>7</v>
      </c>
      <c r="BN5" s="162">
        <f t="shared" si="9"/>
        <v>7</v>
      </c>
      <c r="BO5" s="162">
        <f t="shared" si="9"/>
        <v>77</v>
      </c>
      <c r="BP5" s="162">
        <f t="shared" si="9"/>
        <v>7</v>
      </c>
      <c r="BQ5" s="162">
        <f t="shared" si="9"/>
        <v>7</v>
      </c>
      <c r="BR5" s="162">
        <f t="shared" si="9"/>
        <v>77</v>
      </c>
      <c r="BS5" s="162">
        <f t="shared" si="9"/>
        <v>0</v>
      </c>
      <c r="BT5" s="162">
        <f t="shared" si="9"/>
        <v>0</v>
      </c>
      <c r="BU5" s="162">
        <f t="shared" si="9"/>
        <v>0</v>
      </c>
      <c r="BV5" s="162">
        <f t="shared" si="9"/>
        <v>0</v>
      </c>
      <c r="BX5" s="164" t="s">
        <v>179</v>
      </c>
      <c r="BY5" s="165">
        <f t="shared" si="0"/>
        <v>10</v>
      </c>
      <c r="BZ5" s="165" t="str">
        <f t="shared" si="1"/>
        <v>LK-066-IDN</v>
      </c>
      <c r="CA5" s="165" t="str">
        <f t="shared" si="2"/>
        <v xml:space="preserve">LK-066-IDN, </v>
      </c>
      <c r="CC5" s="162">
        <f t="shared" ref="CC5:CQ5" si="10">AG5</f>
        <v>7</v>
      </c>
      <c r="CD5" s="162">
        <f t="shared" si="10"/>
        <v>7</v>
      </c>
      <c r="CE5" s="162">
        <f t="shared" si="10"/>
        <v>77</v>
      </c>
      <c r="CF5" s="162">
        <f t="shared" si="10"/>
        <v>7</v>
      </c>
      <c r="CG5" s="162">
        <f t="shared" si="10"/>
        <v>7</v>
      </c>
      <c r="CH5" s="162">
        <f t="shared" si="10"/>
        <v>77</v>
      </c>
      <c r="CI5" s="162">
        <f t="shared" si="10"/>
        <v>0</v>
      </c>
      <c r="CJ5" s="162">
        <f t="shared" si="10"/>
        <v>0</v>
      </c>
      <c r="CK5" s="162">
        <f t="shared" si="10"/>
        <v>0</v>
      </c>
      <c r="CL5" s="162">
        <f t="shared" si="10"/>
        <v>0</v>
      </c>
      <c r="CM5" s="162">
        <f t="shared" si="10"/>
        <v>0</v>
      </c>
      <c r="CN5" s="162">
        <f t="shared" si="10"/>
        <v>223</v>
      </c>
      <c r="CO5" s="162">
        <f t="shared" si="10"/>
        <v>6</v>
      </c>
      <c r="CP5" s="162">
        <f t="shared" si="10"/>
        <v>6</v>
      </c>
      <c r="CQ5" s="162">
        <f t="shared" si="10"/>
        <v>6</v>
      </c>
      <c r="CS5" s="171" t="s">
        <v>180</v>
      </c>
      <c r="CT5" s="165">
        <f t="shared" si="3"/>
        <v>0</v>
      </c>
      <c r="CU5" s="165" t="str">
        <f t="shared" si="4"/>
        <v/>
      </c>
      <c r="CV5" s="164" t="str">
        <f t="shared" si="5"/>
        <v/>
      </c>
    </row>
    <row r="6" spans="1:101" ht="13.2" customHeight="1" x14ac:dyDescent="0.25">
      <c r="A6" s="146" t="s">
        <v>181</v>
      </c>
      <c r="B6" s="146" t="s">
        <v>175</v>
      </c>
      <c r="C6" s="263" t="s">
        <v>182</v>
      </c>
      <c r="D6" s="147">
        <v>0</v>
      </c>
      <c r="E6" s="148">
        <v>2.5</v>
      </c>
      <c r="F6" s="149">
        <v>0.05</v>
      </c>
      <c r="G6" s="150">
        <f t="shared" ref="G6:G50" si="11">E6+F6/1000</f>
        <v>2.5000499999999999</v>
      </c>
      <c r="H6" s="147">
        <v>0.14000000000000001</v>
      </c>
      <c r="I6" s="151">
        <v>45464</v>
      </c>
      <c r="J6" s="147" t="s">
        <v>179</v>
      </c>
      <c r="K6" s="228"/>
      <c r="L6" s="230"/>
      <c r="M6" s="230" t="s">
        <v>183</v>
      </c>
      <c r="N6" s="230"/>
      <c r="O6" s="230"/>
      <c r="P6" s="230"/>
      <c r="Q6" s="231"/>
      <c r="R6" s="231"/>
      <c r="S6" s="231"/>
      <c r="T6" s="231"/>
      <c r="U6" s="231"/>
      <c r="V6" s="230"/>
      <c r="W6" s="230"/>
      <c r="X6" s="230"/>
      <c r="Y6" s="230"/>
      <c r="Z6" s="230"/>
      <c r="AB6" s="18" t="str">
        <f t="shared" ref="AB6:AB37" si="12">IF(L6="x",$G6,"")</f>
        <v/>
      </c>
      <c r="AC6" s="18">
        <f t="shared" ref="AC6:AC37" si="13">IF(M6="x",$G6,"")</f>
        <v>2.5000499999999999</v>
      </c>
      <c r="AD6" s="18" t="str">
        <f t="shared" ref="AD6:AD37" si="14">IF(N6="x",$G6,"")</f>
        <v/>
      </c>
      <c r="AE6" s="18" t="str">
        <f t="shared" ref="AE6:AE37" si="15">IF(O6="x",$G6,"")</f>
        <v/>
      </c>
      <c r="AF6" s="18" t="str">
        <f t="shared" ref="AF6:AF37" si="16">IF(P6="x",$G6,"")</f>
        <v/>
      </c>
      <c r="AG6" s="18" t="str">
        <f t="shared" ref="AG6:AG37" si="17">IF(Q6="x",$G6,"")</f>
        <v/>
      </c>
      <c r="AH6" s="18" t="str">
        <f t="shared" ref="AH6:AH37" si="18">IF(R6="x",$G6,"")</f>
        <v/>
      </c>
      <c r="AI6" s="18" t="str">
        <f t="shared" ref="AI6:AI37" si="19">IF(S6="x",$G6,"")</f>
        <v/>
      </c>
      <c r="AJ6" s="18" t="str">
        <f t="shared" ref="AJ6:AJ37" si="20">IF(T6="x",$G6,"")</f>
        <v/>
      </c>
      <c r="AK6" s="18" t="str">
        <f t="shared" ref="AK6:AK37" si="21">IF(U6="x",$G6,"")</f>
        <v/>
      </c>
      <c r="AL6" s="18" t="str">
        <f t="shared" ref="AL6:AL37" si="22">IF(V6="x",$G6,"")</f>
        <v/>
      </c>
      <c r="AM6" s="18" t="str">
        <f t="shared" ref="AM6:AM37" si="23">IF(W6="x",$G6,"")</f>
        <v/>
      </c>
      <c r="AN6" s="18" t="str">
        <f t="shared" ref="AN6:AN37" si="24">IF(X6="x",$G6,"")</f>
        <v/>
      </c>
      <c r="AO6" s="18" t="str">
        <f t="shared" ref="AO6:AO37" si="25">IF(Y6="x",$G6,"")</f>
        <v/>
      </c>
      <c r="AP6" s="18" t="str">
        <f t="shared" ref="AP6:AP37" si="26">IF(Z6="x",$G6,"")</f>
        <v/>
      </c>
      <c r="AR6" s="18" t="str">
        <f t="shared" ref="AR6:AR37" si="27">IF(L6="x",$H6,"")</f>
        <v/>
      </c>
      <c r="AS6" s="18">
        <f t="shared" ref="AS6:AS37" si="28">IF(M6="x",$H6,"")</f>
        <v>0.14000000000000001</v>
      </c>
      <c r="AT6" s="18" t="str">
        <f t="shared" ref="AT6:AT37" si="29">IF(N6="x",$H6,"")</f>
        <v/>
      </c>
      <c r="AU6" s="18" t="str">
        <f t="shared" ref="AU6:AU37" si="30">IF(O6="x",$H6,"")</f>
        <v/>
      </c>
      <c r="AV6" s="18" t="str">
        <f t="shared" ref="AV6:AV37" si="31">IF(P6="x",$H6,"")</f>
        <v/>
      </c>
      <c r="AW6" s="18" t="str">
        <f t="shared" ref="AW6:AW37" si="32">IF(Q6="x",$H6,"")</f>
        <v/>
      </c>
      <c r="AX6" s="18" t="str">
        <f t="shared" ref="AX6:AX37" si="33">IF(R6="x",$H6,"")</f>
        <v/>
      </c>
      <c r="AY6" s="18" t="str">
        <f t="shared" ref="AY6:AY37" si="34">IF(S6="x",$H6,"")</f>
        <v/>
      </c>
      <c r="AZ6" s="18" t="str">
        <f t="shared" ref="AZ6:AZ37" si="35">IF(T6="x",$H6,"")</f>
        <v/>
      </c>
      <c r="BA6" s="18" t="str">
        <f t="shared" ref="BA6:BA37" si="36">IF(U6="x",$H6,"")</f>
        <v/>
      </c>
      <c r="BB6" s="18" t="str">
        <f t="shared" ref="BB6:BB37" si="37">IF(V6="x",$H6,"")</f>
        <v/>
      </c>
      <c r="BC6" s="18" t="str">
        <f t="shared" ref="BC6:BC37" si="38">IF(W6="x",$H6,"")</f>
        <v/>
      </c>
      <c r="BD6" s="18" t="str">
        <f t="shared" ref="BD6:BD37" si="39">IF(X6="x",$H6,"")</f>
        <v/>
      </c>
      <c r="BE6" s="18" t="str">
        <f t="shared" ref="BE6:BE37" si="40">IF(Y6="x",$H6,"")</f>
        <v/>
      </c>
      <c r="BF6" s="18" t="str">
        <f t="shared" ref="BF6:BF37" si="41">IF(Z6="x",$H6,"")</f>
        <v/>
      </c>
      <c r="BH6" s="18" t="str">
        <f t="shared" ref="BH6:BH37" si="42">IF(L6="x",$J6,"")</f>
        <v/>
      </c>
      <c r="BI6" s="18" t="str">
        <f t="shared" ref="BI6:BI37" si="43">IF(M6="x",$J6,"")</f>
        <v>LK-066-IDN</v>
      </c>
      <c r="BJ6" s="18" t="str">
        <f t="shared" ref="BJ6:BJ37" si="44">IF(N6="x",$J6,"")</f>
        <v/>
      </c>
      <c r="BK6" s="18" t="str">
        <f t="shared" ref="BK6:BK37" si="45">IF(O6="x",$J6,"")</f>
        <v/>
      </c>
      <c r="BL6" s="18" t="str">
        <f t="shared" ref="BL6:BL37" si="46">IF(P6="x",$J6,"")</f>
        <v/>
      </c>
      <c r="BM6" s="18" t="str">
        <f t="shared" ref="BM6:BM37" si="47">IF(Q6="x",$J6,"")</f>
        <v/>
      </c>
      <c r="BN6" s="18" t="str">
        <f t="shared" ref="BN6:BN37" si="48">IF(R6="x",$J6,"")</f>
        <v/>
      </c>
      <c r="BO6" s="18" t="str">
        <f t="shared" ref="BO6:BO37" si="49">IF(S6="x",$J6,"")</f>
        <v/>
      </c>
      <c r="BP6" s="18" t="str">
        <f t="shared" ref="BP6:BP37" si="50">IF(T6="x",$J6,"")</f>
        <v/>
      </c>
      <c r="BQ6" s="18" t="str">
        <f t="shared" ref="BQ6:BQ37" si="51">IF(U6="x",$J6,"")</f>
        <v/>
      </c>
      <c r="BR6" s="18" t="str">
        <f t="shared" ref="BR6:BR37" si="52">IF(V6="x",$J6,"")</f>
        <v/>
      </c>
      <c r="BS6" s="18" t="str">
        <f t="shared" ref="BS6:BS37" si="53">IF(W6="x",$J6,"")</f>
        <v/>
      </c>
      <c r="BT6" s="18" t="str">
        <f t="shared" ref="BT6:BT37" si="54">IF(X6="x",$J6,"")</f>
        <v/>
      </c>
      <c r="BU6" s="18" t="str">
        <f t="shared" ref="BU6:BU37" si="55">IF(Y6="x",$J6,"")</f>
        <v/>
      </c>
      <c r="BV6" s="18" t="str">
        <f t="shared" ref="BV6:BV37" si="56">IF(Z6="x",$J6,"")</f>
        <v/>
      </c>
      <c r="BX6" s="164" t="s">
        <v>184</v>
      </c>
      <c r="BY6" s="165">
        <f t="shared" si="0"/>
        <v>0</v>
      </c>
      <c r="BZ6" s="165" t="str">
        <f t="shared" si="1"/>
        <v/>
      </c>
      <c r="CA6" s="165" t="str">
        <f t="shared" si="2"/>
        <v/>
      </c>
      <c r="CC6" s="18" t="str">
        <f t="shared" ref="CC6:CC37" si="57">IF(L6="x",$B6,"")</f>
        <v/>
      </c>
      <c r="CD6" s="18" t="str">
        <f t="shared" ref="CD6:CD37" si="58">IF(M6="x",$B6,"")</f>
        <v>Mitutoyo, 516-106-10, S/N. 1103008</v>
      </c>
      <c r="CE6" s="18" t="str">
        <f t="shared" ref="CE6:CE37" si="59">IF(N6="x",$B6,"")</f>
        <v/>
      </c>
      <c r="CF6" s="18" t="str">
        <f t="shared" ref="CF6:CF37" si="60">IF(O6="x",$B6,"")</f>
        <v/>
      </c>
      <c r="CG6" s="18" t="str">
        <f t="shared" ref="CG6:CG37" si="61">IF(P6="x",$B6,"")</f>
        <v/>
      </c>
      <c r="CH6" s="18" t="str">
        <f t="shared" ref="CH6:CH37" si="62">IF(Q6="x",$B6,"")</f>
        <v/>
      </c>
      <c r="CI6" s="18" t="str">
        <f t="shared" ref="CI6:CI37" si="63">IF(R6="x",$B6,"")</f>
        <v/>
      </c>
      <c r="CJ6" s="18" t="str">
        <f t="shared" ref="CJ6:CJ37" si="64">IF(S6="x",$B6,"")</f>
        <v/>
      </c>
      <c r="CK6" s="18" t="str">
        <f t="shared" ref="CK6:CK37" si="65">IF(T6="x",$B6,"")</f>
        <v/>
      </c>
      <c r="CL6" s="18" t="str">
        <f t="shared" ref="CL6:CL37" si="66">IF(U6="x",$B6,"")</f>
        <v/>
      </c>
      <c r="CM6" s="18" t="str">
        <f t="shared" ref="CM6:CM37" si="67">IF(V6="x",$B6,"")</f>
        <v/>
      </c>
      <c r="CN6" s="18" t="str">
        <f t="shared" ref="CN6:CN37" si="68">IF(W6="x",$B6,"")</f>
        <v/>
      </c>
      <c r="CO6" s="18" t="str">
        <f t="shared" ref="CO6:CO37" si="69">IF(X6="x",$B6,"")</f>
        <v/>
      </c>
      <c r="CP6" s="18" t="str">
        <f t="shared" ref="CP6:CP37" si="70">IF(Y6="x",$B6,"")</f>
        <v/>
      </c>
      <c r="CQ6" s="18" t="str">
        <f t="shared" ref="CQ6:CQ37" si="71">IF(Z6="x",$B6,"")</f>
        <v/>
      </c>
      <c r="CS6" s="161" t="s">
        <v>185</v>
      </c>
      <c r="CT6" s="165">
        <f t="shared" si="3"/>
        <v>0</v>
      </c>
      <c r="CU6" s="165" t="str">
        <f t="shared" si="4"/>
        <v/>
      </c>
      <c r="CV6" s="164" t="str">
        <f t="shared" si="5"/>
        <v/>
      </c>
    </row>
    <row r="7" spans="1:101" ht="13.2" customHeight="1" x14ac:dyDescent="0.25">
      <c r="A7" s="146" t="s">
        <v>181</v>
      </c>
      <c r="B7" s="146" t="s">
        <v>175</v>
      </c>
      <c r="C7" s="263" t="s">
        <v>182</v>
      </c>
      <c r="D7" s="147">
        <v>0</v>
      </c>
      <c r="E7" s="148">
        <v>5.0999999999999996</v>
      </c>
      <c r="F7" s="149">
        <v>0.09</v>
      </c>
      <c r="G7" s="150">
        <f t="shared" si="11"/>
        <v>5.1000899999999998</v>
      </c>
      <c r="H7" s="147">
        <v>0.14000000000000001</v>
      </c>
      <c r="I7" s="151">
        <v>45464</v>
      </c>
      <c r="J7" s="147" t="s">
        <v>179</v>
      </c>
      <c r="K7" s="228"/>
      <c r="L7" s="230"/>
      <c r="M7" s="230"/>
      <c r="N7" s="230" t="s">
        <v>183</v>
      </c>
      <c r="O7" s="230"/>
      <c r="P7" s="230"/>
      <c r="Q7" s="231"/>
      <c r="R7" s="231"/>
      <c r="S7" s="231"/>
      <c r="T7" s="231"/>
      <c r="U7" s="231"/>
      <c r="V7" s="230"/>
      <c r="W7" s="230"/>
      <c r="X7" s="230"/>
      <c r="Y7" s="230"/>
      <c r="Z7" s="230"/>
      <c r="AB7" s="18" t="str">
        <f t="shared" si="12"/>
        <v/>
      </c>
      <c r="AC7" s="18" t="str">
        <f t="shared" si="13"/>
        <v/>
      </c>
      <c r="AD7" s="18">
        <f t="shared" si="14"/>
        <v>5.1000899999999998</v>
      </c>
      <c r="AE7" s="18" t="str">
        <f t="shared" si="15"/>
        <v/>
      </c>
      <c r="AF7" s="18" t="str">
        <f t="shared" si="16"/>
        <v/>
      </c>
      <c r="AG7" s="18" t="str">
        <f t="shared" si="17"/>
        <v/>
      </c>
      <c r="AH7" s="18" t="str">
        <f t="shared" si="18"/>
        <v/>
      </c>
      <c r="AI7" s="18" t="str">
        <f t="shared" si="19"/>
        <v/>
      </c>
      <c r="AJ7" s="18" t="str">
        <f t="shared" si="20"/>
        <v/>
      </c>
      <c r="AK7" s="18" t="str">
        <f t="shared" si="21"/>
        <v/>
      </c>
      <c r="AL7" s="18" t="str">
        <f t="shared" si="22"/>
        <v/>
      </c>
      <c r="AM7" s="18" t="str">
        <f t="shared" si="23"/>
        <v/>
      </c>
      <c r="AN7" s="18" t="str">
        <f t="shared" si="24"/>
        <v/>
      </c>
      <c r="AO7" s="18" t="str">
        <f t="shared" si="25"/>
        <v/>
      </c>
      <c r="AP7" s="18" t="str">
        <f t="shared" si="26"/>
        <v/>
      </c>
      <c r="AR7" s="18" t="str">
        <f t="shared" si="27"/>
        <v/>
      </c>
      <c r="AS7" s="18" t="str">
        <f t="shared" si="28"/>
        <v/>
      </c>
      <c r="AT7" s="18">
        <f t="shared" si="29"/>
        <v>0.14000000000000001</v>
      </c>
      <c r="AU7" s="18" t="str">
        <f t="shared" si="30"/>
        <v/>
      </c>
      <c r="AV7" s="18" t="str">
        <f t="shared" si="31"/>
        <v/>
      </c>
      <c r="AW7" s="18" t="str">
        <f t="shared" si="32"/>
        <v/>
      </c>
      <c r="AX7" s="18" t="str">
        <f t="shared" si="33"/>
        <v/>
      </c>
      <c r="AY7" s="18" t="str">
        <f t="shared" si="34"/>
        <v/>
      </c>
      <c r="AZ7" s="18" t="str">
        <f t="shared" si="35"/>
        <v/>
      </c>
      <c r="BA7" s="18" t="str">
        <f t="shared" si="36"/>
        <v/>
      </c>
      <c r="BB7" s="18" t="str">
        <f t="shared" si="37"/>
        <v/>
      </c>
      <c r="BC7" s="18" t="str">
        <f t="shared" si="38"/>
        <v/>
      </c>
      <c r="BD7" s="18" t="str">
        <f t="shared" si="39"/>
        <v/>
      </c>
      <c r="BE7" s="18" t="str">
        <f t="shared" si="40"/>
        <v/>
      </c>
      <c r="BF7" s="18" t="str">
        <f t="shared" si="41"/>
        <v/>
      </c>
      <c r="BH7" s="18" t="str">
        <f t="shared" si="42"/>
        <v/>
      </c>
      <c r="BI7" s="18" t="str">
        <f t="shared" si="43"/>
        <v/>
      </c>
      <c r="BJ7" s="18" t="str">
        <f t="shared" si="44"/>
        <v>LK-066-IDN</v>
      </c>
      <c r="BK7" s="18" t="str">
        <f t="shared" si="45"/>
        <v/>
      </c>
      <c r="BL7" s="18" t="str">
        <f t="shared" si="46"/>
        <v/>
      </c>
      <c r="BM7" s="18" t="str">
        <f t="shared" si="47"/>
        <v/>
      </c>
      <c r="BN7" s="18" t="str">
        <f t="shared" si="48"/>
        <v/>
      </c>
      <c r="BO7" s="18" t="str">
        <f t="shared" si="49"/>
        <v/>
      </c>
      <c r="BP7" s="18" t="str">
        <f t="shared" si="50"/>
        <v/>
      </c>
      <c r="BQ7" s="18" t="str">
        <f t="shared" si="51"/>
        <v/>
      </c>
      <c r="BR7" s="18" t="str">
        <f t="shared" si="52"/>
        <v/>
      </c>
      <c r="BS7" s="18" t="str">
        <f t="shared" si="53"/>
        <v/>
      </c>
      <c r="BT7" s="18" t="str">
        <f t="shared" si="54"/>
        <v/>
      </c>
      <c r="BU7" s="18" t="str">
        <f t="shared" si="55"/>
        <v/>
      </c>
      <c r="BV7" s="18" t="str">
        <f t="shared" si="56"/>
        <v/>
      </c>
      <c r="BX7" s="164" t="s">
        <v>184</v>
      </c>
      <c r="BY7" s="165">
        <f t="shared" si="0"/>
        <v>0</v>
      </c>
      <c r="BZ7" s="165" t="str">
        <f t="shared" si="1"/>
        <v/>
      </c>
      <c r="CA7" s="165" t="str">
        <f t="shared" si="2"/>
        <v/>
      </c>
      <c r="CC7" s="18" t="str">
        <f t="shared" si="57"/>
        <v/>
      </c>
      <c r="CD7" s="18" t="str">
        <f t="shared" si="58"/>
        <v/>
      </c>
      <c r="CE7" s="18" t="str">
        <f t="shared" si="59"/>
        <v>Mitutoyo, 516-106-10, S/N. 1103008</v>
      </c>
      <c r="CF7" s="18" t="str">
        <f t="shared" si="60"/>
        <v/>
      </c>
      <c r="CG7" s="18" t="str">
        <f t="shared" si="61"/>
        <v/>
      </c>
      <c r="CH7" s="18" t="str">
        <f t="shared" si="62"/>
        <v/>
      </c>
      <c r="CI7" s="18" t="str">
        <f t="shared" si="63"/>
        <v/>
      </c>
      <c r="CJ7" s="18" t="str">
        <f t="shared" si="64"/>
        <v/>
      </c>
      <c r="CK7" s="18" t="str">
        <f t="shared" si="65"/>
        <v/>
      </c>
      <c r="CL7" s="18" t="str">
        <f t="shared" si="66"/>
        <v/>
      </c>
      <c r="CM7" s="18" t="str">
        <f t="shared" si="67"/>
        <v/>
      </c>
      <c r="CN7" s="18" t="str">
        <f t="shared" si="68"/>
        <v/>
      </c>
      <c r="CO7" s="18" t="str">
        <f t="shared" si="69"/>
        <v/>
      </c>
      <c r="CP7" s="18" t="str">
        <f t="shared" si="70"/>
        <v/>
      </c>
      <c r="CQ7" s="18" t="str">
        <f t="shared" si="71"/>
        <v/>
      </c>
      <c r="CS7" s="161" t="s">
        <v>186</v>
      </c>
      <c r="CT7" s="165">
        <f t="shared" si="3"/>
        <v>0</v>
      </c>
      <c r="CU7" s="165" t="str">
        <f t="shared" si="4"/>
        <v/>
      </c>
      <c r="CV7" s="164" t="str">
        <f t="shared" si="5"/>
        <v/>
      </c>
    </row>
    <row r="8" spans="1:101" ht="13.2" customHeight="1" x14ac:dyDescent="0.25">
      <c r="A8" s="146" t="s">
        <v>181</v>
      </c>
      <c r="B8" s="146" t="s">
        <v>175</v>
      </c>
      <c r="C8" s="263" t="s">
        <v>182</v>
      </c>
      <c r="D8" s="147">
        <v>0</v>
      </c>
      <c r="E8" s="148">
        <v>7.7</v>
      </c>
      <c r="F8" s="149">
        <v>-0.11</v>
      </c>
      <c r="G8" s="150">
        <f t="shared" si="11"/>
        <v>7.6998899999999999</v>
      </c>
      <c r="H8" s="147">
        <v>0.1</v>
      </c>
      <c r="I8" s="151">
        <v>45464</v>
      </c>
      <c r="J8" s="147" t="s">
        <v>179</v>
      </c>
      <c r="K8" s="228"/>
      <c r="L8" s="230"/>
      <c r="M8" s="230"/>
      <c r="N8" s="230"/>
      <c r="O8" s="230" t="s">
        <v>183</v>
      </c>
      <c r="P8" s="230"/>
      <c r="Q8" s="231"/>
      <c r="R8" s="231"/>
      <c r="S8" s="231"/>
      <c r="T8" s="231"/>
      <c r="U8" s="231"/>
      <c r="V8" s="230"/>
      <c r="W8" s="230"/>
      <c r="X8" s="230"/>
      <c r="Y8" s="230"/>
      <c r="Z8" s="230"/>
      <c r="AB8" s="18" t="str">
        <f t="shared" si="12"/>
        <v/>
      </c>
      <c r="AC8" s="18" t="str">
        <f t="shared" si="13"/>
        <v/>
      </c>
      <c r="AD8" s="18" t="str">
        <f t="shared" si="14"/>
        <v/>
      </c>
      <c r="AE8" s="18">
        <f t="shared" si="15"/>
        <v>7.6998899999999999</v>
      </c>
      <c r="AF8" s="18" t="str">
        <f t="shared" si="16"/>
        <v/>
      </c>
      <c r="AG8" s="18" t="str">
        <f t="shared" si="17"/>
        <v/>
      </c>
      <c r="AH8" s="18" t="str">
        <f t="shared" si="18"/>
        <v/>
      </c>
      <c r="AI8" s="18" t="str">
        <f t="shared" si="19"/>
        <v/>
      </c>
      <c r="AJ8" s="18" t="str">
        <f t="shared" si="20"/>
        <v/>
      </c>
      <c r="AK8" s="18" t="str">
        <f t="shared" si="21"/>
        <v/>
      </c>
      <c r="AL8" s="18" t="str">
        <f t="shared" si="22"/>
        <v/>
      </c>
      <c r="AM8" s="18" t="str">
        <f t="shared" si="23"/>
        <v/>
      </c>
      <c r="AN8" s="18" t="str">
        <f t="shared" si="24"/>
        <v/>
      </c>
      <c r="AO8" s="18" t="str">
        <f t="shared" si="25"/>
        <v/>
      </c>
      <c r="AP8" s="18" t="str">
        <f t="shared" si="26"/>
        <v/>
      </c>
      <c r="AR8" s="18" t="str">
        <f t="shared" si="27"/>
        <v/>
      </c>
      <c r="AS8" s="18" t="str">
        <f t="shared" si="28"/>
        <v/>
      </c>
      <c r="AT8" s="18" t="str">
        <f t="shared" si="29"/>
        <v/>
      </c>
      <c r="AU8" s="18">
        <f t="shared" si="30"/>
        <v>0.1</v>
      </c>
      <c r="AV8" s="18" t="str">
        <f t="shared" si="31"/>
        <v/>
      </c>
      <c r="AW8" s="18" t="str">
        <f t="shared" si="32"/>
        <v/>
      </c>
      <c r="AX8" s="18" t="str">
        <f t="shared" si="33"/>
        <v/>
      </c>
      <c r="AY8" s="18" t="str">
        <f t="shared" si="34"/>
        <v/>
      </c>
      <c r="AZ8" s="18" t="str">
        <f t="shared" si="35"/>
        <v/>
      </c>
      <c r="BA8" s="18" t="str">
        <f t="shared" si="36"/>
        <v/>
      </c>
      <c r="BB8" s="18" t="str">
        <f t="shared" si="37"/>
        <v/>
      </c>
      <c r="BC8" s="18" t="str">
        <f t="shared" si="38"/>
        <v/>
      </c>
      <c r="BD8" s="18" t="str">
        <f t="shared" si="39"/>
        <v/>
      </c>
      <c r="BE8" s="18" t="str">
        <f t="shared" si="40"/>
        <v/>
      </c>
      <c r="BF8" s="18" t="str">
        <f t="shared" si="41"/>
        <v/>
      </c>
      <c r="BH8" s="18" t="str">
        <f t="shared" si="42"/>
        <v/>
      </c>
      <c r="BI8" s="18" t="str">
        <f t="shared" si="43"/>
        <v/>
      </c>
      <c r="BJ8" s="18" t="str">
        <f t="shared" si="44"/>
        <v/>
      </c>
      <c r="BK8" s="18" t="str">
        <f t="shared" si="45"/>
        <v>LK-066-IDN</v>
      </c>
      <c r="BL8" s="18" t="str">
        <f t="shared" si="46"/>
        <v/>
      </c>
      <c r="BM8" s="18" t="str">
        <f t="shared" si="47"/>
        <v/>
      </c>
      <c r="BN8" s="18" t="str">
        <f t="shared" si="48"/>
        <v/>
      </c>
      <c r="BO8" s="18" t="str">
        <f t="shared" si="49"/>
        <v/>
      </c>
      <c r="BP8" s="18" t="str">
        <f t="shared" si="50"/>
        <v/>
      </c>
      <c r="BQ8" s="18" t="str">
        <f t="shared" si="51"/>
        <v/>
      </c>
      <c r="BR8" s="18" t="str">
        <f t="shared" si="52"/>
        <v/>
      </c>
      <c r="BS8" s="18" t="str">
        <f t="shared" si="53"/>
        <v/>
      </c>
      <c r="BT8" s="18" t="str">
        <f t="shared" si="54"/>
        <v/>
      </c>
      <c r="BU8" s="18" t="str">
        <f t="shared" si="55"/>
        <v/>
      </c>
      <c r="BV8" s="18" t="str">
        <f t="shared" si="56"/>
        <v/>
      </c>
      <c r="BX8" s="164" t="s">
        <v>184</v>
      </c>
      <c r="BY8" s="165">
        <f t="shared" si="0"/>
        <v>0</v>
      </c>
      <c r="BZ8" s="165" t="str">
        <f t="shared" si="1"/>
        <v/>
      </c>
      <c r="CA8" s="165" t="str">
        <f t="shared" si="2"/>
        <v/>
      </c>
      <c r="CC8" s="18" t="str">
        <f t="shared" si="57"/>
        <v/>
      </c>
      <c r="CD8" s="18" t="str">
        <f t="shared" si="58"/>
        <v/>
      </c>
      <c r="CE8" s="18" t="str">
        <f t="shared" si="59"/>
        <v/>
      </c>
      <c r="CF8" s="18" t="str">
        <f t="shared" si="60"/>
        <v>Mitutoyo, 516-106-10, S/N. 1103008</v>
      </c>
      <c r="CG8" s="18" t="str">
        <f t="shared" si="61"/>
        <v/>
      </c>
      <c r="CH8" s="18" t="str">
        <f t="shared" si="62"/>
        <v/>
      </c>
      <c r="CI8" s="18" t="str">
        <f t="shared" si="63"/>
        <v/>
      </c>
      <c r="CJ8" s="18" t="str">
        <f t="shared" si="64"/>
        <v/>
      </c>
      <c r="CK8" s="18" t="str">
        <f t="shared" si="65"/>
        <v/>
      </c>
      <c r="CL8" s="18" t="str">
        <f t="shared" si="66"/>
        <v/>
      </c>
      <c r="CM8" s="18" t="str">
        <f t="shared" si="67"/>
        <v/>
      </c>
      <c r="CN8" s="18" t="str">
        <f t="shared" si="68"/>
        <v/>
      </c>
      <c r="CO8" s="18" t="str">
        <f t="shared" si="69"/>
        <v/>
      </c>
      <c r="CP8" s="18" t="str">
        <f t="shared" si="70"/>
        <v/>
      </c>
      <c r="CQ8" s="18" t="str">
        <f t="shared" si="71"/>
        <v/>
      </c>
      <c r="CS8" s="161" t="s">
        <v>187</v>
      </c>
      <c r="CT8" s="165">
        <f t="shared" si="3"/>
        <v>0</v>
      </c>
      <c r="CU8" s="165" t="str">
        <f t="shared" si="4"/>
        <v/>
      </c>
      <c r="CV8" s="164" t="str">
        <f t="shared" si="5"/>
        <v/>
      </c>
    </row>
    <row r="9" spans="1:101" ht="13.2" customHeight="1" x14ac:dyDescent="0.25">
      <c r="A9" s="146" t="s">
        <v>181</v>
      </c>
      <c r="B9" s="146" t="s">
        <v>175</v>
      </c>
      <c r="C9" s="263" t="s">
        <v>182</v>
      </c>
      <c r="D9" s="147">
        <v>0</v>
      </c>
      <c r="E9" s="148">
        <v>10.3</v>
      </c>
      <c r="F9" s="149">
        <v>-7.0000000000000007E-2</v>
      </c>
      <c r="G9" s="150">
        <f t="shared" si="11"/>
        <v>10.299930000000002</v>
      </c>
      <c r="H9" s="147">
        <v>0.11</v>
      </c>
      <c r="I9" s="151">
        <v>45464</v>
      </c>
      <c r="J9" s="147" t="s">
        <v>179</v>
      </c>
      <c r="K9" s="228"/>
      <c r="L9" s="230"/>
      <c r="M9" s="230"/>
      <c r="N9" s="230"/>
      <c r="O9" s="230"/>
      <c r="P9" s="230" t="s">
        <v>183</v>
      </c>
      <c r="Q9" s="231"/>
      <c r="R9" s="231"/>
      <c r="S9" s="231"/>
      <c r="T9" s="231"/>
      <c r="U9" s="231"/>
      <c r="V9" s="230"/>
      <c r="W9" s="230"/>
      <c r="X9" s="230"/>
      <c r="Y9" s="230"/>
      <c r="Z9" s="230"/>
      <c r="AB9" s="18" t="str">
        <f t="shared" si="12"/>
        <v/>
      </c>
      <c r="AC9" s="18" t="str">
        <f t="shared" si="13"/>
        <v/>
      </c>
      <c r="AD9" s="18" t="str">
        <f t="shared" si="14"/>
        <v/>
      </c>
      <c r="AE9" s="18" t="str">
        <f t="shared" si="15"/>
        <v/>
      </c>
      <c r="AF9" s="18">
        <f t="shared" si="16"/>
        <v>10.299930000000002</v>
      </c>
      <c r="AG9" s="18" t="str">
        <f t="shared" si="17"/>
        <v/>
      </c>
      <c r="AH9" s="18" t="str">
        <f t="shared" si="18"/>
        <v/>
      </c>
      <c r="AI9" s="18" t="str">
        <f t="shared" si="19"/>
        <v/>
      </c>
      <c r="AJ9" s="18" t="str">
        <f t="shared" si="20"/>
        <v/>
      </c>
      <c r="AK9" s="18" t="str">
        <f t="shared" si="21"/>
        <v/>
      </c>
      <c r="AL9" s="18" t="str">
        <f t="shared" si="22"/>
        <v/>
      </c>
      <c r="AM9" s="18" t="str">
        <f t="shared" si="23"/>
        <v/>
      </c>
      <c r="AN9" s="18" t="str">
        <f t="shared" si="24"/>
        <v/>
      </c>
      <c r="AO9" s="18" t="str">
        <f t="shared" si="25"/>
        <v/>
      </c>
      <c r="AP9" s="18" t="str">
        <f t="shared" si="26"/>
        <v/>
      </c>
      <c r="AR9" s="18" t="str">
        <f t="shared" si="27"/>
        <v/>
      </c>
      <c r="AS9" s="18" t="str">
        <f t="shared" si="28"/>
        <v/>
      </c>
      <c r="AT9" s="18" t="str">
        <f t="shared" si="29"/>
        <v/>
      </c>
      <c r="AU9" s="18" t="str">
        <f t="shared" si="30"/>
        <v/>
      </c>
      <c r="AV9" s="18">
        <f t="shared" si="31"/>
        <v>0.11</v>
      </c>
      <c r="AW9" s="18" t="str">
        <f t="shared" si="32"/>
        <v/>
      </c>
      <c r="AX9" s="18" t="str">
        <f t="shared" si="33"/>
        <v/>
      </c>
      <c r="AY9" s="18" t="str">
        <f t="shared" si="34"/>
        <v/>
      </c>
      <c r="AZ9" s="18" t="str">
        <f t="shared" si="35"/>
        <v/>
      </c>
      <c r="BA9" s="18" t="str">
        <f t="shared" si="36"/>
        <v/>
      </c>
      <c r="BB9" s="18" t="str">
        <f t="shared" si="37"/>
        <v/>
      </c>
      <c r="BC9" s="18" t="str">
        <f t="shared" si="38"/>
        <v/>
      </c>
      <c r="BD9" s="18" t="str">
        <f t="shared" si="39"/>
        <v/>
      </c>
      <c r="BE9" s="18" t="str">
        <f t="shared" si="40"/>
        <v/>
      </c>
      <c r="BF9" s="18" t="str">
        <f t="shared" si="41"/>
        <v/>
      </c>
      <c r="BH9" s="18" t="str">
        <f t="shared" si="42"/>
        <v/>
      </c>
      <c r="BI9" s="18" t="str">
        <f t="shared" si="43"/>
        <v/>
      </c>
      <c r="BJ9" s="18" t="str">
        <f t="shared" si="44"/>
        <v/>
      </c>
      <c r="BK9" s="18" t="str">
        <f t="shared" si="45"/>
        <v/>
      </c>
      <c r="BL9" s="18" t="str">
        <f t="shared" si="46"/>
        <v>LK-066-IDN</v>
      </c>
      <c r="BM9" s="18" t="str">
        <f t="shared" si="47"/>
        <v/>
      </c>
      <c r="BN9" s="18" t="str">
        <f t="shared" si="48"/>
        <v/>
      </c>
      <c r="BO9" s="18" t="str">
        <f t="shared" si="49"/>
        <v/>
      </c>
      <c r="BP9" s="18" t="str">
        <f t="shared" si="50"/>
        <v/>
      </c>
      <c r="BQ9" s="18" t="str">
        <f t="shared" si="51"/>
        <v/>
      </c>
      <c r="BR9" s="18" t="str">
        <f t="shared" si="52"/>
        <v/>
      </c>
      <c r="BS9" s="18" t="str">
        <f t="shared" si="53"/>
        <v/>
      </c>
      <c r="BT9" s="18" t="str">
        <f t="shared" si="54"/>
        <v/>
      </c>
      <c r="BU9" s="18" t="str">
        <f t="shared" si="55"/>
        <v/>
      </c>
      <c r="BV9" s="18" t="str">
        <f t="shared" si="56"/>
        <v/>
      </c>
      <c r="BX9" s="164" t="s">
        <v>184</v>
      </c>
      <c r="BY9" s="165">
        <f t="shared" si="0"/>
        <v>0</v>
      </c>
      <c r="BZ9" s="165" t="str">
        <f t="shared" si="1"/>
        <v/>
      </c>
      <c r="CA9" s="165" t="str">
        <f t="shared" si="2"/>
        <v/>
      </c>
      <c r="CC9" s="18" t="str">
        <f t="shared" si="57"/>
        <v/>
      </c>
      <c r="CD9" s="18" t="str">
        <f t="shared" si="58"/>
        <v/>
      </c>
      <c r="CE9" s="18" t="str">
        <f t="shared" si="59"/>
        <v/>
      </c>
      <c r="CF9" s="18" t="str">
        <f t="shared" si="60"/>
        <v/>
      </c>
      <c r="CG9" s="18" t="str">
        <f t="shared" si="61"/>
        <v>Mitutoyo, 516-106-10, S/N. 1103008</v>
      </c>
      <c r="CH9" s="18" t="str">
        <f t="shared" si="62"/>
        <v/>
      </c>
      <c r="CI9" s="18" t="str">
        <f t="shared" si="63"/>
        <v/>
      </c>
      <c r="CJ9" s="18" t="str">
        <f t="shared" si="64"/>
        <v/>
      </c>
      <c r="CK9" s="18" t="str">
        <f t="shared" si="65"/>
        <v/>
      </c>
      <c r="CL9" s="18" t="str">
        <f t="shared" si="66"/>
        <v/>
      </c>
      <c r="CM9" s="18" t="str">
        <f t="shared" si="67"/>
        <v/>
      </c>
      <c r="CN9" s="18" t="str">
        <f t="shared" si="68"/>
        <v/>
      </c>
      <c r="CO9" s="18" t="str">
        <f t="shared" si="69"/>
        <v/>
      </c>
      <c r="CP9" s="18" t="str">
        <f t="shared" si="70"/>
        <v/>
      </c>
      <c r="CQ9" s="18" t="str">
        <f t="shared" si="71"/>
        <v/>
      </c>
      <c r="CS9" s="164" t="s">
        <v>184</v>
      </c>
      <c r="CT9" s="165">
        <f t="shared" si="3"/>
        <v>0</v>
      </c>
      <c r="CU9" s="165" t="str">
        <f t="shared" si="4"/>
        <v/>
      </c>
      <c r="CV9" s="164" t="str">
        <f t="shared" si="5"/>
        <v/>
      </c>
    </row>
    <row r="10" spans="1:101" ht="13.2" customHeight="1" x14ac:dyDescent="0.25">
      <c r="A10" s="146" t="s">
        <v>181</v>
      </c>
      <c r="B10" s="146" t="s">
        <v>175</v>
      </c>
      <c r="C10" s="263" t="s">
        <v>182</v>
      </c>
      <c r="D10" s="147">
        <v>0</v>
      </c>
      <c r="E10" s="148">
        <v>12.9</v>
      </c>
      <c r="F10" s="149">
        <v>-0.08</v>
      </c>
      <c r="G10" s="150">
        <f t="shared" si="11"/>
        <v>12.89992</v>
      </c>
      <c r="H10" s="147">
        <v>0.11</v>
      </c>
      <c r="I10" s="151">
        <v>45464</v>
      </c>
      <c r="J10" s="147" t="s">
        <v>179</v>
      </c>
      <c r="K10" s="228"/>
      <c r="L10" s="230"/>
      <c r="M10" s="230"/>
      <c r="N10" s="230"/>
      <c r="O10" s="230"/>
      <c r="P10" s="230"/>
      <c r="Q10" s="231" t="s">
        <v>183</v>
      </c>
      <c r="R10" s="231"/>
      <c r="S10" s="231"/>
      <c r="T10" s="231"/>
      <c r="U10" s="231"/>
      <c r="V10" s="230"/>
      <c r="W10" s="230"/>
      <c r="X10" s="230"/>
      <c r="Y10" s="230"/>
      <c r="Z10" s="230"/>
      <c r="AB10" s="18" t="str">
        <f t="shared" si="12"/>
        <v/>
      </c>
      <c r="AC10" s="18" t="str">
        <f t="shared" si="13"/>
        <v/>
      </c>
      <c r="AD10" s="18" t="str">
        <f t="shared" si="14"/>
        <v/>
      </c>
      <c r="AE10" s="18" t="str">
        <f t="shared" si="15"/>
        <v/>
      </c>
      <c r="AF10" s="18" t="str">
        <f t="shared" si="16"/>
        <v/>
      </c>
      <c r="AG10" s="18">
        <f t="shared" si="17"/>
        <v>12.89992</v>
      </c>
      <c r="AH10" s="18" t="str">
        <f t="shared" si="18"/>
        <v/>
      </c>
      <c r="AI10" s="18" t="str">
        <f t="shared" si="19"/>
        <v/>
      </c>
      <c r="AJ10" s="18" t="str">
        <f t="shared" si="20"/>
        <v/>
      </c>
      <c r="AK10" s="18" t="str">
        <f t="shared" si="21"/>
        <v/>
      </c>
      <c r="AL10" s="18" t="str">
        <f t="shared" si="22"/>
        <v/>
      </c>
      <c r="AM10" s="18" t="str">
        <f t="shared" si="23"/>
        <v/>
      </c>
      <c r="AN10" s="18" t="str">
        <f t="shared" si="24"/>
        <v/>
      </c>
      <c r="AO10" s="18" t="str">
        <f t="shared" si="25"/>
        <v/>
      </c>
      <c r="AP10" s="18" t="str">
        <f t="shared" si="26"/>
        <v/>
      </c>
      <c r="AR10" s="18" t="str">
        <f t="shared" si="27"/>
        <v/>
      </c>
      <c r="AS10" s="18" t="str">
        <f t="shared" si="28"/>
        <v/>
      </c>
      <c r="AT10" s="18" t="str">
        <f t="shared" si="29"/>
        <v/>
      </c>
      <c r="AU10" s="18" t="str">
        <f t="shared" si="30"/>
        <v/>
      </c>
      <c r="AV10" s="18" t="str">
        <f t="shared" si="31"/>
        <v/>
      </c>
      <c r="AW10" s="18">
        <f t="shared" si="32"/>
        <v>0.11</v>
      </c>
      <c r="AX10" s="18" t="str">
        <f t="shared" si="33"/>
        <v/>
      </c>
      <c r="AY10" s="18" t="str">
        <f t="shared" si="34"/>
        <v/>
      </c>
      <c r="AZ10" s="18" t="str">
        <f t="shared" si="35"/>
        <v/>
      </c>
      <c r="BA10" s="18" t="str">
        <f t="shared" si="36"/>
        <v/>
      </c>
      <c r="BB10" s="18" t="str">
        <f t="shared" si="37"/>
        <v/>
      </c>
      <c r="BC10" s="18" t="str">
        <f t="shared" si="38"/>
        <v/>
      </c>
      <c r="BD10" s="18" t="str">
        <f t="shared" si="39"/>
        <v/>
      </c>
      <c r="BE10" s="18" t="str">
        <f t="shared" si="40"/>
        <v/>
      </c>
      <c r="BF10" s="18" t="str">
        <f t="shared" si="41"/>
        <v/>
      </c>
      <c r="BH10" s="18" t="str">
        <f t="shared" si="42"/>
        <v/>
      </c>
      <c r="BI10" s="18" t="str">
        <f t="shared" si="43"/>
        <v/>
      </c>
      <c r="BJ10" s="18" t="str">
        <f t="shared" si="44"/>
        <v/>
      </c>
      <c r="BK10" s="18" t="str">
        <f t="shared" si="45"/>
        <v/>
      </c>
      <c r="BL10" s="18" t="str">
        <f t="shared" si="46"/>
        <v/>
      </c>
      <c r="BM10" s="18" t="str">
        <f t="shared" si="47"/>
        <v>LK-066-IDN</v>
      </c>
      <c r="BN10" s="18" t="str">
        <f t="shared" si="48"/>
        <v/>
      </c>
      <c r="BO10" s="18" t="str">
        <f t="shared" si="49"/>
        <v/>
      </c>
      <c r="BP10" s="18" t="str">
        <f t="shared" si="50"/>
        <v/>
      </c>
      <c r="BQ10" s="18" t="str">
        <f t="shared" si="51"/>
        <v/>
      </c>
      <c r="BR10" s="18" t="str">
        <f t="shared" si="52"/>
        <v/>
      </c>
      <c r="BS10" s="18" t="str">
        <f t="shared" si="53"/>
        <v/>
      </c>
      <c r="BT10" s="18" t="str">
        <f t="shared" si="54"/>
        <v/>
      </c>
      <c r="BU10" s="18" t="str">
        <f t="shared" si="55"/>
        <v/>
      </c>
      <c r="BV10" s="18" t="str">
        <f t="shared" si="56"/>
        <v/>
      </c>
      <c r="BX10" s="164" t="s">
        <v>184</v>
      </c>
      <c r="BY10" s="165">
        <f t="shared" si="0"/>
        <v>0</v>
      </c>
      <c r="BZ10" s="165" t="str">
        <f t="shared" si="1"/>
        <v/>
      </c>
      <c r="CA10" s="165" t="str">
        <f t="shared" si="2"/>
        <v/>
      </c>
      <c r="CC10" s="18" t="str">
        <f t="shared" si="57"/>
        <v/>
      </c>
      <c r="CD10" s="18" t="str">
        <f t="shared" si="58"/>
        <v/>
      </c>
      <c r="CE10" s="18" t="str">
        <f t="shared" si="59"/>
        <v/>
      </c>
      <c r="CF10" s="18" t="str">
        <f t="shared" si="60"/>
        <v/>
      </c>
      <c r="CG10" s="18" t="str">
        <f t="shared" si="61"/>
        <v/>
      </c>
      <c r="CH10" s="18" t="str">
        <f t="shared" si="62"/>
        <v>Mitutoyo, 516-106-10, S/N. 1103008</v>
      </c>
      <c r="CI10" s="18" t="str">
        <f t="shared" si="63"/>
        <v/>
      </c>
      <c r="CJ10" s="18" t="str">
        <f t="shared" si="64"/>
        <v/>
      </c>
      <c r="CK10" s="18" t="str">
        <f t="shared" si="65"/>
        <v/>
      </c>
      <c r="CL10" s="18" t="str">
        <f t="shared" si="66"/>
        <v/>
      </c>
      <c r="CM10" s="18" t="str">
        <f t="shared" si="67"/>
        <v/>
      </c>
      <c r="CN10" s="18" t="str">
        <f t="shared" si="68"/>
        <v/>
      </c>
      <c r="CO10" s="18" t="str">
        <f t="shared" si="69"/>
        <v/>
      </c>
      <c r="CP10" s="18" t="str">
        <f t="shared" si="70"/>
        <v/>
      </c>
      <c r="CQ10" s="18" t="str">
        <f t="shared" si="71"/>
        <v/>
      </c>
      <c r="CS10" s="164" t="s">
        <v>184</v>
      </c>
      <c r="CT10" s="165">
        <f t="shared" si="3"/>
        <v>0</v>
      </c>
      <c r="CU10" s="165" t="str">
        <f t="shared" si="4"/>
        <v/>
      </c>
      <c r="CV10" s="164" t="str">
        <f t="shared" si="5"/>
        <v/>
      </c>
    </row>
    <row r="11" spans="1:101" ht="13.2" customHeight="1" x14ac:dyDescent="0.25">
      <c r="A11" s="146" t="s">
        <v>181</v>
      </c>
      <c r="B11" s="146" t="s">
        <v>175</v>
      </c>
      <c r="C11" s="263" t="s">
        <v>182</v>
      </c>
      <c r="D11" s="147">
        <v>0</v>
      </c>
      <c r="E11" s="148">
        <v>15</v>
      </c>
      <c r="F11" s="149">
        <v>-0.03</v>
      </c>
      <c r="G11" s="150">
        <f t="shared" si="11"/>
        <v>14.999969999999999</v>
      </c>
      <c r="H11" s="147">
        <v>0.11</v>
      </c>
      <c r="I11" s="151">
        <v>45464</v>
      </c>
      <c r="J11" s="147" t="s">
        <v>179</v>
      </c>
      <c r="K11" s="228"/>
      <c r="L11" s="230"/>
      <c r="M11" s="230"/>
      <c r="N11" s="230"/>
      <c r="O11" s="230"/>
      <c r="P11" s="230"/>
      <c r="Q11" s="231"/>
      <c r="R11" s="231" t="s">
        <v>183</v>
      </c>
      <c r="S11" s="231"/>
      <c r="T11" s="231"/>
      <c r="U11" s="231"/>
      <c r="V11" s="230"/>
      <c r="W11" s="230"/>
      <c r="X11" s="230"/>
      <c r="Y11" s="230"/>
      <c r="Z11" s="230"/>
      <c r="AB11" s="18" t="str">
        <f t="shared" si="12"/>
        <v/>
      </c>
      <c r="AC11" s="18" t="str">
        <f t="shared" si="13"/>
        <v/>
      </c>
      <c r="AD11" s="18" t="str">
        <f t="shared" si="14"/>
        <v/>
      </c>
      <c r="AE11" s="18" t="str">
        <f t="shared" si="15"/>
        <v/>
      </c>
      <c r="AF11" s="18" t="str">
        <f t="shared" si="16"/>
        <v/>
      </c>
      <c r="AG11" s="18" t="str">
        <f t="shared" si="17"/>
        <v/>
      </c>
      <c r="AH11" s="18">
        <f t="shared" si="18"/>
        <v>14.999969999999999</v>
      </c>
      <c r="AI11" s="18" t="str">
        <f t="shared" si="19"/>
        <v/>
      </c>
      <c r="AJ11" s="18" t="str">
        <f t="shared" si="20"/>
        <v/>
      </c>
      <c r="AK11" s="18" t="str">
        <f t="shared" si="21"/>
        <v/>
      </c>
      <c r="AL11" s="18" t="str">
        <f t="shared" si="22"/>
        <v/>
      </c>
      <c r="AM11" s="18" t="str">
        <f t="shared" si="23"/>
        <v/>
      </c>
      <c r="AN11" s="18" t="str">
        <f t="shared" si="24"/>
        <v/>
      </c>
      <c r="AO11" s="18" t="str">
        <f t="shared" si="25"/>
        <v/>
      </c>
      <c r="AP11" s="18" t="str">
        <f t="shared" si="26"/>
        <v/>
      </c>
      <c r="AR11" s="18" t="str">
        <f t="shared" si="27"/>
        <v/>
      </c>
      <c r="AS11" s="18" t="str">
        <f t="shared" si="28"/>
        <v/>
      </c>
      <c r="AT11" s="18" t="str">
        <f t="shared" si="29"/>
        <v/>
      </c>
      <c r="AU11" s="18" t="str">
        <f t="shared" si="30"/>
        <v/>
      </c>
      <c r="AV11" s="18" t="str">
        <f t="shared" si="31"/>
        <v/>
      </c>
      <c r="AW11" s="18" t="str">
        <f t="shared" si="32"/>
        <v/>
      </c>
      <c r="AX11" s="18">
        <f t="shared" si="33"/>
        <v>0.11</v>
      </c>
      <c r="AY11" s="18" t="str">
        <f t="shared" si="34"/>
        <v/>
      </c>
      <c r="AZ11" s="18" t="str">
        <f t="shared" si="35"/>
        <v/>
      </c>
      <c r="BA11" s="18" t="str">
        <f t="shared" si="36"/>
        <v/>
      </c>
      <c r="BB11" s="18" t="str">
        <f t="shared" si="37"/>
        <v/>
      </c>
      <c r="BC11" s="18" t="str">
        <f t="shared" si="38"/>
        <v/>
      </c>
      <c r="BD11" s="18" t="str">
        <f t="shared" si="39"/>
        <v/>
      </c>
      <c r="BE11" s="18" t="str">
        <f t="shared" si="40"/>
        <v/>
      </c>
      <c r="BF11" s="18" t="str">
        <f t="shared" si="41"/>
        <v/>
      </c>
      <c r="BH11" s="18" t="str">
        <f t="shared" si="42"/>
        <v/>
      </c>
      <c r="BI11" s="18" t="str">
        <f t="shared" si="43"/>
        <v/>
      </c>
      <c r="BJ11" s="18" t="str">
        <f t="shared" si="44"/>
        <v/>
      </c>
      <c r="BK11" s="18" t="str">
        <f t="shared" si="45"/>
        <v/>
      </c>
      <c r="BL11" s="18" t="str">
        <f t="shared" si="46"/>
        <v/>
      </c>
      <c r="BM11" s="18" t="str">
        <f t="shared" si="47"/>
        <v/>
      </c>
      <c r="BN11" s="18" t="str">
        <f t="shared" si="48"/>
        <v>LK-066-IDN</v>
      </c>
      <c r="BO11" s="18" t="str">
        <f t="shared" si="49"/>
        <v/>
      </c>
      <c r="BP11" s="18" t="str">
        <f t="shared" si="50"/>
        <v/>
      </c>
      <c r="BQ11" s="18" t="str">
        <f t="shared" si="51"/>
        <v/>
      </c>
      <c r="BR11" s="18" t="str">
        <f t="shared" si="52"/>
        <v/>
      </c>
      <c r="BS11" s="18" t="str">
        <f t="shared" si="53"/>
        <v/>
      </c>
      <c r="BT11" s="18" t="str">
        <f t="shared" si="54"/>
        <v/>
      </c>
      <c r="BU11" s="18" t="str">
        <f t="shared" si="55"/>
        <v/>
      </c>
      <c r="BV11" s="18" t="str">
        <f t="shared" si="56"/>
        <v/>
      </c>
      <c r="BX11" s="164" t="s">
        <v>184</v>
      </c>
      <c r="BY11" s="165">
        <f t="shared" si="0"/>
        <v>0</v>
      </c>
      <c r="BZ11" s="165" t="str">
        <f t="shared" si="1"/>
        <v/>
      </c>
      <c r="CA11" s="165" t="str">
        <f t="shared" si="2"/>
        <v/>
      </c>
      <c r="CC11" s="18" t="str">
        <f t="shared" si="57"/>
        <v/>
      </c>
      <c r="CD11" s="18" t="str">
        <f t="shared" si="58"/>
        <v/>
      </c>
      <c r="CE11" s="18" t="str">
        <f t="shared" si="59"/>
        <v/>
      </c>
      <c r="CF11" s="18" t="str">
        <f t="shared" si="60"/>
        <v/>
      </c>
      <c r="CG11" s="18" t="str">
        <f t="shared" si="61"/>
        <v/>
      </c>
      <c r="CH11" s="18" t="str">
        <f t="shared" si="62"/>
        <v/>
      </c>
      <c r="CI11" s="18" t="str">
        <f t="shared" si="63"/>
        <v>Mitutoyo, 516-106-10, S/N. 1103008</v>
      </c>
      <c r="CJ11" s="18" t="str">
        <f t="shared" si="64"/>
        <v/>
      </c>
      <c r="CK11" s="18" t="str">
        <f t="shared" si="65"/>
        <v/>
      </c>
      <c r="CL11" s="18" t="str">
        <f t="shared" si="66"/>
        <v/>
      </c>
      <c r="CM11" s="18" t="str">
        <f t="shared" si="67"/>
        <v/>
      </c>
      <c r="CN11" s="18" t="str">
        <f t="shared" si="68"/>
        <v/>
      </c>
      <c r="CO11" s="18" t="str">
        <f t="shared" si="69"/>
        <v/>
      </c>
      <c r="CP11" s="18" t="str">
        <f t="shared" si="70"/>
        <v/>
      </c>
      <c r="CQ11" s="18" t="str">
        <f t="shared" si="71"/>
        <v/>
      </c>
      <c r="CS11" s="164" t="s">
        <v>184</v>
      </c>
      <c r="CT11" s="165">
        <f t="shared" si="3"/>
        <v>0</v>
      </c>
      <c r="CU11" s="165" t="str">
        <f t="shared" si="4"/>
        <v/>
      </c>
      <c r="CV11" s="164" t="str">
        <f t="shared" si="5"/>
        <v/>
      </c>
    </row>
    <row r="12" spans="1:101" ht="13.2" customHeight="1" x14ac:dyDescent="0.25">
      <c r="A12" s="146" t="s">
        <v>181</v>
      </c>
      <c r="B12" s="146" t="s">
        <v>175</v>
      </c>
      <c r="C12" s="263" t="s">
        <v>182</v>
      </c>
      <c r="D12" s="147">
        <v>0</v>
      </c>
      <c r="E12" s="148">
        <v>17.600000000000001</v>
      </c>
      <c r="F12" s="149">
        <v>-0.08</v>
      </c>
      <c r="G12" s="150">
        <f t="shared" si="11"/>
        <v>17.599920000000001</v>
      </c>
      <c r="H12" s="147">
        <v>0.12</v>
      </c>
      <c r="I12" s="151">
        <v>45464</v>
      </c>
      <c r="J12" s="147" t="s">
        <v>179</v>
      </c>
      <c r="K12" s="228"/>
      <c r="L12" s="230"/>
      <c r="M12" s="230"/>
      <c r="N12" s="230"/>
      <c r="O12" s="230"/>
      <c r="P12" s="230"/>
      <c r="Q12" s="231"/>
      <c r="R12" s="231"/>
      <c r="S12" s="231" t="s">
        <v>183</v>
      </c>
      <c r="T12" s="231"/>
      <c r="U12" s="231"/>
      <c r="V12" s="230"/>
      <c r="W12" s="230"/>
      <c r="X12" s="230"/>
      <c r="Y12" s="230"/>
      <c r="Z12" s="230"/>
      <c r="AB12" s="18" t="str">
        <f t="shared" si="12"/>
        <v/>
      </c>
      <c r="AC12" s="18" t="str">
        <f t="shared" si="13"/>
        <v/>
      </c>
      <c r="AD12" s="18" t="str">
        <f t="shared" si="14"/>
        <v/>
      </c>
      <c r="AE12" s="18" t="str">
        <f t="shared" si="15"/>
        <v/>
      </c>
      <c r="AF12" s="18" t="str">
        <f t="shared" si="16"/>
        <v/>
      </c>
      <c r="AG12" s="18" t="str">
        <f t="shared" si="17"/>
        <v/>
      </c>
      <c r="AH12" s="18" t="str">
        <f t="shared" si="18"/>
        <v/>
      </c>
      <c r="AI12" s="18">
        <f t="shared" si="19"/>
        <v>17.599920000000001</v>
      </c>
      <c r="AJ12" s="18" t="str">
        <f t="shared" si="20"/>
        <v/>
      </c>
      <c r="AK12" s="18" t="str">
        <f t="shared" si="21"/>
        <v/>
      </c>
      <c r="AL12" s="18" t="str">
        <f t="shared" si="22"/>
        <v/>
      </c>
      <c r="AM12" s="18" t="str">
        <f t="shared" si="23"/>
        <v/>
      </c>
      <c r="AN12" s="18" t="str">
        <f t="shared" si="24"/>
        <v/>
      </c>
      <c r="AO12" s="18" t="str">
        <f t="shared" si="25"/>
        <v/>
      </c>
      <c r="AP12" s="18" t="str">
        <f t="shared" si="26"/>
        <v/>
      </c>
      <c r="AR12" s="18" t="str">
        <f t="shared" si="27"/>
        <v/>
      </c>
      <c r="AS12" s="18" t="str">
        <f t="shared" si="28"/>
        <v/>
      </c>
      <c r="AT12" s="18" t="str">
        <f t="shared" si="29"/>
        <v/>
      </c>
      <c r="AU12" s="18" t="str">
        <f t="shared" si="30"/>
        <v/>
      </c>
      <c r="AV12" s="18" t="str">
        <f t="shared" si="31"/>
        <v/>
      </c>
      <c r="AW12" s="18" t="str">
        <f t="shared" si="32"/>
        <v/>
      </c>
      <c r="AX12" s="18" t="str">
        <f t="shared" si="33"/>
        <v/>
      </c>
      <c r="AY12" s="18">
        <f t="shared" si="34"/>
        <v>0.12</v>
      </c>
      <c r="AZ12" s="18" t="str">
        <f t="shared" si="35"/>
        <v/>
      </c>
      <c r="BA12" s="18" t="str">
        <f t="shared" si="36"/>
        <v/>
      </c>
      <c r="BB12" s="18" t="str">
        <f t="shared" si="37"/>
        <v/>
      </c>
      <c r="BC12" s="18" t="str">
        <f t="shared" si="38"/>
        <v/>
      </c>
      <c r="BD12" s="18" t="str">
        <f t="shared" si="39"/>
        <v/>
      </c>
      <c r="BE12" s="18" t="str">
        <f t="shared" si="40"/>
        <v/>
      </c>
      <c r="BF12" s="18" t="str">
        <f t="shared" si="41"/>
        <v/>
      </c>
      <c r="BH12" s="18" t="str">
        <f t="shared" si="42"/>
        <v/>
      </c>
      <c r="BI12" s="18" t="str">
        <f t="shared" si="43"/>
        <v/>
      </c>
      <c r="BJ12" s="18" t="str">
        <f t="shared" si="44"/>
        <v/>
      </c>
      <c r="BK12" s="18" t="str">
        <f t="shared" si="45"/>
        <v/>
      </c>
      <c r="BL12" s="18" t="str">
        <f t="shared" si="46"/>
        <v/>
      </c>
      <c r="BM12" s="18" t="str">
        <f t="shared" si="47"/>
        <v/>
      </c>
      <c r="BN12" s="18" t="str">
        <f t="shared" si="48"/>
        <v/>
      </c>
      <c r="BO12" s="18" t="str">
        <f t="shared" si="49"/>
        <v>LK-066-IDN</v>
      </c>
      <c r="BP12" s="18" t="str">
        <f t="shared" si="50"/>
        <v/>
      </c>
      <c r="BQ12" s="18" t="str">
        <f t="shared" si="51"/>
        <v/>
      </c>
      <c r="BR12" s="18" t="str">
        <f t="shared" si="52"/>
        <v/>
      </c>
      <c r="BS12" s="18" t="str">
        <f t="shared" si="53"/>
        <v/>
      </c>
      <c r="BT12" s="18" t="str">
        <f t="shared" si="54"/>
        <v/>
      </c>
      <c r="BU12" s="18" t="str">
        <f t="shared" si="55"/>
        <v/>
      </c>
      <c r="BV12" s="18" t="str">
        <f t="shared" si="56"/>
        <v/>
      </c>
      <c r="BX12" s="166"/>
      <c r="BY12" s="167"/>
      <c r="BZ12" s="167"/>
      <c r="CA12" s="167"/>
      <c r="CC12" s="18" t="str">
        <f t="shared" si="57"/>
        <v/>
      </c>
      <c r="CD12" s="18" t="str">
        <f t="shared" si="58"/>
        <v/>
      </c>
      <c r="CE12" s="18" t="str">
        <f t="shared" si="59"/>
        <v/>
      </c>
      <c r="CF12" s="18" t="str">
        <f t="shared" si="60"/>
        <v/>
      </c>
      <c r="CG12" s="18" t="str">
        <f t="shared" si="61"/>
        <v/>
      </c>
      <c r="CH12" s="18" t="str">
        <f t="shared" si="62"/>
        <v/>
      </c>
      <c r="CI12" s="18" t="str">
        <f t="shared" si="63"/>
        <v/>
      </c>
      <c r="CJ12" s="18" t="str">
        <f t="shared" si="64"/>
        <v>Mitutoyo, 516-106-10, S/N. 1103008</v>
      </c>
      <c r="CK12" s="18" t="str">
        <f t="shared" si="65"/>
        <v/>
      </c>
      <c r="CL12" s="18" t="str">
        <f t="shared" si="66"/>
        <v/>
      </c>
      <c r="CM12" s="18" t="str">
        <f t="shared" si="67"/>
        <v/>
      </c>
      <c r="CN12" s="18" t="str">
        <f t="shared" si="68"/>
        <v/>
      </c>
      <c r="CO12" s="18" t="str">
        <f t="shared" si="69"/>
        <v/>
      </c>
      <c r="CP12" s="18" t="str">
        <f t="shared" si="70"/>
        <v/>
      </c>
      <c r="CQ12" s="18" t="str">
        <f t="shared" si="71"/>
        <v/>
      </c>
      <c r="CS12" s="166"/>
      <c r="CT12" s="167"/>
      <c r="CU12" s="167"/>
      <c r="CV12" s="167"/>
    </row>
    <row r="13" spans="1:101" ht="13.2" customHeight="1" x14ac:dyDescent="0.25">
      <c r="A13" s="146" t="s">
        <v>181</v>
      </c>
      <c r="B13" s="146" t="s">
        <v>175</v>
      </c>
      <c r="C13" s="263" t="s">
        <v>182</v>
      </c>
      <c r="D13" s="147">
        <v>0</v>
      </c>
      <c r="E13" s="148">
        <v>20.2</v>
      </c>
      <c r="F13" s="149">
        <v>-0.09</v>
      </c>
      <c r="G13" s="150">
        <f t="shared" si="11"/>
        <v>20.199909999999999</v>
      </c>
      <c r="H13" s="147">
        <v>0.12</v>
      </c>
      <c r="I13" s="151">
        <v>45464</v>
      </c>
      <c r="J13" s="147" t="s">
        <v>179</v>
      </c>
      <c r="K13" s="228"/>
      <c r="L13" s="230"/>
      <c r="M13" s="230"/>
      <c r="N13" s="230"/>
      <c r="O13" s="230"/>
      <c r="P13" s="230"/>
      <c r="Q13" s="231"/>
      <c r="R13" s="231"/>
      <c r="S13" s="231"/>
      <c r="T13" s="231" t="s">
        <v>183</v>
      </c>
      <c r="U13" s="231"/>
      <c r="V13" s="230"/>
      <c r="W13" s="230"/>
      <c r="X13" s="230"/>
      <c r="Y13" s="230"/>
      <c r="Z13" s="230"/>
      <c r="AB13" s="18" t="str">
        <f t="shared" si="12"/>
        <v/>
      </c>
      <c r="AC13" s="18" t="str">
        <f t="shared" si="13"/>
        <v/>
      </c>
      <c r="AD13" s="18" t="str">
        <f t="shared" si="14"/>
        <v/>
      </c>
      <c r="AE13" s="18" t="str">
        <f t="shared" si="15"/>
        <v/>
      </c>
      <c r="AF13" s="18" t="str">
        <f t="shared" si="16"/>
        <v/>
      </c>
      <c r="AG13" s="18" t="str">
        <f t="shared" si="17"/>
        <v/>
      </c>
      <c r="AH13" s="18" t="str">
        <f t="shared" si="18"/>
        <v/>
      </c>
      <c r="AI13" s="18" t="str">
        <f t="shared" si="19"/>
        <v/>
      </c>
      <c r="AJ13" s="18">
        <f t="shared" si="20"/>
        <v>20.199909999999999</v>
      </c>
      <c r="AK13" s="18" t="str">
        <f t="shared" si="21"/>
        <v/>
      </c>
      <c r="AL13" s="18" t="str">
        <f t="shared" si="22"/>
        <v/>
      </c>
      <c r="AM13" s="18" t="str">
        <f t="shared" si="23"/>
        <v/>
      </c>
      <c r="AN13" s="18" t="str">
        <f t="shared" si="24"/>
        <v/>
      </c>
      <c r="AO13" s="18" t="str">
        <f t="shared" si="25"/>
        <v/>
      </c>
      <c r="AP13" s="18" t="str">
        <f t="shared" si="26"/>
        <v/>
      </c>
      <c r="AR13" s="18" t="str">
        <f t="shared" si="27"/>
        <v/>
      </c>
      <c r="AS13" s="18" t="str">
        <f t="shared" si="28"/>
        <v/>
      </c>
      <c r="AT13" s="18" t="str">
        <f t="shared" si="29"/>
        <v/>
      </c>
      <c r="AU13" s="18" t="str">
        <f t="shared" si="30"/>
        <v/>
      </c>
      <c r="AV13" s="18" t="str">
        <f t="shared" si="31"/>
        <v/>
      </c>
      <c r="AW13" s="18" t="str">
        <f t="shared" si="32"/>
        <v/>
      </c>
      <c r="AX13" s="18" t="str">
        <f t="shared" si="33"/>
        <v/>
      </c>
      <c r="AY13" s="18" t="str">
        <f t="shared" si="34"/>
        <v/>
      </c>
      <c r="AZ13" s="18">
        <f t="shared" si="35"/>
        <v>0.12</v>
      </c>
      <c r="BA13" s="18" t="str">
        <f t="shared" si="36"/>
        <v/>
      </c>
      <c r="BB13" s="18" t="str">
        <f t="shared" si="37"/>
        <v/>
      </c>
      <c r="BC13" s="18" t="str">
        <f t="shared" si="38"/>
        <v/>
      </c>
      <c r="BD13" s="18" t="str">
        <f t="shared" si="39"/>
        <v/>
      </c>
      <c r="BE13" s="18" t="str">
        <f t="shared" si="40"/>
        <v/>
      </c>
      <c r="BF13" s="18" t="str">
        <f t="shared" si="41"/>
        <v/>
      </c>
      <c r="BH13" s="18" t="str">
        <f t="shared" si="42"/>
        <v/>
      </c>
      <c r="BI13" s="18" t="str">
        <f t="shared" si="43"/>
        <v/>
      </c>
      <c r="BJ13" s="18" t="str">
        <f t="shared" si="44"/>
        <v/>
      </c>
      <c r="BK13" s="18" t="str">
        <f t="shared" si="45"/>
        <v/>
      </c>
      <c r="BL13" s="18" t="str">
        <f t="shared" si="46"/>
        <v/>
      </c>
      <c r="BM13" s="18" t="str">
        <f t="shared" si="47"/>
        <v/>
      </c>
      <c r="BN13" s="18" t="str">
        <f t="shared" si="48"/>
        <v/>
      </c>
      <c r="BO13" s="18" t="str">
        <f t="shared" si="49"/>
        <v/>
      </c>
      <c r="BP13" s="18" t="str">
        <f t="shared" si="50"/>
        <v>LK-066-IDN</v>
      </c>
      <c r="BQ13" s="18" t="str">
        <f t="shared" si="51"/>
        <v/>
      </c>
      <c r="BR13" s="18" t="str">
        <f t="shared" si="52"/>
        <v/>
      </c>
      <c r="BS13" s="18" t="str">
        <f t="shared" si="53"/>
        <v/>
      </c>
      <c r="BT13" s="18" t="str">
        <f t="shared" si="54"/>
        <v/>
      </c>
      <c r="BU13" s="18" t="str">
        <f t="shared" si="55"/>
        <v/>
      </c>
      <c r="BV13" s="18" t="str">
        <f t="shared" si="56"/>
        <v/>
      </c>
      <c r="BX13" s="166"/>
      <c r="BY13" s="167"/>
      <c r="BZ13" s="164" t="str">
        <f>CA4&amp;CA5&amp;CA6&amp;CA7&amp;CA8&amp;CA9&amp;CA10&amp;CA11</f>
        <v xml:space="preserve">LK-066-IDN, </v>
      </c>
      <c r="CA13" s="167"/>
      <c r="CC13" s="18" t="str">
        <f t="shared" si="57"/>
        <v/>
      </c>
      <c r="CD13" s="18" t="str">
        <f t="shared" si="58"/>
        <v/>
      </c>
      <c r="CE13" s="18" t="str">
        <f t="shared" si="59"/>
        <v/>
      </c>
      <c r="CF13" s="18" t="str">
        <f t="shared" si="60"/>
        <v/>
      </c>
      <c r="CG13" s="18" t="str">
        <f t="shared" si="61"/>
        <v/>
      </c>
      <c r="CH13" s="18" t="str">
        <f t="shared" si="62"/>
        <v/>
      </c>
      <c r="CI13" s="18" t="str">
        <f t="shared" si="63"/>
        <v/>
      </c>
      <c r="CJ13" s="18" t="str">
        <f t="shared" si="64"/>
        <v/>
      </c>
      <c r="CK13" s="18" t="str">
        <f t="shared" si="65"/>
        <v>Mitutoyo, 516-106-10, S/N. 1103008</v>
      </c>
      <c r="CL13" s="18" t="str">
        <f t="shared" si="66"/>
        <v/>
      </c>
      <c r="CM13" s="18" t="str">
        <f t="shared" si="67"/>
        <v/>
      </c>
      <c r="CN13" s="18" t="str">
        <f t="shared" si="68"/>
        <v/>
      </c>
      <c r="CO13" s="18" t="str">
        <f t="shared" si="69"/>
        <v/>
      </c>
      <c r="CP13" s="18" t="str">
        <f t="shared" si="70"/>
        <v/>
      </c>
      <c r="CQ13" s="18" t="str">
        <f t="shared" si="71"/>
        <v/>
      </c>
      <c r="CS13" s="166"/>
      <c r="CT13" s="167"/>
      <c r="CU13" s="164" t="str">
        <f>CV4&amp;CV5&amp;CV6&amp;CV7&amp;CV8&amp;CV9&amp;CV10&amp;CV11</f>
        <v xml:space="preserve">Mitutoyo, 516-106-10, S/N. 1103008; </v>
      </c>
      <c r="CV13" s="167"/>
    </row>
    <row r="14" spans="1:101" ht="13.2" customHeight="1" x14ac:dyDescent="0.25">
      <c r="A14" s="146" t="s">
        <v>181</v>
      </c>
      <c r="B14" s="146" t="s">
        <v>175</v>
      </c>
      <c r="C14" s="263" t="s">
        <v>182</v>
      </c>
      <c r="D14" s="147">
        <v>0</v>
      </c>
      <c r="E14" s="148">
        <v>22.8</v>
      </c>
      <c r="F14" s="149">
        <v>-0.11</v>
      </c>
      <c r="G14" s="150">
        <f t="shared" si="11"/>
        <v>22.799890000000001</v>
      </c>
      <c r="H14" s="147">
        <v>0.12</v>
      </c>
      <c r="I14" s="151">
        <v>45464</v>
      </c>
      <c r="J14" s="147" t="s">
        <v>179</v>
      </c>
      <c r="K14" s="228"/>
      <c r="L14" s="230"/>
      <c r="M14" s="230"/>
      <c r="N14" s="230"/>
      <c r="O14" s="230"/>
      <c r="P14" s="230"/>
      <c r="Q14" s="231"/>
      <c r="R14" s="231"/>
      <c r="S14" s="231"/>
      <c r="T14" s="231"/>
      <c r="U14" s="231" t="s">
        <v>183</v>
      </c>
      <c r="V14" s="230"/>
      <c r="W14" s="230"/>
      <c r="X14" s="230"/>
      <c r="Y14" s="230"/>
      <c r="Z14" s="230"/>
      <c r="AB14" s="18" t="str">
        <f t="shared" si="12"/>
        <v/>
      </c>
      <c r="AC14" s="18" t="str">
        <f t="shared" si="13"/>
        <v/>
      </c>
      <c r="AD14" s="18" t="str">
        <f t="shared" si="14"/>
        <v/>
      </c>
      <c r="AE14" s="18" t="str">
        <f t="shared" si="15"/>
        <v/>
      </c>
      <c r="AF14" s="18" t="str">
        <f t="shared" si="16"/>
        <v/>
      </c>
      <c r="AG14" s="18" t="str">
        <f t="shared" si="17"/>
        <v/>
      </c>
      <c r="AH14" s="18" t="str">
        <f t="shared" si="18"/>
        <v/>
      </c>
      <c r="AI14" s="18" t="str">
        <f t="shared" si="19"/>
        <v/>
      </c>
      <c r="AJ14" s="18" t="str">
        <f t="shared" si="20"/>
        <v/>
      </c>
      <c r="AK14" s="18">
        <f t="shared" si="21"/>
        <v>22.799890000000001</v>
      </c>
      <c r="AL14" s="18" t="str">
        <f t="shared" si="22"/>
        <v/>
      </c>
      <c r="AM14" s="18" t="str">
        <f t="shared" si="23"/>
        <v/>
      </c>
      <c r="AN14" s="18" t="str">
        <f t="shared" si="24"/>
        <v/>
      </c>
      <c r="AO14" s="18" t="str">
        <f t="shared" si="25"/>
        <v/>
      </c>
      <c r="AP14" s="18" t="str">
        <f t="shared" si="26"/>
        <v/>
      </c>
      <c r="AR14" s="18" t="str">
        <f t="shared" si="27"/>
        <v/>
      </c>
      <c r="AS14" s="18" t="str">
        <f t="shared" si="28"/>
        <v/>
      </c>
      <c r="AT14" s="18" t="str">
        <f t="shared" si="29"/>
        <v/>
      </c>
      <c r="AU14" s="18" t="str">
        <f t="shared" si="30"/>
        <v/>
      </c>
      <c r="AV14" s="18" t="str">
        <f t="shared" si="31"/>
        <v/>
      </c>
      <c r="AW14" s="18" t="str">
        <f t="shared" si="32"/>
        <v/>
      </c>
      <c r="AX14" s="18" t="str">
        <f t="shared" si="33"/>
        <v/>
      </c>
      <c r="AY14" s="18" t="str">
        <f t="shared" si="34"/>
        <v/>
      </c>
      <c r="AZ14" s="18" t="str">
        <f t="shared" si="35"/>
        <v/>
      </c>
      <c r="BA14" s="18">
        <f t="shared" si="36"/>
        <v>0.12</v>
      </c>
      <c r="BB14" s="18" t="str">
        <f t="shared" si="37"/>
        <v/>
      </c>
      <c r="BC14" s="18" t="str">
        <f t="shared" si="38"/>
        <v/>
      </c>
      <c r="BD14" s="18" t="str">
        <f t="shared" si="39"/>
        <v/>
      </c>
      <c r="BE14" s="18" t="str">
        <f t="shared" si="40"/>
        <v/>
      </c>
      <c r="BF14" s="18" t="str">
        <f t="shared" si="41"/>
        <v/>
      </c>
      <c r="BH14" s="18" t="str">
        <f t="shared" si="42"/>
        <v/>
      </c>
      <c r="BI14" s="18" t="str">
        <f t="shared" si="43"/>
        <v/>
      </c>
      <c r="BJ14" s="18" t="str">
        <f t="shared" si="44"/>
        <v/>
      </c>
      <c r="BK14" s="18" t="str">
        <f t="shared" si="45"/>
        <v/>
      </c>
      <c r="BL14" s="18" t="str">
        <f t="shared" si="46"/>
        <v/>
      </c>
      <c r="BM14" s="18" t="str">
        <f t="shared" si="47"/>
        <v/>
      </c>
      <c r="BN14" s="18" t="str">
        <f t="shared" si="48"/>
        <v/>
      </c>
      <c r="BO14" s="18" t="str">
        <f t="shared" si="49"/>
        <v/>
      </c>
      <c r="BP14" s="18" t="str">
        <f t="shared" si="50"/>
        <v/>
      </c>
      <c r="BQ14" s="18" t="str">
        <f t="shared" si="51"/>
        <v>LK-066-IDN</v>
      </c>
      <c r="BR14" s="18" t="str">
        <f t="shared" si="52"/>
        <v/>
      </c>
      <c r="BS14" s="18" t="str">
        <f t="shared" si="53"/>
        <v/>
      </c>
      <c r="BT14" s="18" t="str">
        <f t="shared" si="54"/>
        <v/>
      </c>
      <c r="BU14" s="18" t="str">
        <f t="shared" si="55"/>
        <v/>
      </c>
      <c r="BV14" s="18" t="str">
        <f t="shared" si="56"/>
        <v/>
      </c>
      <c r="BX14" s="166"/>
      <c r="BY14" s="167"/>
      <c r="BZ14" s="164" t="str">
        <f>TEXT(BZ13,"")</f>
        <v xml:space="preserve">LK-066-IDN, </v>
      </c>
      <c r="CA14" s="167"/>
      <c r="CC14" s="18" t="str">
        <f t="shared" si="57"/>
        <v/>
      </c>
      <c r="CD14" s="18" t="str">
        <f t="shared" si="58"/>
        <v/>
      </c>
      <c r="CE14" s="18" t="str">
        <f t="shared" si="59"/>
        <v/>
      </c>
      <c r="CF14" s="18" t="str">
        <f t="shared" si="60"/>
        <v/>
      </c>
      <c r="CG14" s="18" t="str">
        <f t="shared" si="61"/>
        <v/>
      </c>
      <c r="CH14" s="18" t="str">
        <f t="shared" si="62"/>
        <v/>
      </c>
      <c r="CI14" s="18" t="str">
        <f t="shared" si="63"/>
        <v/>
      </c>
      <c r="CJ14" s="18" t="str">
        <f t="shared" si="64"/>
        <v/>
      </c>
      <c r="CK14" s="18" t="str">
        <f t="shared" si="65"/>
        <v/>
      </c>
      <c r="CL14" s="18" t="str">
        <f t="shared" si="66"/>
        <v>Mitutoyo, 516-106-10, S/N. 1103008</v>
      </c>
      <c r="CM14" s="18" t="str">
        <f t="shared" si="67"/>
        <v/>
      </c>
      <c r="CN14" s="18" t="str">
        <f t="shared" si="68"/>
        <v/>
      </c>
      <c r="CO14" s="18" t="str">
        <f t="shared" si="69"/>
        <v/>
      </c>
      <c r="CP14" s="18" t="str">
        <f t="shared" si="70"/>
        <v/>
      </c>
      <c r="CQ14" s="18" t="str">
        <f t="shared" si="71"/>
        <v/>
      </c>
      <c r="CS14" s="166"/>
      <c r="CT14" s="167"/>
      <c r="CU14" s="164" t="str">
        <f>TEXT(CU13,"")</f>
        <v xml:space="preserve">Mitutoyo, 516-106-10, S/N. 1103008; </v>
      </c>
      <c r="CV14" s="167"/>
    </row>
    <row r="15" spans="1:101" ht="13.2" x14ac:dyDescent="0.25">
      <c r="A15" s="146" t="s">
        <v>181</v>
      </c>
      <c r="B15" s="146" t="s">
        <v>175</v>
      </c>
      <c r="C15" s="263" t="s">
        <v>182</v>
      </c>
      <c r="D15" s="147">
        <v>0</v>
      </c>
      <c r="E15" s="148">
        <v>25</v>
      </c>
      <c r="F15" s="149">
        <v>0.08</v>
      </c>
      <c r="G15" s="150">
        <f t="shared" si="11"/>
        <v>25.000080000000001</v>
      </c>
      <c r="H15" s="147">
        <v>0.14000000000000001</v>
      </c>
      <c r="I15" s="151">
        <v>45464</v>
      </c>
      <c r="J15" s="147" t="s">
        <v>179</v>
      </c>
      <c r="K15" s="228"/>
      <c r="L15" s="232"/>
      <c r="M15" s="232"/>
      <c r="N15" s="232"/>
      <c r="O15" s="232"/>
      <c r="P15" s="232"/>
      <c r="Q15" s="233"/>
      <c r="R15" s="233"/>
      <c r="S15" s="233"/>
      <c r="T15" s="233"/>
      <c r="U15" s="233"/>
      <c r="V15" s="232" t="s">
        <v>183</v>
      </c>
      <c r="W15" s="232"/>
      <c r="X15" s="232"/>
      <c r="Y15" s="232"/>
      <c r="Z15" s="232"/>
      <c r="AB15" s="18" t="str">
        <f t="shared" si="12"/>
        <v/>
      </c>
      <c r="AC15" s="18" t="str">
        <f t="shared" si="13"/>
        <v/>
      </c>
      <c r="AD15" s="18" t="str">
        <f t="shared" si="14"/>
        <v/>
      </c>
      <c r="AE15" s="18" t="str">
        <f t="shared" si="15"/>
        <v/>
      </c>
      <c r="AF15" s="18" t="str">
        <f t="shared" si="16"/>
        <v/>
      </c>
      <c r="AG15" s="18" t="str">
        <f t="shared" si="17"/>
        <v/>
      </c>
      <c r="AH15" s="18" t="str">
        <f t="shared" si="18"/>
        <v/>
      </c>
      <c r="AI15" s="18" t="str">
        <f t="shared" si="19"/>
        <v/>
      </c>
      <c r="AJ15" s="18" t="str">
        <f t="shared" si="20"/>
        <v/>
      </c>
      <c r="AK15" s="18" t="str">
        <f t="shared" si="21"/>
        <v/>
      </c>
      <c r="AL15" s="18">
        <f t="shared" si="22"/>
        <v>25.000080000000001</v>
      </c>
      <c r="AM15" s="18" t="str">
        <f t="shared" si="23"/>
        <v/>
      </c>
      <c r="AN15" s="18" t="str">
        <f t="shared" si="24"/>
        <v/>
      </c>
      <c r="AO15" s="18" t="str">
        <f t="shared" si="25"/>
        <v/>
      </c>
      <c r="AP15" s="18" t="str">
        <f t="shared" si="26"/>
        <v/>
      </c>
      <c r="AR15" s="18" t="str">
        <f t="shared" si="27"/>
        <v/>
      </c>
      <c r="AS15" s="18" t="str">
        <f t="shared" si="28"/>
        <v/>
      </c>
      <c r="AT15" s="18" t="str">
        <f t="shared" si="29"/>
        <v/>
      </c>
      <c r="AU15" s="18" t="str">
        <f t="shared" si="30"/>
        <v/>
      </c>
      <c r="AV15" s="18" t="str">
        <f t="shared" si="31"/>
        <v/>
      </c>
      <c r="AW15" s="18" t="str">
        <f t="shared" si="32"/>
        <v/>
      </c>
      <c r="AX15" s="18" t="str">
        <f t="shared" si="33"/>
        <v/>
      </c>
      <c r="AY15" s="18" t="str">
        <f t="shared" si="34"/>
        <v/>
      </c>
      <c r="AZ15" s="18" t="str">
        <f t="shared" si="35"/>
        <v/>
      </c>
      <c r="BA15" s="18" t="str">
        <f t="shared" si="36"/>
        <v/>
      </c>
      <c r="BB15" s="18">
        <f t="shared" si="37"/>
        <v>0.14000000000000001</v>
      </c>
      <c r="BC15" s="18" t="str">
        <f t="shared" si="38"/>
        <v/>
      </c>
      <c r="BD15" s="18" t="str">
        <f t="shared" si="39"/>
        <v/>
      </c>
      <c r="BE15" s="18" t="str">
        <f t="shared" si="40"/>
        <v/>
      </c>
      <c r="BF15" s="18" t="str">
        <f t="shared" si="41"/>
        <v/>
      </c>
      <c r="BH15" s="18" t="str">
        <f t="shared" si="42"/>
        <v/>
      </c>
      <c r="BI15" s="18" t="str">
        <f t="shared" si="43"/>
        <v/>
      </c>
      <c r="BJ15" s="18" t="str">
        <f t="shared" si="44"/>
        <v/>
      </c>
      <c r="BK15" s="18" t="str">
        <f t="shared" si="45"/>
        <v/>
      </c>
      <c r="BL15" s="18" t="str">
        <f t="shared" si="46"/>
        <v/>
      </c>
      <c r="BM15" s="18" t="str">
        <f t="shared" si="47"/>
        <v/>
      </c>
      <c r="BN15" s="18" t="str">
        <f t="shared" si="48"/>
        <v/>
      </c>
      <c r="BO15" s="18" t="str">
        <f t="shared" si="49"/>
        <v/>
      </c>
      <c r="BP15" s="18" t="str">
        <f t="shared" si="50"/>
        <v/>
      </c>
      <c r="BQ15" s="18" t="str">
        <f t="shared" si="51"/>
        <v/>
      </c>
      <c r="BR15" s="18" t="str">
        <f t="shared" si="52"/>
        <v>LK-066-IDN</v>
      </c>
      <c r="BS15" s="18" t="str">
        <f t="shared" si="53"/>
        <v/>
      </c>
      <c r="BT15" s="18" t="str">
        <f t="shared" si="54"/>
        <v/>
      </c>
      <c r="BU15" s="18" t="str">
        <f t="shared" si="55"/>
        <v/>
      </c>
      <c r="BV15" s="18" t="str">
        <f t="shared" si="56"/>
        <v/>
      </c>
      <c r="BX15" s="168"/>
      <c r="BY15" s="169"/>
      <c r="BZ15" s="164" t="str">
        <f>LEFT(BZ14,LEN(BZ14)-2)</f>
        <v>LK-066-IDN</v>
      </c>
      <c r="CA15" s="169"/>
      <c r="CC15" s="18" t="str">
        <f t="shared" si="57"/>
        <v/>
      </c>
      <c r="CD15" s="18" t="str">
        <f t="shared" si="58"/>
        <v/>
      </c>
      <c r="CE15" s="18" t="str">
        <f t="shared" si="59"/>
        <v/>
      </c>
      <c r="CF15" s="18" t="str">
        <f t="shared" si="60"/>
        <v/>
      </c>
      <c r="CG15" s="18" t="str">
        <f t="shared" si="61"/>
        <v/>
      </c>
      <c r="CH15" s="18" t="str">
        <f t="shared" si="62"/>
        <v/>
      </c>
      <c r="CI15" s="18" t="str">
        <f t="shared" si="63"/>
        <v/>
      </c>
      <c r="CJ15" s="18" t="str">
        <f t="shared" si="64"/>
        <v/>
      </c>
      <c r="CK15" s="18" t="str">
        <f t="shared" si="65"/>
        <v/>
      </c>
      <c r="CL15" s="18" t="str">
        <f t="shared" si="66"/>
        <v/>
      </c>
      <c r="CM15" s="18" t="str">
        <f t="shared" si="67"/>
        <v>Mitutoyo, 516-106-10, S/N. 1103008</v>
      </c>
      <c r="CN15" s="18" t="str">
        <f t="shared" si="68"/>
        <v/>
      </c>
      <c r="CO15" s="18" t="str">
        <f t="shared" si="69"/>
        <v/>
      </c>
      <c r="CP15" s="18" t="str">
        <f t="shared" si="70"/>
        <v/>
      </c>
      <c r="CQ15" s="18" t="str">
        <f t="shared" si="71"/>
        <v/>
      </c>
      <c r="CS15" s="168"/>
      <c r="CT15" s="169"/>
      <c r="CU15" s="164" t="str">
        <f>LEFT(CU14,LEN(CU14)-2)</f>
        <v>Mitutoyo, 516-106-10, S/N. 1103008</v>
      </c>
      <c r="CV15" s="169"/>
    </row>
    <row r="16" spans="1:101" ht="14.4" customHeight="1" x14ac:dyDescent="0.3">
      <c r="A16" s="141" t="s">
        <v>188</v>
      </c>
      <c r="B16" s="171" t="s">
        <v>180</v>
      </c>
      <c r="C16" s="171"/>
      <c r="D16" s="142">
        <v>0</v>
      </c>
      <c r="E16" s="143">
        <v>25</v>
      </c>
      <c r="F16" s="144">
        <v>-0.05</v>
      </c>
      <c r="G16" s="145">
        <f t="shared" si="11"/>
        <v>24.999949999999998</v>
      </c>
      <c r="H16" s="142">
        <v>0.12</v>
      </c>
      <c r="I16" s="253" t="s">
        <v>189</v>
      </c>
      <c r="J16" s="142" t="s">
        <v>179</v>
      </c>
      <c r="K16" s="228"/>
      <c r="L16" s="234"/>
      <c r="M16" s="234"/>
      <c r="N16" s="234"/>
      <c r="O16" s="234"/>
      <c r="P16" s="234"/>
      <c r="Q16" s="235"/>
      <c r="R16" s="235"/>
      <c r="S16" s="235"/>
      <c r="T16" s="235"/>
      <c r="U16" s="235"/>
      <c r="V16" s="234"/>
      <c r="W16" s="234"/>
      <c r="X16" s="234"/>
      <c r="Y16" s="234"/>
      <c r="Z16" s="234"/>
      <c r="AB16" s="18" t="str">
        <f t="shared" si="12"/>
        <v/>
      </c>
      <c r="AC16" s="18" t="str">
        <f t="shared" si="13"/>
        <v/>
      </c>
      <c r="AD16" s="18" t="str">
        <f t="shared" si="14"/>
        <v/>
      </c>
      <c r="AE16" s="18" t="str">
        <f t="shared" si="15"/>
        <v/>
      </c>
      <c r="AF16" s="18" t="str">
        <f t="shared" si="16"/>
        <v/>
      </c>
      <c r="AG16" s="18" t="str">
        <f t="shared" si="17"/>
        <v/>
      </c>
      <c r="AH16" s="18" t="str">
        <f t="shared" si="18"/>
        <v/>
      </c>
      <c r="AI16" s="18" t="str">
        <f t="shared" si="19"/>
        <v/>
      </c>
      <c r="AJ16" s="18" t="str">
        <f t="shared" si="20"/>
        <v/>
      </c>
      <c r="AK16" s="18" t="str">
        <f t="shared" si="21"/>
        <v/>
      </c>
      <c r="AL16" s="18" t="str">
        <f t="shared" si="22"/>
        <v/>
      </c>
      <c r="AM16" s="18" t="str">
        <f t="shared" si="23"/>
        <v/>
      </c>
      <c r="AN16" s="18" t="str">
        <f t="shared" si="24"/>
        <v/>
      </c>
      <c r="AO16" s="18" t="str">
        <f t="shared" si="25"/>
        <v/>
      </c>
      <c r="AP16" s="18" t="str">
        <f t="shared" si="26"/>
        <v/>
      </c>
      <c r="AR16" s="18" t="str">
        <f t="shared" si="27"/>
        <v/>
      </c>
      <c r="AS16" s="18" t="str">
        <f t="shared" si="28"/>
        <v/>
      </c>
      <c r="AT16" s="18" t="str">
        <f t="shared" si="29"/>
        <v/>
      </c>
      <c r="AU16" s="18" t="str">
        <f t="shared" si="30"/>
        <v/>
      </c>
      <c r="AV16" s="18" t="str">
        <f t="shared" si="31"/>
        <v/>
      </c>
      <c r="AW16" s="18" t="str">
        <f t="shared" si="32"/>
        <v/>
      </c>
      <c r="AX16" s="18" t="str">
        <f t="shared" si="33"/>
        <v/>
      </c>
      <c r="AY16" s="18" t="str">
        <f t="shared" si="34"/>
        <v/>
      </c>
      <c r="AZ16" s="18" t="str">
        <f t="shared" si="35"/>
        <v/>
      </c>
      <c r="BA16" s="18" t="str">
        <f t="shared" si="36"/>
        <v/>
      </c>
      <c r="BB16" s="18" t="str">
        <f t="shared" si="37"/>
        <v/>
      </c>
      <c r="BC16" s="18" t="str">
        <f t="shared" si="38"/>
        <v/>
      </c>
      <c r="BD16" s="18" t="str">
        <f t="shared" si="39"/>
        <v/>
      </c>
      <c r="BE16" s="18" t="str">
        <f t="shared" si="40"/>
        <v/>
      </c>
      <c r="BF16" s="18" t="str">
        <f t="shared" si="41"/>
        <v/>
      </c>
      <c r="BH16" s="18" t="str">
        <f t="shared" si="42"/>
        <v/>
      </c>
      <c r="BI16" s="18" t="str">
        <f t="shared" si="43"/>
        <v/>
      </c>
      <c r="BJ16" s="18" t="str">
        <f t="shared" si="44"/>
        <v/>
      </c>
      <c r="BK16" s="18" t="str">
        <f t="shared" si="45"/>
        <v/>
      </c>
      <c r="BL16" s="18" t="str">
        <f t="shared" si="46"/>
        <v/>
      </c>
      <c r="BM16" s="18" t="str">
        <f t="shared" si="47"/>
        <v/>
      </c>
      <c r="BN16" s="18" t="str">
        <f t="shared" si="48"/>
        <v/>
      </c>
      <c r="BO16" s="18" t="str">
        <f t="shared" si="49"/>
        <v/>
      </c>
      <c r="BP16" s="18" t="str">
        <f t="shared" si="50"/>
        <v/>
      </c>
      <c r="BQ16" s="18" t="str">
        <f t="shared" si="51"/>
        <v/>
      </c>
      <c r="BR16" s="18" t="str">
        <f t="shared" si="52"/>
        <v/>
      </c>
      <c r="BS16" s="18" t="str">
        <f t="shared" si="53"/>
        <v/>
      </c>
      <c r="BT16" s="18" t="str">
        <f t="shared" si="54"/>
        <v/>
      </c>
      <c r="BU16" s="18" t="str">
        <f t="shared" si="55"/>
        <v/>
      </c>
      <c r="BV16" s="18" t="str">
        <f t="shared" si="56"/>
        <v/>
      </c>
      <c r="BX16" s="166"/>
      <c r="BY16" s="167"/>
      <c r="BZ16" s="170" t="str">
        <f>BZ15&amp;"."</f>
        <v>LK-066-IDN.</v>
      </c>
      <c r="CA16" s="167"/>
      <c r="CC16" s="18" t="str">
        <f t="shared" si="57"/>
        <v/>
      </c>
      <c r="CD16" s="18" t="str">
        <f t="shared" si="58"/>
        <v/>
      </c>
      <c r="CE16" s="18" t="str">
        <f t="shared" si="59"/>
        <v/>
      </c>
      <c r="CF16" s="18" t="str">
        <f t="shared" si="60"/>
        <v/>
      </c>
      <c r="CG16" s="18" t="str">
        <f t="shared" si="61"/>
        <v/>
      </c>
      <c r="CH16" s="18" t="str">
        <f t="shared" si="62"/>
        <v/>
      </c>
      <c r="CI16" s="18" t="str">
        <f t="shared" si="63"/>
        <v/>
      </c>
      <c r="CJ16" s="18" t="str">
        <f t="shared" si="64"/>
        <v/>
      </c>
      <c r="CK16" s="18" t="str">
        <f t="shared" si="65"/>
        <v/>
      </c>
      <c r="CL16" s="18" t="str">
        <f t="shared" si="66"/>
        <v/>
      </c>
      <c r="CM16" s="18" t="str">
        <f t="shared" si="67"/>
        <v/>
      </c>
      <c r="CN16" s="18" t="str">
        <f t="shared" si="68"/>
        <v/>
      </c>
      <c r="CO16" s="18" t="str">
        <f t="shared" si="69"/>
        <v/>
      </c>
      <c r="CP16" s="18" t="str">
        <f t="shared" si="70"/>
        <v/>
      </c>
      <c r="CQ16" s="18" t="str">
        <f t="shared" si="71"/>
        <v/>
      </c>
      <c r="CS16" s="166"/>
      <c r="CT16" s="167"/>
      <c r="CU16" s="170" t="str">
        <f>CU15&amp;"."</f>
        <v>Mitutoyo, 516-106-10, S/N. 1103008.</v>
      </c>
      <c r="CV16" s="167"/>
    </row>
    <row r="17" spans="1:95" x14ac:dyDescent="0.3">
      <c r="A17" s="141" t="s">
        <v>188</v>
      </c>
      <c r="B17" s="171" t="s">
        <v>180</v>
      </c>
      <c r="C17" s="171"/>
      <c r="D17" s="142">
        <v>0</v>
      </c>
      <c r="E17" s="143">
        <v>50</v>
      </c>
      <c r="F17" s="144">
        <v>0.09</v>
      </c>
      <c r="G17" s="145">
        <f t="shared" si="11"/>
        <v>50.00009</v>
      </c>
      <c r="H17" s="142">
        <v>0.16</v>
      </c>
      <c r="I17" s="253" t="s">
        <v>189</v>
      </c>
      <c r="J17" s="142" t="s">
        <v>179</v>
      </c>
      <c r="K17" s="228"/>
      <c r="L17" s="230"/>
      <c r="M17" s="230"/>
      <c r="N17" s="230"/>
      <c r="O17" s="230"/>
      <c r="P17" s="230"/>
      <c r="Q17" s="231"/>
      <c r="R17" s="231"/>
      <c r="S17" s="231"/>
      <c r="T17" s="231"/>
      <c r="U17" s="231"/>
      <c r="V17" s="230"/>
      <c r="W17" s="230"/>
      <c r="X17" s="230"/>
      <c r="Y17" s="230"/>
      <c r="Z17" s="230"/>
      <c r="AB17" s="18" t="str">
        <f t="shared" si="12"/>
        <v/>
      </c>
      <c r="AC17" s="18" t="str">
        <f t="shared" si="13"/>
        <v/>
      </c>
      <c r="AD17" s="18" t="str">
        <f t="shared" si="14"/>
        <v/>
      </c>
      <c r="AE17" s="18" t="str">
        <f t="shared" si="15"/>
        <v/>
      </c>
      <c r="AF17" s="18" t="str">
        <f t="shared" si="16"/>
        <v/>
      </c>
      <c r="AG17" s="18" t="str">
        <f t="shared" si="17"/>
        <v/>
      </c>
      <c r="AH17" s="18" t="str">
        <f t="shared" si="18"/>
        <v/>
      </c>
      <c r="AI17" s="18" t="str">
        <f t="shared" si="19"/>
        <v/>
      </c>
      <c r="AJ17" s="18" t="str">
        <f t="shared" si="20"/>
        <v/>
      </c>
      <c r="AK17" s="18" t="str">
        <f t="shared" si="21"/>
        <v/>
      </c>
      <c r="AL17" s="18" t="str">
        <f t="shared" si="22"/>
        <v/>
      </c>
      <c r="AM17" s="18" t="str">
        <f t="shared" si="23"/>
        <v/>
      </c>
      <c r="AN17" s="18" t="str">
        <f t="shared" si="24"/>
        <v/>
      </c>
      <c r="AO17" s="18" t="str">
        <f t="shared" si="25"/>
        <v/>
      </c>
      <c r="AP17" s="18" t="str">
        <f t="shared" si="26"/>
        <v/>
      </c>
      <c r="AR17" s="18" t="str">
        <f t="shared" si="27"/>
        <v/>
      </c>
      <c r="AS17" s="18" t="str">
        <f t="shared" si="28"/>
        <v/>
      </c>
      <c r="AT17" s="18" t="str">
        <f t="shared" si="29"/>
        <v/>
      </c>
      <c r="AU17" s="18" t="str">
        <f t="shared" si="30"/>
        <v/>
      </c>
      <c r="AV17" s="18" t="str">
        <f t="shared" si="31"/>
        <v/>
      </c>
      <c r="AW17" s="18" t="str">
        <f t="shared" si="32"/>
        <v/>
      </c>
      <c r="AX17" s="18" t="str">
        <f t="shared" si="33"/>
        <v/>
      </c>
      <c r="AY17" s="18" t="str">
        <f t="shared" si="34"/>
        <v/>
      </c>
      <c r="AZ17" s="18" t="str">
        <f t="shared" si="35"/>
        <v/>
      </c>
      <c r="BA17" s="18" t="str">
        <f t="shared" si="36"/>
        <v/>
      </c>
      <c r="BB17" s="18" t="str">
        <f t="shared" si="37"/>
        <v/>
      </c>
      <c r="BC17" s="18" t="str">
        <f t="shared" si="38"/>
        <v/>
      </c>
      <c r="BD17" s="18" t="str">
        <f t="shared" si="39"/>
        <v/>
      </c>
      <c r="BE17" s="18" t="str">
        <f t="shared" si="40"/>
        <v/>
      </c>
      <c r="BF17" s="18" t="str">
        <f t="shared" si="41"/>
        <v/>
      </c>
      <c r="BH17" s="18" t="str">
        <f t="shared" si="42"/>
        <v/>
      </c>
      <c r="BI17" s="18" t="str">
        <f t="shared" si="43"/>
        <v/>
      </c>
      <c r="BJ17" s="18" t="str">
        <f t="shared" si="44"/>
        <v/>
      </c>
      <c r="BK17" s="18" t="str">
        <f t="shared" si="45"/>
        <v/>
      </c>
      <c r="BL17" s="18" t="str">
        <f t="shared" si="46"/>
        <v/>
      </c>
      <c r="BM17" s="18" t="str">
        <f t="shared" si="47"/>
        <v/>
      </c>
      <c r="BN17" s="18" t="str">
        <f t="shared" si="48"/>
        <v/>
      </c>
      <c r="BO17" s="18" t="str">
        <f t="shared" si="49"/>
        <v/>
      </c>
      <c r="BP17" s="18" t="str">
        <f t="shared" si="50"/>
        <v/>
      </c>
      <c r="BQ17" s="18" t="str">
        <f t="shared" si="51"/>
        <v/>
      </c>
      <c r="BR17" s="18" t="str">
        <f t="shared" si="52"/>
        <v/>
      </c>
      <c r="BS17" s="18" t="str">
        <f t="shared" si="53"/>
        <v/>
      </c>
      <c r="BT17" s="18" t="str">
        <f t="shared" si="54"/>
        <v/>
      </c>
      <c r="BU17" s="18" t="str">
        <f t="shared" si="55"/>
        <v/>
      </c>
      <c r="BV17" s="18" t="str">
        <f t="shared" si="56"/>
        <v/>
      </c>
      <c r="CC17" s="18" t="str">
        <f t="shared" si="57"/>
        <v/>
      </c>
      <c r="CD17" s="18" t="str">
        <f t="shared" si="58"/>
        <v/>
      </c>
      <c r="CE17" s="18" t="str">
        <f t="shared" si="59"/>
        <v/>
      </c>
      <c r="CF17" s="18" t="str">
        <f t="shared" si="60"/>
        <v/>
      </c>
      <c r="CG17" s="18" t="str">
        <f t="shared" si="61"/>
        <v/>
      </c>
      <c r="CH17" s="18" t="str">
        <f t="shared" si="62"/>
        <v/>
      </c>
      <c r="CI17" s="18" t="str">
        <f t="shared" si="63"/>
        <v/>
      </c>
      <c r="CJ17" s="18" t="str">
        <f t="shared" si="64"/>
        <v/>
      </c>
      <c r="CK17" s="18" t="str">
        <f t="shared" si="65"/>
        <v/>
      </c>
      <c r="CL17" s="18" t="str">
        <f t="shared" si="66"/>
        <v/>
      </c>
      <c r="CM17" s="18" t="str">
        <f t="shared" si="67"/>
        <v/>
      </c>
      <c r="CN17" s="18" t="str">
        <f t="shared" si="68"/>
        <v/>
      </c>
      <c r="CO17" s="18" t="str">
        <f t="shared" si="69"/>
        <v/>
      </c>
      <c r="CP17" s="18" t="str">
        <f t="shared" si="70"/>
        <v/>
      </c>
      <c r="CQ17" s="18" t="str">
        <f t="shared" si="71"/>
        <v/>
      </c>
    </row>
    <row r="18" spans="1:95" x14ac:dyDescent="0.3">
      <c r="A18" s="141" t="s">
        <v>188</v>
      </c>
      <c r="B18" s="171" t="s">
        <v>180</v>
      </c>
      <c r="C18" s="171"/>
      <c r="D18" s="142">
        <v>0</v>
      </c>
      <c r="E18" s="143">
        <v>75</v>
      </c>
      <c r="F18" s="144">
        <v>0.09</v>
      </c>
      <c r="G18" s="145">
        <f t="shared" si="11"/>
        <v>75.00009</v>
      </c>
      <c r="H18" s="142">
        <v>0.18</v>
      </c>
      <c r="I18" s="253" t="s">
        <v>189</v>
      </c>
      <c r="J18" s="142" t="s">
        <v>179</v>
      </c>
      <c r="K18" s="228"/>
      <c r="L18" s="230"/>
      <c r="M18" s="230"/>
      <c r="N18" s="230"/>
      <c r="O18" s="230"/>
      <c r="P18" s="230"/>
      <c r="Q18" s="231"/>
      <c r="R18" s="231"/>
      <c r="S18" s="231"/>
      <c r="T18" s="231"/>
      <c r="U18" s="231"/>
      <c r="V18" s="230"/>
      <c r="W18" s="230"/>
      <c r="X18" s="230"/>
      <c r="Y18" s="230"/>
      <c r="Z18" s="230"/>
      <c r="AB18" s="18" t="str">
        <f t="shared" si="12"/>
        <v/>
      </c>
      <c r="AC18" s="18" t="str">
        <f t="shared" si="13"/>
        <v/>
      </c>
      <c r="AD18" s="18" t="str">
        <f t="shared" si="14"/>
        <v/>
      </c>
      <c r="AE18" s="18" t="str">
        <f t="shared" si="15"/>
        <v/>
      </c>
      <c r="AF18" s="18" t="str">
        <f t="shared" si="16"/>
        <v/>
      </c>
      <c r="AG18" s="18" t="str">
        <f t="shared" si="17"/>
        <v/>
      </c>
      <c r="AH18" s="18" t="str">
        <f t="shared" si="18"/>
        <v/>
      </c>
      <c r="AI18" s="18" t="str">
        <f t="shared" si="19"/>
        <v/>
      </c>
      <c r="AJ18" s="18" t="str">
        <f t="shared" si="20"/>
        <v/>
      </c>
      <c r="AK18" s="18" t="str">
        <f t="shared" si="21"/>
        <v/>
      </c>
      <c r="AL18" s="18" t="str">
        <f t="shared" si="22"/>
        <v/>
      </c>
      <c r="AM18" s="18" t="str">
        <f t="shared" si="23"/>
        <v/>
      </c>
      <c r="AN18" s="18" t="str">
        <f t="shared" si="24"/>
        <v/>
      </c>
      <c r="AO18" s="18" t="str">
        <f t="shared" si="25"/>
        <v/>
      </c>
      <c r="AP18" s="18" t="str">
        <f t="shared" si="26"/>
        <v/>
      </c>
      <c r="AR18" s="18" t="str">
        <f t="shared" si="27"/>
        <v/>
      </c>
      <c r="AS18" s="18" t="str">
        <f t="shared" si="28"/>
        <v/>
      </c>
      <c r="AT18" s="18" t="str">
        <f t="shared" si="29"/>
        <v/>
      </c>
      <c r="AU18" s="18" t="str">
        <f t="shared" si="30"/>
        <v/>
      </c>
      <c r="AV18" s="18" t="str">
        <f t="shared" si="31"/>
        <v/>
      </c>
      <c r="AW18" s="18" t="str">
        <f t="shared" si="32"/>
        <v/>
      </c>
      <c r="AX18" s="18" t="str">
        <f t="shared" si="33"/>
        <v/>
      </c>
      <c r="AY18" s="18" t="str">
        <f t="shared" si="34"/>
        <v/>
      </c>
      <c r="AZ18" s="18" t="str">
        <f t="shared" si="35"/>
        <v/>
      </c>
      <c r="BA18" s="18" t="str">
        <f t="shared" si="36"/>
        <v/>
      </c>
      <c r="BB18" s="18" t="str">
        <f t="shared" si="37"/>
        <v/>
      </c>
      <c r="BC18" s="18" t="str">
        <f t="shared" si="38"/>
        <v/>
      </c>
      <c r="BD18" s="18" t="str">
        <f t="shared" si="39"/>
        <v/>
      </c>
      <c r="BE18" s="18" t="str">
        <f t="shared" si="40"/>
        <v/>
      </c>
      <c r="BF18" s="18" t="str">
        <f t="shared" si="41"/>
        <v/>
      </c>
      <c r="BH18" s="18" t="str">
        <f t="shared" si="42"/>
        <v/>
      </c>
      <c r="BI18" s="18" t="str">
        <f t="shared" si="43"/>
        <v/>
      </c>
      <c r="BJ18" s="18" t="str">
        <f t="shared" si="44"/>
        <v/>
      </c>
      <c r="BK18" s="18" t="str">
        <f t="shared" si="45"/>
        <v/>
      </c>
      <c r="BL18" s="18" t="str">
        <f t="shared" si="46"/>
        <v/>
      </c>
      <c r="BM18" s="18" t="str">
        <f t="shared" si="47"/>
        <v/>
      </c>
      <c r="BN18" s="18" t="str">
        <f t="shared" si="48"/>
        <v/>
      </c>
      <c r="BO18" s="18" t="str">
        <f t="shared" si="49"/>
        <v/>
      </c>
      <c r="BP18" s="18" t="str">
        <f t="shared" si="50"/>
        <v/>
      </c>
      <c r="BQ18" s="18" t="str">
        <f t="shared" si="51"/>
        <v/>
      </c>
      <c r="BR18" s="18" t="str">
        <f t="shared" si="52"/>
        <v/>
      </c>
      <c r="BS18" s="18" t="str">
        <f t="shared" si="53"/>
        <v/>
      </c>
      <c r="BT18" s="18" t="str">
        <f t="shared" si="54"/>
        <v/>
      </c>
      <c r="BU18" s="18" t="str">
        <f t="shared" si="55"/>
        <v/>
      </c>
      <c r="BV18" s="18" t="str">
        <f t="shared" si="56"/>
        <v/>
      </c>
      <c r="CC18" s="18" t="str">
        <f t="shared" si="57"/>
        <v/>
      </c>
      <c r="CD18" s="18" t="str">
        <f t="shared" si="58"/>
        <v/>
      </c>
      <c r="CE18" s="18" t="str">
        <f t="shared" si="59"/>
        <v/>
      </c>
      <c r="CF18" s="18" t="str">
        <f t="shared" si="60"/>
        <v/>
      </c>
      <c r="CG18" s="18" t="str">
        <f t="shared" si="61"/>
        <v/>
      </c>
      <c r="CH18" s="18" t="str">
        <f t="shared" si="62"/>
        <v/>
      </c>
      <c r="CI18" s="18" t="str">
        <f t="shared" si="63"/>
        <v/>
      </c>
      <c r="CJ18" s="18" t="str">
        <f t="shared" si="64"/>
        <v/>
      </c>
      <c r="CK18" s="18" t="str">
        <f t="shared" si="65"/>
        <v/>
      </c>
      <c r="CL18" s="18" t="str">
        <f t="shared" si="66"/>
        <v/>
      </c>
      <c r="CM18" s="18" t="str">
        <f t="shared" si="67"/>
        <v/>
      </c>
      <c r="CN18" s="18" t="str">
        <f t="shared" si="68"/>
        <v/>
      </c>
      <c r="CO18" s="18" t="str">
        <f t="shared" si="69"/>
        <v/>
      </c>
      <c r="CP18" s="18" t="str">
        <f t="shared" si="70"/>
        <v/>
      </c>
      <c r="CQ18" s="18" t="str">
        <f t="shared" si="71"/>
        <v/>
      </c>
    </row>
    <row r="19" spans="1:95" ht="14.4" customHeight="1" x14ac:dyDescent="0.3">
      <c r="A19" s="141" t="s">
        <v>188</v>
      </c>
      <c r="B19" s="171" t="s">
        <v>180</v>
      </c>
      <c r="C19" s="171"/>
      <c r="D19" s="142">
        <v>0</v>
      </c>
      <c r="E19" s="143">
        <v>100</v>
      </c>
      <c r="F19" s="144">
        <v>0.02</v>
      </c>
      <c r="G19" s="145">
        <f t="shared" si="11"/>
        <v>100.00002000000001</v>
      </c>
      <c r="H19" s="144">
        <v>0.2</v>
      </c>
      <c r="I19" s="253" t="s">
        <v>189</v>
      </c>
      <c r="J19" s="142" t="s">
        <v>179</v>
      </c>
      <c r="K19" s="228"/>
      <c r="L19" s="232"/>
      <c r="M19" s="232"/>
      <c r="N19" s="232"/>
      <c r="O19" s="232"/>
      <c r="P19" s="232"/>
      <c r="Q19" s="233"/>
      <c r="R19" s="233"/>
      <c r="S19" s="233"/>
      <c r="T19" s="233"/>
      <c r="U19" s="233"/>
      <c r="V19" s="232"/>
      <c r="W19" s="232"/>
      <c r="X19" s="232"/>
      <c r="Y19" s="232"/>
      <c r="Z19" s="232"/>
      <c r="AB19" s="18" t="str">
        <f t="shared" si="12"/>
        <v/>
      </c>
      <c r="AC19" s="18" t="str">
        <f t="shared" si="13"/>
        <v/>
      </c>
      <c r="AD19" s="18" t="str">
        <f t="shared" si="14"/>
        <v/>
      </c>
      <c r="AE19" s="18" t="str">
        <f t="shared" si="15"/>
        <v/>
      </c>
      <c r="AF19" s="18" t="str">
        <f t="shared" si="16"/>
        <v/>
      </c>
      <c r="AG19" s="18" t="str">
        <f t="shared" si="17"/>
        <v/>
      </c>
      <c r="AH19" s="18" t="str">
        <f t="shared" si="18"/>
        <v/>
      </c>
      <c r="AI19" s="18" t="str">
        <f t="shared" si="19"/>
        <v/>
      </c>
      <c r="AJ19" s="18" t="str">
        <f t="shared" si="20"/>
        <v/>
      </c>
      <c r="AK19" s="18" t="str">
        <f t="shared" si="21"/>
        <v/>
      </c>
      <c r="AL19" s="18" t="str">
        <f t="shared" si="22"/>
        <v/>
      </c>
      <c r="AM19" s="18" t="str">
        <f t="shared" si="23"/>
        <v/>
      </c>
      <c r="AN19" s="18" t="str">
        <f t="shared" si="24"/>
        <v/>
      </c>
      <c r="AO19" s="18" t="str">
        <f t="shared" si="25"/>
        <v/>
      </c>
      <c r="AP19" s="18" t="str">
        <f t="shared" si="26"/>
        <v/>
      </c>
      <c r="AR19" s="18" t="str">
        <f t="shared" si="27"/>
        <v/>
      </c>
      <c r="AS19" s="18" t="str">
        <f t="shared" si="28"/>
        <v/>
      </c>
      <c r="AT19" s="18" t="str">
        <f t="shared" si="29"/>
        <v/>
      </c>
      <c r="AU19" s="18" t="str">
        <f t="shared" si="30"/>
        <v/>
      </c>
      <c r="AV19" s="18" t="str">
        <f t="shared" si="31"/>
        <v/>
      </c>
      <c r="AW19" s="18" t="str">
        <f t="shared" si="32"/>
        <v/>
      </c>
      <c r="AX19" s="18" t="str">
        <f t="shared" si="33"/>
        <v/>
      </c>
      <c r="AY19" s="18" t="str">
        <f t="shared" si="34"/>
        <v/>
      </c>
      <c r="AZ19" s="18" t="str">
        <f t="shared" si="35"/>
        <v/>
      </c>
      <c r="BA19" s="18" t="str">
        <f t="shared" si="36"/>
        <v/>
      </c>
      <c r="BB19" s="18" t="str">
        <f t="shared" si="37"/>
        <v/>
      </c>
      <c r="BC19" s="18" t="str">
        <f t="shared" si="38"/>
        <v/>
      </c>
      <c r="BD19" s="18" t="str">
        <f t="shared" si="39"/>
        <v/>
      </c>
      <c r="BE19" s="18" t="str">
        <f t="shared" si="40"/>
        <v/>
      </c>
      <c r="BF19" s="18" t="str">
        <f t="shared" si="41"/>
        <v/>
      </c>
      <c r="BH19" s="18" t="str">
        <f t="shared" si="42"/>
        <v/>
      </c>
      <c r="BI19" s="18" t="str">
        <f t="shared" si="43"/>
        <v/>
      </c>
      <c r="BJ19" s="18" t="str">
        <f t="shared" si="44"/>
        <v/>
      </c>
      <c r="BK19" s="18" t="str">
        <f t="shared" si="45"/>
        <v/>
      </c>
      <c r="BL19" s="18" t="str">
        <f t="shared" si="46"/>
        <v/>
      </c>
      <c r="BM19" s="18" t="str">
        <f t="shared" si="47"/>
        <v/>
      </c>
      <c r="BN19" s="18" t="str">
        <f t="shared" si="48"/>
        <v/>
      </c>
      <c r="BO19" s="18" t="str">
        <f t="shared" si="49"/>
        <v/>
      </c>
      <c r="BP19" s="18" t="str">
        <f t="shared" si="50"/>
        <v/>
      </c>
      <c r="BQ19" s="18" t="str">
        <f t="shared" si="51"/>
        <v/>
      </c>
      <c r="BR19" s="18" t="str">
        <f t="shared" si="52"/>
        <v/>
      </c>
      <c r="BS19" s="18" t="str">
        <f t="shared" si="53"/>
        <v/>
      </c>
      <c r="BT19" s="18" t="str">
        <f t="shared" si="54"/>
        <v/>
      </c>
      <c r="BU19" s="18" t="str">
        <f t="shared" si="55"/>
        <v/>
      </c>
      <c r="BV19" s="18" t="str">
        <f t="shared" si="56"/>
        <v/>
      </c>
      <c r="CC19" s="18" t="str">
        <f t="shared" si="57"/>
        <v/>
      </c>
      <c r="CD19" s="18" t="str">
        <f t="shared" si="58"/>
        <v/>
      </c>
      <c r="CE19" s="18" t="str">
        <f t="shared" si="59"/>
        <v/>
      </c>
      <c r="CF19" s="18" t="str">
        <f t="shared" si="60"/>
        <v/>
      </c>
      <c r="CG19" s="18" t="str">
        <f t="shared" si="61"/>
        <v/>
      </c>
      <c r="CH19" s="18" t="str">
        <f t="shared" si="62"/>
        <v/>
      </c>
      <c r="CI19" s="18" t="str">
        <f t="shared" si="63"/>
        <v/>
      </c>
      <c r="CJ19" s="18" t="str">
        <f t="shared" si="64"/>
        <v/>
      </c>
      <c r="CK19" s="18" t="str">
        <f t="shared" si="65"/>
        <v/>
      </c>
      <c r="CL19" s="18" t="str">
        <f t="shared" si="66"/>
        <v/>
      </c>
      <c r="CM19" s="18" t="str">
        <f t="shared" si="67"/>
        <v/>
      </c>
      <c r="CN19" s="18" t="str">
        <f t="shared" si="68"/>
        <v/>
      </c>
      <c r="CO19" s="18" t="str">
        <f t="shared" si="69"/>
        <v/>
      </c>
      <c r="CP19" s="18" t="str">
        <f t="shared" si="70"/>
        <v/>
      </c>
      <c r="CQ19" s="18" t="str">
        <f t="shared" si="71"/>
        <v/>
      </c>
    </row>
    <row r="20" spans="1:95" ht="14.4" customHeight="1" x14ac:dyDescent="0.3">
      <c r="A20" s="155" t="s">
        <v>190</v>
      </c>
      <c r="B20" s="161" t="s">
        <v>185</v>
      </c>
      <c r="C20" s="161" t="str">
        <f>"Gauge Block, "&amp;B20</f>
        <v>Gauge Block, Mitutoyo, S/N. 110424</v>
      </c>
      <c r="D20" s="156">
        <v>0</v>
      </c>
      <c r="E20" s="157">
        <v>150</v>
      </c>
      <c r="F20" s="158">
        <v>-0.16</v>
      </c>
      <c r="G20" s="159">
        <f t="shared" si="11"/>
        <v>149.99984000000001</v>
      </c>
      <c r="H20" s="158">
        <f>SQRT((0.31^2)+(0.0015^2*E20^2))</f>
        <v>0.38304699450589608</v>
      </c>
      <c r="I20" s="160">
        <v>45828</v>
      </c>
      <c r="J20" s="161" t="s">
        <v>174</v>
      </c>
      <c r="K20" s="228"/>
      <c r="L20" s="234"/>
      <c r="M20" s="234"/>
      <c r="N20" s="234"/>
      <c r="O20" s="234"/>
      <c r="P20" s="234"/>
      <c r="Q20" s="235"/>
      <c r="R20" s="235"/>
      <c r="S20" s="235"/>
      <c r="T20" s="235"/>
      <c r="U20" s="235"/>
      <c r="V20" s="234"/>
      <c r="W20" s="234"/>
      <c r="X20" s="234"/>
      <c r="Y20" s="234"/>
      <c r="Z20" s="234"/>
      <c r="AB20" s="18" t="str">
        <f t="shared" si="12"/>
        <v/>
      </c>
      <c r="AC20" s="18" t="str">
        <f t="shared" si="13"/>
        <v/>
      </c>
      <c r="AD20" s="18" t="str">
        <f t="shared" si="14"/>
        <v/>
      </c>
      <c r="AE20" s="18" t="str">
        <f t="shared" si="15"/>
        <v/>
      </c>
      <c r="AF20" s="18" t="str">
        <f t="shared" si="16"/>
        <v/>
      </c>
      <c r="AG20" s="18" t="str">
        <f t="shared" si="17"/>
        <v/>
      </c>
      <c r="AH20" s="18" t="str">
        <f t="shared" si="18"/>
        <v/>
      </c>
      <c r="AI20" s="18" t="str">
        <f t="shared" si="19"/>
        <v/>
      </c>
      <c r="AJ20" s="18" t="str">
        <f t="shared" si="20"/>
        <v/>
      </c>
      <c r="AK20" s="18" t="str">
        <f t="shared" si="21"/>
        <v/>
      </c>
      <c r="AL20" s="18" t="str">
        <f t="shared" si="22"/>
        <v/>
      </c>
      <c r="AM20" s="18" t="str">
        <f t="shared" si="23"/>
        <v/>
      </c>
      <c r="AN20" s="18" t="str">
        <f t="shared" si="24"/>
        <v/>
      </c>
      <c r="AO20" s="18" t="str">
        <f t="shared" si="25"/>
        <v/>
      </c>
      <c r="AP20" s="18" t="str">
        <f t="shared" si="26"/>
        <v/>
      </c>
      <c r="AR20" s="18" t="str">
        <f t="shared" si="27"/>
        <v/>
      </c>
      <c r="AS20" s="18" t="str">
        <f t="shared" si="28"/>
        <v/>
      </c>
      <c r="AT20" s="18" t="str">
        <f t="shared" si="29"/>
        <v/>
      </c>
      <c r="AU20" s="18" t="str">
        <f t="shared" si="30"/>
        <v/>
      </c>
      <c r="AV20" s="18" t="str">
        <f t="shared" si="31"/>
        <v/>
      </c>
      <c r="AW20" s="18" t="str">
        <f t="shared" si="32"/>
        <v/>
      </c>
      <c r="AX20" s="18" t="str">
        <f t="shared" si="33"/>
        <v/>
      </c>
      <c r="AY20" s="18" t="str">
        <f t="shared" si="34"/>
        <v/>
      </c>
      <c r="AZ20" s="18" t="str">
        <f t="shared" si="35"/>
        <v/>
      </c>
      <c r="BA20" s="18" t="str">
        <f t="shared" si="36"/>
        <v/>
      </c>
      <c r="BB20" s="18" t="str">
        <f t="shared" si="37"/>
        <v/>
      </c>
      <c r="BC20" s="18" t="str">
        <f t="shared" si="38"/>
        <v/>
      </c>
      <c r="BD20" s="18" t="str">
        <f t="shared" si="39"/>
        <v/>
      </c>
      <c r="BE20" s="18" t="str">
        <f t="shared" si="40"/>
        <v/>
      </c>
      <c r="BF20" s="18" t="str">
        <f t="shared" si="41"/>
        <v/>
      </c>
      <c r="BH20" s="18" t="str">
        <f t="shared" si="42"/>
        <v/>
      </c>
      <c r="BI20" s="18" t="str">
        <f t="shared" si="43"/>
        <v/>
      </c>
      <c r="BJ20" s="18" t="str">
        <f t="shared" si="44"/>
        <v/>
      </c>
      <c r="BK20" s="18" t="str">
        <f t="shared" si="45"/>
        <v/>
      </c>
      <c r="BL20" s="18" t="str">
        <f t="shared" si="46"/>
        <v/>
      </c>
      <c r="BM20" s="18" t="str">
        <f t="shared" si="47"/>
        <v/>
      </c>
      <c r="BN20" s="18" t="str">
        <f t="shared" si="48"/>
        <v/>
      </c>
      <c r="BO20" s="18" t="str">
        <f t="shared" si="49"/>
        <v/>
      </c>
      <c r="BP20" s="18" t="str">
        <f t="shared" si="50"/>
        <v/>
      </c>
      <c r="BQ20" s="18" t="str">
        <f t="shared" si="51"/>
        <v/>
      </c>
      <c r="BR20" s="18" t="str">
        <f t="shared" si="52"/>
        <v/>
      </c>
      <c r="BS20" s="18" t="str">
        <f t="shared" si="53"/>
        <v/>
      </c>
      <c r="BT20" s="18" t="str">
        <f t="shared" si="54"/>
        <v/>
      </c>
      <c r="BU20" s="18" t="str">
        <f t="shared" si="55"/>
        <v/>
      </c>
      <c r="BV20" s="18" t="str">
        <f t="shared" si="56"/>
        <v/>
      </c>
      <c r="CC20" s="18" t="str">
        <f t="shared" si="57"/>
        <v/>
      </c>
      <c r="CD20" s="18" t="str">
        <f t="shared" si="58"/>
        <v/>
      </c>
      <c r="CE20" s="18" t="str">
        <f t="shared" si="59"/>
        <v/>
      </c>
      <c r="CF20" s="18" t="str">
        <f t="shared" si="60"/>
        <v/>
      </c>
      <c r="CG20" s="18" t="str">
        <f t="shared" si="61"/>
        <v/>
      </c>
      <c r="CH20" s="18" t="str">
        <f t="shared" si="62"/>
        <v/>
      </c>
      <c r="CI20" s="18" t="str">
        <f t="shared" si="63"/>
        <v/>
      </c>
      <c r="CJ20" s="18" t="str">
        <f t="shared" si="64"/>
        <v/>
      </c>
      <c r="CK20" s="18" t="str">
        <f t="shared" si="65"/>
        <v/>
      </c>
      <c r="CL20" s="18" t="str">
        <f t="shared" si="66"/>
        <v/>
      </c>
      <c r="CM20" s="18" t="str">
        <f t="shared" si="67"/>
        <v/>
      </c>
      <c r="CN20" s="18" t="str">
        <f t="shared" si="68"/>
        <v/>
      </c>
      <c r="CO20" s="18" t="str">
        <f t="shared" si="69"/>
        <v/>
      </c>
      <c r="CP20" s="18" t="str">
        <f t="shared" si="70"/>
        <v/>
      </c>
      <c r="CQ20" s="18" t="str">
        <f t="shared" si="71"/>
        <v/>
      </c>
    </row>
    <row r="21" spans="1:95" x14ac:dyDescent="0.3">
      <c r="A21" s="155" t="s">
        <v>190</v>
      </c>
      <c r="B21" s="161" t="s">
        <v>186</v>
      </c>
      <c r="C21" s="161" t="str">
        <f>"Gauge Block, "&amp;B21</f>
        <v>Gauge Block, Mitutoyo, S/N. 190035</v>
      </c>
      <c r="D21" s="156">
        <v>0</v>
      </c>
      <c r="E21" s="157">
        <v>300</v>
      </c>
      <c r="F21" s="158">
        <v>0.33</v>
      </c>
      <c r="G21" s="159">
        <f t="shared" si="11"/>
        <v>300.00033000000002</v>
      </c>
      <c r="H21" s="158">
        <v>0.2</v>
      </c>
      <c r="I21" s="160">
        <v>45555</v>
      </c>
      <c r="J21" s="156" t="s">
        <v>191</v>
      </c>
      <c r="K21" s="228"/>
      <c r="L21" s="230"/>
      <c r="M21" s="230"/>
      <c r="N21" s="230"/>
      <c r="O21" s="230"/>
      <c r="P21" s="230"/>
      <c r="Q21" s="231"/>
      <c r="R21" s="231"/>
      <c r="S21" s="231"/>
      <c r="T21" s="231"/>
      <c r="U21" s="231"/>
      <c r="V21" s="230"/>
      <c r="W21" s="230"/>
      <c r="X21" s="230"/>
      <c r="Y21" s="230"/>
      <c r="Z21" s="230"/>
      <c r="AB21" s="18" t="str">
        <f t="shared" si="12"/>
        <v/>
      </c>
      <c r="AC21" s="18" t="str">
        <f t="shared" si="13"/>
        <v/>
      </c>
      <c r="AD21" s="18" t="str">
        <f t="shared" si="14"/>
        <v/>
      </c>
      <c r="AE21" s="18" t="str">
        <f t="shared" si="15"/>
        <v/>
      </c>
      <c r="AF21" s="18" t="str">
        <f t="shared" si="16"/>
        <v/>
      </c>
      <c r="AG21" s="18" t="str">
        <f t="shared" si="17"/>
        <v/>
      </c>
      <c r="AH21" s="18" t="str">
        <f t="shared" si="18"/>
        <v/>
      </c>
      <c r="AI21" s="18" t="str">
        <f t="shared" si="19"/>
        <v/>
      </c>
      <c r="AJ21" s="18" t="str">
        <f t="shared" si="20"/>
        <v/>
      </c>
      <c r="AK21" s="18" t="str">
        <f t="shared" si="21"/>
        <v/>
      </c>
      <c r="AL21" s="18" t="str">
        <f t="shared" si="22"/>
        <v/>
      </c>
      <c r="AM21" s="18" t="str">
        <f t="shared" si="23"/>
        <v/>
      </c>
      <c r="AN21" s="18" t="str">
        <f t="shared" si="24"/>
        <v/>
      </c>
      <c r="AO21" s="18" t="str">
        <f t="shared" si="25"/>
        <v/>
      </c>
      <c r="AP21" s="18" t="str">
        <f t="shared" si="26"/>
        <v/>
      </c>
      <c r="AR21" s="18" t="str">
        <f t="shared" si="27"/>
        <v/>
      </c>
      <c r="AS21" s="18" t="str">
        <f t="shared" si="28"/>
        <v/>
      </c>
      <c r="AT21" s="18" t="str">
        <f t="shared" si="29"/>
        <v/>
      </c>
      <c r="AU21" s="18" t="str">
        <f t="shared" si="30"/>
        <v/>
      </c>
      <c r="AV21" s="18" t="str">
        <f t="shared" si="31"/>
        <v/>
      </c>
      <c r="AW21" s="18" t="str">
        <f t="shared" si="32"/>
        <v/>
      </c>
      <c r="AX21" s="18" t="str">
        <f t="shared" si="33"/>
        <v/>
      </c>
      <c r="AY21" s="18" t="str">
        <f t="shared" si="34"/>
        <v/>
      </c>
      <c r="AZ21" s="18" t="str">
        <f t="shared" si="35"/>
        <v/>
      </c>
      <c r="BA21" s="18" t="str">
        <f t="shared" si="36"/>
        <v/>
      </c>
      <c r="BB21" s="18" t="str">
        <f t="shared" si="37"/>
        <v/>
      </c>
      <c r="BC21" s="18" t="str">
        <f t="shared" si="38"/>
        <v/>
      </c>
      <c r="BD21" s="18" t="str">
        <f t="shared" si="39"/>
        <v/>
      </c>
      <c r="BE21" s="18" t="str">
        <f t="shared" si="40"/>
        <v/>
      </c>
      <c r="BF21" s="18" t="str">
        <f t="shared" si="41"/>
        <v/>
      </c>
      <c r="BH21" s="18" t="str">
        <f t="shared" si="42"/>
        <v/>
      </c>
      <c r="BI21" s="18" t="str">
        <f t="shared" si="43"/>
        <v/>
      </c>
      <c r="BJ21" s="18" t="str">
        <f t="shared" si="44"/>
        <v/>
      </c>
      <c r="BK21" s="18" t="str">
        <f t="shared" si="45"/>
        <v/>
      </c>
      <c r="BL21" s="18" t="str">
        <f t="shared" si="46"/>
        <v/>
      </c>
      <c r="BM21" s="18" t="str">
        <f t="shared" si="47"/>
        <v/>
      </c>
      <c r="BN21" s="18" t="str">
        <f t="shared" si="48"/>
        <v/>
      </c>
      <c r="BO21" s="18" t="str">
        <f t="shared" si="49"/>
        <v/>
      </c>
      <c r="BP21" s="18" t="str">
        <f t="shared" si="50"/>
        <v/>
      </c>
      <c r="BQ21" s="18" t="str">
        <f t="shared" si="51"/>
        <v/>
      </c>
      <c r="BR21" s="18" t="str">
        <f t="shared" si="52"/>
        <v/>
      </c>
      <c r="BS21" s="18" t="str">
        <f t="shared" si="53"/>
        <v/>
      </c>
      <c r="BT21" s="18" t="str">
        <f t="shared" si="54"/>
        <v/>
      </c>
      <c r="BU21" s="18" t="str">
        <f t="shared" si="55"/>
        <v/>
      </c>
      <c r="BV21" s="18" t="str">
        <f t="shared" si="56"/>
        <v/>
      </c>
      <c r="CC21" s="18" t="str">
        <f t="shared" si="57"/>
        <v/>
      </c>
      <c r="CD21" s="18" t="str">
        <f t="shared" si="58"/>
        <v/>
      </c>
      <c r="CE21" s="18" t="str">
        <f t="shared" si="59"/>
        <v/>
      </c>
      <c r="CF21" s="18" t="str">
        <f t="shared" si="60"/>
        <v/>
      </c>
      <c r="CG21" s="18" t="str">
        <f t="shared" si="61"/>
        <v/>
      </c>
      <c r="CH21" s="18" t="str">
        <f t="shared" si="62"/>
        <v/>
      </c>
      <c r="CI21" s="18" t="str">
        <f t="shared" si="63"/>
        <v/>
      </c>
      <c r="CJ21" s="18" t="str">
        <f t="shared" si="64"/>
        <v/>
      </c>
      <c r="CK21" s="18" t="str">
        <f t="shared" si="65"/>
        <v/>
      </c>
      <c r="CL21" s="18" t="str">
        <f t="shared" si="66"/>
        <v/>
      </c>
      <c r="CM21" s="18" t="str">
        <f t="shared" si="67"/>
        <v/>
      </c>
      <c r="CN21" s="18" t="str">
        <f t="shared" si="68"/>
        <v/>
      </c>
      <c r="CO21" s="18" t="str">
        <f t="shared" si="69"/>
        <v/>
      </c>
      <c r="CP21" s="18" t="str">
        <f t="shared" si="70"/>
        <v/>
      </c>
      <c r="CQ21" s="18" t="str">
        <f t="shared" si="71"/>
        <v/>
      </c>
    </row>
    <row r="22" spans="1:95" ht="14.4" customHeight="1" x14ac:dyDescent="0.3">
      <c r="A22" s="155" t="s">
        <v>190</v>
      </c>
      <c r="B22" s="161" t="s">
        <v>187</v>
      </c>
      <c r="C22" s="161" t="str">
        <f>"Gauge Block, "&amp;B22</f>
        <v>Gauge Block, Mitutoyo, S/N. 110072</v>
      </c>
      <c r="D22" s="156">
        <v>0</v>
      </c>
      <c r="E22" s="157">
        <v>300</v>
      </c>
      <c r="F22" s="158">
        <v>-0.1</v>
      </c>
      <c r="G22" s="159">
        <f t="shared" si="11"/>
        <v>299.99990000000003</v>
      </c>
      <c r="H22" s="158">
        <f>SQRT((0.31^2)+(0.0015^2*E22^2))</f>
        <v>0.54644304369257002</v>
      </c>
      <c r="I22" s="160">
        <v>45832</v>
      </c>
      <c r="J22" s="161" t="s">
        <v>174</v>
      </c>
      <c r="K22" s="228"/>
      <c r="L22" s="232"/>
      <c r="M22" s="232"/>
      <c r="N22" s="232"/>
      <c r="O22" s="232"/>
      <c r="P22" s="232"/>
      <c r="Q22" s="233"/>
      <c r="R22" s="233"/>
      <c r="S22" s="233"/>
      <c r="T22" s="233"/>
      <c r="U22" s="233"/>
      <c r="V22" s="232"/>
      <c r="W22" s="232"/>
      <c r="X22" s="232"/>
      <c r="Y22" s="232"/>
      <c r="Z22" s="232"/>
      <c r="AB22" s="18" t="str">
        <f t="shared" si="12"/>
        <v/>
      </c>
      <c r="AC22" s="18" t="str">
        <f t="shared" si="13"/>
        <v/>
      </c>
      <c r="AD22" s="18" t="str">
        <f t="shared" si="14"/>
        <v/>
      </c>
      <c r="AE22" s="18" t="str">
        <f t="shared" si="15"/>
        <v/>
      </c>
      <c r="AF22" s="18" t="str">
        <f t="shared" si="16"/>
        <v/>
      </c>
      <c r="AG22" s="18" t="str">
        <f t="shared" si="17"/>
        <v/>
      </c>
      <c r="AH22" s="18" t="str">
        <f t="shared" si="18"/>
        <v/>
      </c>
      <c r="AI22" s="18" t="str">
        <f t="shared" si="19"/>
        <v/>
      </c>
      <c r="AJ22" s="18" t="str">
        <f t="shared" si="20"/>
        <v/>
      </c>
      <c r="AK22" s="18" t="str">
        <f t="shared" si="21"/>
        <v/>
      </c>
      <c r="AL22" s="18" t="str">
        <f t="shared" si="22"/>
        <v/>
      </c>
      <c r="AM22" s="18" t="str">
        <f t="shared" si="23"/>
        <v/>
      </c>
      <c r="AN22" s="18" t="str">
        <f t="shared" si="24"/>
        <v/>
      </c>
      <c r="AO22" s="18" t="str">
        <f t="shared" si="25"/>
        <v/>
      </c>
      <c r="AP22" s="18" t="str">
        <f t="shared" si="26"/>
        <v/>
      </c>
      <c r="AR22" s="18" t="str">
        <f t="shared" si="27"/>
        <v/>
      </c>
      <c r="AS22" s="18" t="str">
        <f t="shared" si="28"/>
        <v/>
      </c>
      <c r="AT22" s="18" t="str">
        <f t="shared" si="29"/>
        <v/>
      </c>
      <c r="AU22" s="18" t="str">
        <f t="shared" si="30"/>
        <v/>
      </c>
      <c r="AV22" s="18" t="str">
        <f t="shared" si="31"/>
        <v/>
      </c>
      <c r="AW22" s="18" t="str">
        <f t="shared" si="32"/>
        <v/>
      </c>
      <c r="AX22" s="18" t="str">
        <f t="shared" si="33"/>
        <v/>
      </c>
      <c r="AY22" s="18" t="str">
        <f t="shared" si="34"/>
        <v/>
      </c>
      <c r="AZ22" s="18" t="str">
        <f t="shared" si="35"/>
        <v/>
      </c>
      <c r="BA22" s="18" t="str">
        <f t="shared" si="36"/>
        <v/>
      </c>
      <c r="BB22" s="18" t="str">
        <f t="shared" si="37"/>
        <v/>
      </c>
      <c r="BC22" s="18" t="str">
        <f t="shared" si="38"/>
        <v/>
      </c>
      <c r="BD22" s="18" t="str">
        <f t="shared" si="39"/>
        <v/>
      </c>
      <c r="BE22" s="18" t="str">
        <f t="shared" si="40"/>
        <v/>
      </c>
      <c r="BF22" s="18" t="str">
        <f t="shared" si="41"/>
        <v/>
      </c>
      <c r="BH22" s="18" t="str">
        <f t="shared" si="42"/>
        <v/>
      </c>
      <c r="BI22" s="18" t="str">
        <f t="shared" si="43"/>
        <v/>
      </c>
      <c r="BJ22" s="18" t="str">
        <f t="shared" si="44"/>
        <v/>
      </c>
      <c r="BK22" s="18" t="str">
        <f t="shared" si="45"/>
        <v/>
      </c>
      <c r="BL22" s="18" t="str">
        <f t="shared" si="46"/>
        <v/>
      </c>
      <c r="BM22" s="18" t="str">
        <f t="shared" si="47"/>
        <v/>
      </c>
      <c r="BN22" s="18" t="str">
        <f t="shared" si="48"/>
        <v/>
      </c>
      <c r="BO22" s="18" t="str">
        <f t="shared" si="49"/>
        <v/>
      </c>
      <c r="BP22" s="18" t="str">
        <f t="shared" si="50"/>
        <v/>
      </c>
      <c r="BQ22" s="18" t="str">
        <f t="shared" si="51"/>
        <v/>
      </c>
      <c r="BR22" s="18" t="str">
        <f t="shared" si="52"/>
        <v/>
      </c>
      <c r="BS22" s="18" t="str">
        <f t="shared" si="53"/>
        <v/>
      </c>
      <c r="BT22" s="18" t="str">
        <f t="shared" si="54"/>
        <v/>
      </c>
      <c r="BU22" s="18" t="str">
        <f t="shared" si="55"/>
        <v/>
      </c>
      <c r="BV22" s="18" t="str">
        <f t="shared" si="56"/>
        <v/>
      </c>
      <c r="CC22" s="18" t="str">
        <f t="shared" si="57"/>
        <v/>
      </c>
      <c r="CD22" s="18" t="str">
        <f t="shared" si="58"/>
        <v/>
      </c>
      <c r="CE22" s="18" t="str">
        <f t="shared" si="59"/>
        <v/>
      </c>
      <c r="CF22" s="18" t="str">
        <f t="shared" si="60"/>
        <v/>
      </c>
      <c r="CG22" s="18" t="str">
        <f t="shared" si="61"/>
        <v/>
      </c>
      <c r="CH22" s="18" t="str">
        <f t="shared" si="62"/>
        <v/>
      </c>
      <c r="CI22" s="18" t="str">
        <f t="shared" si="63"/>
        <v/>
      </c>
      <c r="CJ22" s="18" t="str">
        <f t="shared" si="64"/>
        <v/>
      </c>
      <c r="CK22" s="18" t="str">
        <f t="shared" si="65"/>
        <v/>
      </c>
      <c r="CL22" s="18" t="str">
        <f t="shared" si="66"/>
        <v/>
      </c>
      <c r="CM22" s="18" t="str">
        <f t="shared" si="67"/>
        <v/>
      </c>
      <c r="CN22" s="18" t="str">
        <f t="shared" si="68"/>
        <v/>
      </c>
      <c r="CO22" s="18" t="str">
        <f t="shared" si="69"/>
        <v/>
      </c>
      <c r="CP22" s="18" t="str">
        <f t="shared" si="70"/>
        <v/>
      </c>
      <c r="CQ22" s="18" t="str">
        <f t="shared" si="71"/>
        <v/>
      </c>
    </row>
    <row r="23" spans="1:95" ht="14.4" customHeight="1" x14ac:dyDescent="0.3">
      <c r="A23" s="141" t="s">
        <v>188</v>
      </c>
      <c r="B23" s="171" t="s">
        <v>180</v>
      </c>
      <c r="C23" s="262" t="s">
        <v>192</v>
      </c>
      <c r="D23" s="142">
        <v>0</v>
      </c>
      <c r="E23" s="152">
        <v>0.5</v>
      </c>
      <c r="F23" s="142">
        <v>0.06</v>
      </c>
      <c r="G23" s="145">
        <f t="shared" si="11"/>
        <v>0.50005999999999995</v>
      </c>
      <c r="H23" s="142">
        <v>0.12</v>
      </c>
      <c r="I23" s="253" t="s">
        <v>189</v>
      </c>
      <c r="J23" s="142" t="s">
        <v>179</v>
      </c>
      <c r="K23" s="228"/>
      <c r="L23" s="234"/>
      <c r="M23" s="234"/>
      <c r="N23" s="234"/>
      <c r="O23" s="234"/>
      <c r="P23" s="234"/>
      <c r="Q23" s="235"/>
      <c r="R23" s="235"/>
      <c r="S23" s="235"/>
      <c r="T23" s="235"/>
      <c r="U23" s="235"/>
      <c r="V23" s="234"/>
      <c r="W23" s="234"/>
      <c r="X23" s="234"/>
      <c r="Y23" s="234"/>
      <c r="Z23" s="234"/>
      <c r="AB23" s="18" t="str">
        <f t="shared" si="12"/>
        <v/>
      </c>
      <c r="AC23" s="18" t="str">
        <f t="shared" si="13"/>
        <v/>
      </c>
      <c r="AD23" s="18" t="str">
        <f t="shared" si="14"/>
        <v/>
      </c>
      <c r="AE23" s="18" t="str">
        <f t="shared" si="15"/>
        <v/>
      </c>
      <c r="AF23" s="18" t="str">
        <f t="shared" si="16"/>
        <v/>
      </c>
      <c r="AG23" s="18" t="str">
        <f t="shared" si="17"/>
        <v/>
      </c>
      <c r="AH23" s="18" t="str">
        <f t="shared" si="18"/>
        <v/>
      </c>
      <c r="AI23" s="18" t="str">
        <f t="shared" si="19"/>
        <v/>
      </c>
      <c r="AJ23" s="18" t="str">
        <f t="shared" si="20"/>
        <v/>
      </c>
      <c r="AK23" s="18" t="str">
        <f t="shared" si="21"/>
        <v/>
      </c>
      <c r="AL23" s="18" t="str">
        <f t="shared" si="22"/>
        <v/>
      </c>
      <c r="AM23" s="18" t="str">
        <f t="shared" si="23"/>
        <v/>
      </c>
      <c r="AN23" s="18" t="str">
        <f t="shared" si="24"/>
        <v/>
      </c>
      <c r="AO23" s="18" t="str">
        <f t="shared" si="25"/>
        <v/>
      </c>
      <c r="AP23" s="18" t="str">
        <f t="shared" si="26"/>
        <v/>
      </c>
      <c r="AR23" s="18" t="str">
        <f t="shared" si="27"/>
        <v/>
      </c>
      <c r="AS23" s="18" t="str">
        <f t="shared" si="28"/>
        <v/>
      </c>
      <c r="AT23" s="18" t="str">
        <f t="shared" si="29"/>
        <v/>
      </c>
      <c r="AU23" s="18" t="str">
        <f t="shared" si="30"/>
        <v/>
      </c>
      <c r="AV23" s="18" t="str">
        <f t="shared" si="31"/>
        <v/>
      </c>
      <c r="AW23" s="18" t="str">
        <f t="shared" si="32"/>
        <v/>
      </c>
      <c r="AX23" s="18" t="str">
        <f t="shared" si="33"/>
        <v/>
      </c>
      <c r="AY23" s="18" t="str">
        <f t="shared" si="34"/>
        <v/>
      </c>
      <c r="AZ23" s="18" t="str">
        <f t="shared" si="35"/>
        <v/>
      </c>
      <c r="BA23" s="18" t="str">
        <f t="shared" si="36"/>
        <v/>
      </c>
      <c r="BB23" s="18" t="str">
        <f t="shared" si="37"/>
        <v/>
      </c>
      <c r="BC23" s="18" t="str">
        <f t="shared" si="38"/>
        <v/>
      </c>
      <c r="BD23" s="18" t="str">
        <f t="shared" si="39"/>
        <v/>
      </c>
      <c r="BE23" s="18" t="str">
        <f t="shared" si="40"/>
        <v/>
      </c>
      <c r="BF23" s="18" t="str">
        <f t="shared" si="41"/>
        <v/>
      </c>
      <c r="BH23" s="18" t="str">
        <f t="shared" si="42"/>
        <v/>
      </c>
      <c r="BI23" s="18" t="str">
        <f t="shared" si="43"/>
        <v/>
      </c>
      <c r="BJ23" s="18" t="str">
        <f t="shared" si="44"/>
        <v/>
      </c>
      <c r="BK23" s="18" t="str">
        <f t="shared" si="45"/>
        <v/>
      </c>
      <c r="BL23" s="18" t="str">
        <f t="shared" si="46"/>
        <v/>
      </c>
      <c r="BM23" s="18" t="str">
        <f t="shared" si="47"/>
        <v/>
      </c>
      <c r="BN23" s="18" t="str">
        <f t="shared" si="48"/>
        <v/>
      </c>
      <c r="BO23" s="18" t="str">
        <f t="shared" si="49"/>
        <v/>
      </c>
      <c r="BP23" s="18" t="str">
        <f t="shared" si="50"/>
        <v/>
      </c>
      <c r="BQ23" s="18" t="str">
        <f t="shared" si="51"/>
        <v/>
      </c>
      <c r="BR23" s="18" t="str">
        <f t="shared" si="52"/>
        <v/>
      </c>
      <c r="BS23" s="18" t="str">
        <f t="shared" si="53"/>
        <v/>
      </c>
      <c r="BT23" s="18" t="str">
        <f t="shared" si="54"/>
        <v/>
      </c>
      <c r="BU23" s="18" t="str">
        <f t="shared" si="55"/>
        <v/>
      </c>
      <c r="BV23" s="18" t="str">
        <f t="shared" si="56"/>
        <v/>
      </c>
      <c r="CC23" s="18" t="str">
        <f t="shared" si="57"/>
        <v/>
      </c>
      <c r="CD23" s="18" t="str">
        <f t="shared" si="58"/>
        <v/>
      </c>
      <c r="CE23" s="18" t="str">
        <f t="shared" si="59"/>
        <v/>
      </c>
      <c r="CF23" s="18" t="str">
        <f t="shared" si="60"/>
        <v/>
      </c>
      <c r="CG23" s="18" t="str">
        <f t="shared" si="61"/>
        <v/>
      </c>
      <c r="CH23" s="18" t="str">
        <f t="shared" si="62"/>
        <v/>
      </c>
      <c r="CI23" s="18" t="str">
        <f t="shared" si="63"/>
        <v/>
      </c>
      <c r="CJ23" s="18" t="str">
        <f t="shared" si="64"/>
        <v/>
      </c>
      <c r="CK23" s="18" t="str">
        <f t="shared" si="65"/>
        <v/>
      </c>
      <c r="CL23" s="18" t="str">
        <f t="shared" si="66"/>
        <v/>
      </c>
      <c r="CM23" s="18" t="str">
        <f t="shared" si="67"/>
        <v/>
      </c>
      <c r="CN23" s="18" t="str">
        <f t="shared" si="68"/>
        <v/>
      </c>
      <c r="CO23" s="18" t="str">
        <f t="shared" si="69"/>
        <v/>
      </c>
      <c r="CP23" s="18" t="str">
        <f t="shared" si="70"/>
        <v/>
      </c>
      <c r="CQ23" s="18" t="str">
        <f t="shared" si="71"/>
        <v/>
      </c>
    </row>
    <row r="24" spans="1:95" x14ac:dyDescent="0.3">
      <c r="A24" s="141" t="s">
        <v>188</v>
      </c>
      <c r="B24" s="171" t="s">
        <v>180</v>
      </c>
      <c r="C24" s="262" t="s">
        <v>192</v>
      </c>
      <c r="D24" s="142">
        <v>0</v>
      </c>
      <c r="E24" s="152">
        <v>1</v>
      </c>
      <c r="F24" s="142">
        <v>0.09</v>
      </c>
      <c r="G24" s="145">
        <f t="shared" si="11"/>
        <v>1.0000899999999999</v>
      </c>
      <c r="H24" s="142">
        <v>0.13</v>
      </c>
      <c r="I24" s="253" t="s">
        <v>189</v>
      </c>
      <c r="J24" s="142" t="s">
        <v>179</v>
      </c>
      <c r="K24" s="228"/>
      <c r="L24" s="230"/>
      <c r="M24" s="230"/>
      <c r="N24" s="230"/>
      <c r="O24" s="230"/>
      <c r="P24" s="230"/>
      <c r="Q24" s="231"/>
      <c r="R24" s="231"/>
      <c r="S24" s="231"/>
      <c r="T24" s="231"/>
      <c r="U24" s="231"/>
      <c r="V24" s="230"/>
      <c r="W24" s="230"/>
      <c r="X24" s="230"/>
      <c r="Y24" s="230"/>
      <c r="Z24" s="230"/>
      <c r="AB24" s="18" t="str">
        <f t="shared" si="12"/>
        <v/>
      </c>
      <c r="AC24" s="18" t="str">
        <f t="shared" si="13"/>
        <v/>
      </c>
      <c r="AD24" s="18" t="str">
        <f t="shared" si="14"/>
        <v/>
      </c>
      <c r="AE24" s="18" t="str">
        <f t="shared" si="15"/>
        <v/>
      </c>
      <c r="AF24" s="18" t="str">
        <f t="shared" si="16"/>
        <v/>
      </c>
      <c r="AG24" s="18" t="str">
        <f t="shared" si="17"/>
        <v/>
      </c>
      <c r="AH24" s="18" t="str">
        <f t="shared" si="18"/>
        <v/>
      </c>
      <c r="AI24" s="18" t="str">
        <f t="shared" si="19"/>
        <v/>
      </c>
      <c r="AJ24" s="18" t="str">
        <f t="shared" si="20"/>
        <v/>
      </c>
      <c r="AK24" s="18" t="str">
        <f t="shared" si="21"/>
        <v/>
      </c>
      <c r="AL24" s="18" t="str">
        <f t="shared" si="22"/>
        <v/>
      </c>
      <c r="AM24" s="18" t="str">
        <f t="shared" si="23"/>
        <v/>
      </c>
      <c r="AN24" s="18" t="str">
        <f t="shared" si="24"/>
        <v/>
      </c>
      <c r="AO24" s="18" t="str">
        <f t="shared" si="25"/>
        <v/>
      </c>
      <c r="AP24" s="18" t="str">
        <f t="shared" si="26"/>
        <v/>
      </c>
      <c r="AR24" s="18" t="str">
        <f t="shared" si="27"/>
        <v/>
      </c>
      <c r="AS24" s="18" t="str">
        <f t="shared" si="28"/>
        <v/>
      </c>
      <c r="AT24" s="18" t="str">
        <f t="shared" si="29"/>
        <v/>
      </c>
      <c r="AU24" s="18" t="str">
        <f t="shared" si="30"/>
        <v/>
      </c>
      <c r="AV24" s="18" t="str">
        <f t="shared" si="31"/>
        <v/>
      </c>
      <c r="AW24" s="18" t="str">
        <f t="shared" si="32"/>
        <v/>
      </c>
      <c r="AX24" s="18" t="str">
        <f t="shared" si="33"/>
        <v/>
      </c>
      <c r="AY24" s="18" t="str">
        <f t="shared" si="34"/>
        <v/>
      </c>
      <c r="AZ24" s="18" t="str">
        <f t="shared" si="35"/>
        <v/>
      </c>
      <c r="BA24" s="18" t="str">
        <f t="shared" si="36"/>
        <v/>
      </c>
      <c r="BB24" s="18" t="str">
        <f t="shared" si="37"/>
        <v/>
      </c>
      <c r="BC24" s="18" t="str">
        <f t="shared" si="38"/>
        <v/>
      </c>
      <c r="BD24" s="18" t="str">
        <f t="shared" si="39"/>
        <v/>
      </c>
      <c r="BE24" s="18" t="str">
        <f t="shared" si="40"/>
        <v/>
      </c>
      <c r="BF24" s="18" t="str">
        <f t="shared" si="41"/>
        <v/>
      </c>
      <c r="BH24" s="18" t="str">
        <f t="shared" si="42"/>
        <v/>
      </c>
      <c r="BI24" s="18" t="str">
        <f t="shared" si="43"/>
        <v/>
      </c>
      <c r="BJ24" s="18" t="str">
        <f t="shared" si="44"/>
        <v/>
      </c>
      <c r="BK24" s="18" t="str">
        <f t="shared" si="45"/>
        <v/>
      </c>
      <c r="BL24" s="18" t="str">
        <f t="shared" si="46"/>
        <v/>
      </c>
      <c r="BM24" s="18" t="str">
        <f t="shared" si="47"/>
        <v/>
      </c>
      <c r="BN24" s="18" t="str">
        <f t="shared" si="48"/>
        <v/>
      </c>
      <c r="BO24" s="18" t="str">
        <f t="shared" si="49"/>
        <v/>
      </c>
      <c r="BP24" s="18" t="str">
        <f t="shared" si="50"/>
        <v/>
      </c>
      <c r="BQ24" s="18" t="str">
        <f t="shared" si="51"/>
        <v/>
      </c>
      <c r="BR24" s="18" t="str">
        <f t="shared" si="52"/>
        <v/>
      </c>
      <c r="BS24" s="18" t="str">
        <f t="shared" si="53"/>
        <v/>
      </c>
      <c r="BT24" s="18" t="str">
        <f t="shared" si="54"/>
        <v/>
      </c>
      <c r="BU24" s="18" t="str">
        <f t="shared" si="55"/>
        <v/>
      </c>
      <c r="BV24" s="18" t="str">
        <f t="shared" si="56"/>
        <v/>
      </c>
      <c r="CC24" s="18" t="str">
        <f t="shared" si="57"/>
        <v/>
      </c>
      <c r="CD24" s="18" t="str">
        <f t="shared" si="58"/>
        <v/>
      </c>
      <c r="CE24" s="18" t="str">
        <f t="shared" si="59"/>
        <v/>
      </c>
      <c r="CF24" s="18" t="str">
        <f t="shared" si="60"/>
        <v/>
      </c>
      <c r="CG24" s="18" t="str">
        <f t="shared" si="61"/>
        <v/>
      </c>
      <c r="CH24" s="18" t="str">
        <f t="shared" si="62"/>
        <v/>
      </c>
      <c r="CI24" s="18" t="str">
        <f t="shared" si="63"/>
        <v/>
      </c>
      <c r="CJ24" s="18" t="str">
        <f t="shared" si="64"/>
        <v/>
      </c>
      <c r="CK24" s="18" t="str">
        <f t="shared" si="65"/>
        <v/>
      </c>
      <c r="CL24" s="18" t="str">
        <f t="shared" si="66"/>
        <v/>
      </c>
      <c r="CM24" s="18" t="str">
        <f t="shared" si="67"/>
        <v/>
      </c>
      <c r="CN24" s="18" t="str">
        <f t="shared" si="68"/>
        <v/>
      </c>
      <c r="CO24" s="18" t="str">
        <f t="shared" si="69"/>
        <v/>
      </c>
      <c r="CP24" s="18" t="str">
        <f t="shared" si="70"/>
        <v/>
      </c>
      <c r="CQ24" s="18" t="str">
        <f t="shared" si="71"/>
        <v/>
      </c>
    </row>
    <row r="25" spans="1:95" x14ac:dyDescent="0.3">
      <c r="A25" s="141" t="s">
        <v>188</v>
      </c>
      <c r="B25" s="171" t="s">
        <v>180</v>
      </c>
      <c r="C25" s="262" t="s">
        <v>192</v>
      </c>
      <c r="D25" s="142">
        <v>0</v>
      </c>
      <c r="E25" s="152">
        <v>1.01</v>
      </c>
      <c r="F25" s="142">
        <v>0.09</v>
      </c>
      <c r="G25" s="145">
        <f t="shared" si="11"/>
        <v>1.0100899999999999</v>
      </c>
      <c r="H25" s="142">
        <v>0.13</v>
      </c>
      <c r="I25" s="253" t="s">
        <v>189</v>
      </c>
      <c r="J25" s="142" t="s">
        <v>179</v>
      </c>
      <c r="K25" s="228"/>
      <c r="L25" s="230"/>
      <c r="M25" s="230"/>
      <c r="N25" s="230"/>
      <c r="O25" s="230"/>
      <c r="P25" s="230"/>
      <c r="Q25" s="231"/>
      <c r="R25" s="231"/>
      <c r="S25" s="231"/>
      <c r="T25" s="231"/>
      <c r="U25" s="231"/>
      <c r="V25" s="230"/>
      <c r="W25" s="230"/>
      <c r="X25" s="230"/>
      <c r="Y25" s="230"/>
      <c r="Z25" s="230"/>
      <c r="AB25" s="18" t="str">
        <f t="shared" si="12"/>
        <v/>
      </c>
      <c r="AC25" s="18" t="str">
        <f t="shared" si="13"/>
        <v/>
      </c>
      <c r="AD25" s="18" t="str">
        <f t="shared" si="14"/>
        <v/>
      </c>
      <c r="AE25" s="18" t="str">
        <f t="shared" si="15"/>
        <v/>
      </c>
      <c r="AF25" s="18" t="str">
        <f t="shared" si="16"/>
        <v/>
      </c>
      <c r="AG25" s="18" t="str">
        <f t="shared" si="17"/>
        <v/>
      </c>
      <c r="AH25" s="18" t="str">
        <f t="shared" si="18"/>
        <v/>
      </c>
      <c r="AI25" s="18" t="str">
        <f t="shared" si="19"/>
        <v/>
      </c>
      <c r="AJ25" s="18" t="str">
        <f t="shared" si="20"/>
        <v/>
      </c>
      <c r="AK25" s="18" t="str">
        <f t="shared" si="21"/>
        <v/>
      </c>
      <c r="AL25" s="18" t="str">
        <f t="shared" si="22"/>
        <v/>
      </c>
      <c r="AM25" s="18" t="str">
        <f t="shared" si="23"/>
        <v/>
      </c>
      <c r="AN25" s="18" t="str">
        <f t="shared" si="24"/>
        <v/>
      </c>
      <c r="AO25" s="18" t="str">
        <f t="shared" si="25"/>
        <v/>
      </c>
      <c r="AP25" s="18" t="str">
        <f t="shared" si="26"/>
        <v/>
      </c>
      <c r="AR25" s="18" t="str">
        <f t="shared" si="27"/>
        <v/>
      </c>
      <c r="AS25" s="18" t="str">
        <f t="shared" si="28"/>
        <v/>
      </c>
      <c r="AT25" s="18" t="str">
        <f t="shared" si="29"/>
        <v/>
      </c>
      <c r="AU25" s="18" t="str">
        <f t="shared" si="30"/>
        <v/>
      </c>
      <c r="AV25" s="18" t="str">
        <f t="shared" si="31"/>
        <v/>
      </c>
      <c r="AW25" s="18" t="str">
        <f t="shared" si="32"/>
        <v/>
      </c>
      <c r="AX25" s="18" t="str">
        <f t="shared" si="33"/>
        <v/>
      </c>
      <c r="AY25" s="18" t="str">
        <f t="shared" si="34"/>
        <v/>
      </c>
      <c r="AZ25" s="18" t="str">
        <f t="shared" si="35"/>
        <v/>
      </c>
      <c r="BA25" s="18" t="str">
        <f t="shared" si="36"/>
        <v/>
      </c>
      <c r="BB25" s="18" t="str">
        <f t="shared" si="37"/>
        <v/>
      </c>
      <c r="BC25" s="18" t="str">
        <f t="shared" si="38"/>
        <v/>
      </c>
      <c r="BD25" s="18" t="str">
        <f t="shared" si="39"/>
        <v/>
      </c>
      <c r="BE25" s="18" t="str">
        <f t="shared" si="40"/>
        <v/>
      </c>
      <c r="BF25" s="18" t="str">
        <f t="shared" si="41"/>
        <v/>
      </c>
      <c r="BH25" s="18" t="str">
        <f t="shared" si="42"/>
        <v/>
      </c>
      <c r="BI25" s="18" t="str">
        <f t="shared" si="43"/>
        <v/>
      </c>
      <c r="BJ25" s="18" t="str">
        <f t="shared" si="44"/>
        <v/>
      </c>
      <c r="BK25" s="18" t="str">
        <f t="shared" si="45"/>
        <v/>
      </c>
      <c r="BL25" s="18" t="str">
        <f t="shared" si="46"/>
        <v/>
      </c>
      <c r="BM25" s="18" t="str">
        <f t="shared" si="47"/>
        <v/>
      </c>
      <c r="BN25" s="18" t="str">
        <f t="shared" si="48"/>
        <v/>
      </c>
      <c r="BO25" s="18" t="str">
        <f t="shared" si="49"/>
        <v/>
      </c>
      <c r="BP25" s="18" t="str">
        <f t="shared" si="50"/>
        <v/>
      </c>
      <c r="BQ25" s="18" t="str">
        <f t="shared" si="51"/>
        <v/>
      </c>
      <c r="BR25" s="18" t="str">
        <f t="shared" si="52"/>
        <v/>
      </c>
      <c r="BS25" s="18" t="str">
        <f t="shared" si="53"/>
        <v/>
      </c>
      <c r="BT25" s="18" t="str">
        <f t="shared" si="54"/>
        <v/>
      </c>
      <c r="BU25" s="18" t="str">
        <f t="shared" si="55"/>
        <v/>
      </c>
      <c r="BV25" s="18" t="str">
        <f t="shared" si="56"/>
        <v/>
      </c>
      <c r="CC25" s="18" t="str">
        <f t="shared" si="57"/>
        <v/>
      </c>
      <c r="CD25" s="18" t="str">
        <f t="shared" si="58"/>
        <v/>
      </c>
      <c r="CE25" s="18" t="str">
        <f t="shared" si="59"/>
        <v/>
      </c>
      <c r="CF25" s="18" t="str">
        <f t="shared" si="60"/>
        <v/>
      </c>
      <c r="CG25" s="18" t="str">
        <f t="shared" si="61"/>
        <v/>
      </c>
      <c r="CH25" s="18" t="str">
        <f t="shared" si="62"/>
        <v/>
      </c>
      <c r="CI25" s="18" t="str">
        <f t="shared" si="63"/>
        <v/>
      </c>
      <c r="CJ25" s="18" t="str">
        <f t="shared" si="64"/>
        <v/>
      </c>
      <c r="CK25" s="18" t="str">
        <f t="shared" si="65"/>
        <v/>
      </c>
      <c r="CL25" s="18" t="str">
        <f t="shared" si="66"/>
        <v/>
      </c>
      <c r="CM25" s="18" t="str">
        <f t="shared" si="67"/>
        <v/>
      </c>
      <c r="CN25" s="18" t="str">
        <f t="shared" si="68"/>
        <v/>
      </c>
      <c r="CO25" s="18" t="str">
        <f t="shared" si="69"/>
        <v/>
      </c>
      <c r="CP25" s="18" t="str">
        <f t="shared" si="70"/>
        <v/>
      </c>
      <c r="CQ25" s="18" t="str">
        <f t="shared" si="71"/>
        <v/>
      </c>
    </row>
    <row r="26" spans="1:95" x14ac:dyDescent="0.3">
      <c r="A26" s="141" t="s">
        <v>188</v>
      </c>
      <c r="B26" s="171" t="s">
        <v>180</v>
      </c>
      <c r="C26" s="262" t="s">
        <v>192</v>
      </c>
      <c r="D26" s="142">
        <v>0</v>
      </c>
      <c r="E26" s="152">
        <v>1.02</v>
      </c>
      <c r="F26" s="142">
        <v>0.1</v>
      </c>
      <c r="G26" s="145">
        <f t="shared" si="11"/>
        <v>1.0201</v>
      </c>
      <c r="H26" s="142">
        <v>0.13</v>
      </c>
      <c r="I26" s="253" t="s">
        <v>189</v>
      </c>
      <c r="J26" s="142" t="s">
        <v>179</v>
      </c>
      <c r="K26" s="228"/>
      <c r="L26" s="230"/>
      <c r="M26" s="230"/>
      <c r="N26" s="230"/>
      <c r="O26" s="230"/>
      <c r="P26" s="230"/>
      <c r="Q26" s="231"/>
      <c r="R26" s="231"/>
      <c r="S26" s="231"/>
      <c r="T26" s="231"/>
      <c r="U26" s="231"/>
      <c r="V26" s="230"/>
      <c r="W26" s="230"/>
      <c r="X26" s="230"/>
      <c r="Y26" s="230"/>
      <c r="Z26" s="230"/>
      <c r="AB26" s="18" t="str">
        <f t="shared" si="12"/>
        <v/>
      </c>
      <c r="AC26" s="18" t="str">
        <f t="shared" si="13"/>
        <v/>
      </c>
      <c r="AD26" s="18" t="str">
        <f t="shared" si="14"/>
        <v/>
      </c>
      <c r="AE26" s="18" t="str">
        <f t="shared" si="15"/>
        <v/>
      </c>
      <c r="AF26" s="18" t="str">
        <f t="shared" si="16"/>
        <v/>
      </c>
      <c r="AG26" s="18" t="str">
        <f t="shared" si="17"/>
        <v/>
      </c>
      <c r="AH26" s="18" t="str">
        <f t="shared" si="18"/>
        <v/>
      </c>
      <c r="AI26" s="18" t="str">
        <f t="shared" si="19"/>
        <v/>
      </c>
      <c r="AJ26" s="18" t="str">
        <f t="shared" si="20"/>
        <v/>
      </c>
      <c r="AK26" s="18" t="str">
        <f t="shared" si="21"/>
        <v/>
      </c>
      <c r="AL26" s="18" t="str">
        <f t="shared" si="22"/>
        <v/>
      </c>
      <c r="AM26" s="18" t="str">
        <f t="shared" si="23"/>
        <v/>
      </c>
      <c r="AN26" s="18" t="str">
        <f t="shared" si="24"/>
        <v/>
      </c>
      <c r="AO26" s="18" t="str">
        <f t="shared" si="25"/>
        <v/>
      </c>
      <c r="AP26" s="18" t="str">
        <f t="shared" si="26"/>
        <v/>
      </c>
      <c r="AR26" s="18" t="str">
        <f t="shared" si="27"/>
        <v/>
      </c>
      <c r="AS26" s="18" t="str">
        <f t="shared" si="28"/>
        <v/>
      </c>
      <c r="AT26" s="18" t="str">
        <f t="shared" si="29"/>
        <v/>
      </c>
      <c r="AU26" s="18" t="str">
        <f t="shared" si="30"/>
        <v/>
      </c>
      <c r="AV26" s="18" t="str">
        <f t="shared" si="31"/>
        <v/>
      </c>
      <c r="AW26" s="18" t="str">
        <f t="shared" si="32"/>
        <v/>
      </c>
      <c r="AX26" s="18" t="str">
        <f t="shared" si="33"/>
        <v/>
      </c>
      <c r="AY26" s="18" t="str">
        <f t="shared" si="34"/>
        <v/>
      </c>
      <c r="AZ26" s="18" t="str">
        <f t="shared" si="35"/>
        <v/>
      </c>
      <c r="BA26" s="18" t="str">
        <f t="shared" si="36"/>
        <v/>
      </c>
      <c r="BB26" s="18" t="str">
        <f t="shared" si="37"/>
        <v/>
      </c>
      <c r="BC26" s="18" t="str">
        <f t="shared" si="38"/>
        <v/>
      </c>
      <c r="BD26" s="18" t="str">
        <f t="shared" si="39"/>
        <v/>
      </c>
      <c r="BE26" s="18" t="str">
        <f t="shared" si="40"/>
        <v/>
      </c>
      <c r="BF26" s="18" t="str">
        <f t="shared" si="41"/>
        <v/>
      </c>
      <c r="BH26" s="18" t="str">
        <f t="shared" si="42"/>
        <v/>
      </c>
      <c r="BI26" s="18" t="str">
        <f t="shared" si="43"/>
        <v/>
      </c>
      <c r="BJ26" s="18" t="str">
        <f t="shared" si="44"/>
        <v/>
      </c>
      <c r="BK26" s="18" t="str">
        <f t="shared" si="45"/>
        <v/>
      </c>
      <c r="BL26" s="18" t="str">
        <f t="shared" si="46"/>
        <v/>
      </c>
      <c r="BM26" s="18" t="str">
        <f t="shared" si="47"/>
        <v/>
      </c>
      <c r="BN26" s="18" t="str">
        <f t="shared" si="48"/>
        <v/>
      </c>
      <c r="BO26" s="18" t="str">
        <f t="shared" si="49"/>
        <v/>
      </c>
      <c r="BP26" s="18" t="str">
        <f t="shared" si="50"/>
        <v/>
      </c>
      <c r="BQ26" s="18" t="str">
        <f t="shared" si="51"/>
        <v/>
      </c>
      <c r="BR26" s="18" t="str">
        <f t="shared" si="52"/>
        <v/>
      </c>
      <c r="BS26" s="18" t="str">
        <f t="shared" si="53"/>
        <v/>
      </c>
      <c r="BT26" s="18" t="str">
        <f t="shared" si="54"/>
        <v/>
      </c>
      <c r="BU26" s="18" t="str">
        <f t="shared" si="55"/>
        <v/>
      </c>
      <c r="BV26" s="18" t="str">
        <f t="shared" si="56"/>
        <v/>
      </c>
      <c r="CC26" s="18" t="str">
        <f t="shared" si="57"/>
        <v/>
      </c>
      <c r="CD26" s="18" t="str">
        <f t="shared" si="58"/>
        <v/>
      </c>
      <c r="CE26" s="18" t="str">
        <f t="shared" si="59"/>
        <v/>
      </c>
      <c r="CF26" s="18" t="str">
        <f t="shared" si="60"/>
        <v/>
      </c>
      <c r="CG26" s="18" t="str">
        <f t="shared" si="61"/>
        <v/>
      </c>
      <c r="CH26" s="18" t="str">
        <f t="shared" si="62"/>
        <v/>
      </c>
      <c r="CI26" s="18" t="str">
        <f t="shared" si="63"/>
        <v/>
      </c>
      <c r="CJ26" s="18" t="str">
        <f t="shared" si="64"/>
        <v/>
      </c>
      <c r="CK26" s="18" t="str">
        <f t="shared" si="65"/>
        <v/>
      </c>
      <c r="CL26" s="18" t="str">
        <f t="shared" si="66"/>
        <v/>
      </c>
      <c r="CM26" s="18" t="str">
        <f t="shared" si="67"/>
        <v/>
      </c>
      <c r="CN26" s="18" t="str">
        <f t="shared" si="68"/>
        <v/>
      </c>
      <c r="CO26" s="18" t="str">
        <f t="shared" si="69"/>
        <v/>
      </c>
      <c r="CP26" s="18" t="str">
        <f t="shared" si="70"/>
        <v/>
      </c>
      <c r="CQ26" s="18" t="str">
        <f t="shared" si="71"/>
        <v/>
      </c>
    </row>
    <row r="27" spans="1:95" x14ac:dyDescent="0.3">
      <c r="A27" s="141" t="s">
        <v>188</v>
      </c>
      <c r="B27" s="171" t="s">
        <v>180</v>
      </c>
      <c r="C27" s="262" t="s">
        <v>192</v>
      </c>
      <c r="D27" s="142">
        <v>0</v>
      </c>
      <c r="E27" s="152">
        <v>1.03</v>
      </c>
      <c r="F27" s="142">
        <v>7.0000000000000007E-2</v>
      </c>
      <c r="G27" s="145">
        <f t="shared" si="11"/>
        <v>1.03007</v>
      </c>
      <c r="H27" s="142">
        <v>0.13</v>
      </c>
      <c r="I27" s="253" t="s">
        <v>189</v>
      </c>
      <c r="J27" s="142" t="s">
        <v>179</v>
      </c>
      <c r="K27" s="228"/>
      <c r="L27" s="230"/>
      <c r="M27" s="230"/>
      <c r="N27" s="230"/>
      <c r="O27" s="230"/>
      <c r="P27" s="230"/>
      <c r="Q27" s="231"/>
      <c r="R27" s="231"/>
      <c r="S27" s="231"/>
      <c r="T27" s="231"/>
      <c r="U27" s="231"/>
      <c r="V27" s="230"/>
      <c r="W27" s="230"/>
      <c r="X27" s="230"/>
      <c r="Y27" s="230"/>
      <c r="Z27" s="230"/>
      <c r="AB27" s="18" t="str">
        <f t="shared" si="12"/>
        <v/>
      </c>
      <c r="AC27" s="18" t="str">
        <f t="shared" si="13"/>
        <v/>
      </c>
      <c r="AD27" s="18" t="str">
        <f t="shared" si="14"/>
        <v/>
      </c>
      <c r="AE27" s="18" t="str">
        <f t="shared" si="15"/>
        <v/>
      </c>
      <c r="AF27" s="18" t="str">
        <f t="shared" si="16"/>
        <v/>
      </c>
      <c r="AG27" s="18" t="str">
        <f t="shared" si="17"/>
        <v/>
      </c>
      <c r="AH27" s="18" t="str">
        <f t="shared" si="18"/>
        <v/>
      </c>
      <c r="AI27" s="18" t="str">
        <f t="shared" si="19"/>
        <v/>
      </c>
      <c r="AJ27" s="18" t="str">
        <f t="shared" si="20"/>
        <v/>
      </c>
      <c r="AK27" s="18" t="str">
        <f t="shared" si="21"/>
        <v/>
      </c>
      <c r="AL27" s="18" t="str">
        <f t="shared" si="22"/>
        <v/>
      </c>
      <c r="AM27" s="18" t="str">
        <f t="shared" si="23"/>
        <v/>
      </c>
      <c r="AN27" s="18" t="str">
        <f t="shared" si="24"/>
        <v/>
      </c>
      <c r="AO27" s="18" t="str">
        <f t="shared" si="25"/>
        <v/>
      </c>
      <c r="AP27" s="18" t="str">
        <f t="shared" si="26"/>
        <v/>
      </c>
      <c r="AR27" s="18" t="str">
        <f t="shared" si="27"/>
        <v/>
      </c>
      <c r="AS27" s="18" t="str">
        <f t="shared" si="28"/>
        <v/>
      </c>
      <c r="AT27" s="18" t="str">
        <f t="shared" si="29"/>
        <v/>
      </c>
      <c r="AU27" s="18" t="str">
        <f t="shared" si="30"/>
        <v/>
      </c>
      <c r="AV27" s="18" t="str">
        <f t="shared" si="31"/>
        <v/>
      </c>
      <c r="AW27" s="18" t="str">
        <f t="shared" si="32"/>
        <v/>
      </c>
      <c r="AX27" s="18" t="str">
        <f t="shared" si="33"/>
        <v/>
      </c>
      <c r="AY27" s="18" t="str">
        <f t="shared" si="34"/>
        <v/>
      </c>
      <c r="AZ27" s="18" t="str">
        <f t="shared" si="35"/>
        <v/>
      </c>
      <c r="BA27" s="18" t="str">
        <f t="shared" si="36"/>
        <v/>
      </c>
      <c r="BB27" s="18" t="str">
        <f t="shared" si="37"/>
        <v/>
      </c>
      <c r="BC27" s="18" t="str">
        <f t="shared" si="38"/>
        <v/>
      </c>
      <c r="BD27" s="18" t="str">
        <f t="shared" si="39"/>
        <v/>
      </c>
      <c r="BE27" s="18" t="str">
        <f t="shared" si="40"/>
        <v/>
      </c>
      <c r="BF27" s="18" t="str">
        <f t="shared" si="41"/>
        <v/>
      </c>
      <c r="BH27" s="18" t="str">
        <f t="shared" si="42"/>
        <v/>
      </c>
      <c r="BI27" s="18" t="str">
        <f t="shared" si="43"/>
        <v/>
      </c>
      <c r="BJ27" s="18" t="str">
        <f t="shared" si="44"/>
        <v/>
      </c>
      <c r="BK27" s="18" t="str">
        <f t="shared" si="45"/>
        <v/>
      </c>
      <c r="BL27" s="18" t="str">
        <f t="shared" si="46"/>
        <v/>
      </c>
      <c r="BM27" s="18" t="str">
        <f t="shared" si="47"/>
        <v/>
      </c>
      <c r="BN27" s="18" t="str">
        <f t="shared" si="48"/>
        <v/>
      </c>
      <c r="BO27" s="18" t="str">
        <f t="shared" si="49"/>
        <v/>
      </c>
      <c r="BP27" s="18" t="str">
        <f t="shared" si="50"/>
        <v/>
      </c>
      <c r="BQ27" s="18" t="str">
        <f t="shared" si="51"/>
        <v/>
      </c>
      <c r="BR27" s="18" t="str">
        <f t="shared" si="52"/>
        <v/>
      </c>
      <c r="BS27" s="18" t="str">
        <f t="shared" si="53"/>
        <v/>
      </c>
      <c r="BT27" s="18" t="str">
        <f t="shared" si="54"/>
        <v/>
      </c>
      <c r="BU27" s="18" t="str">
        <f t="shared" si="55"/>
        <v/>
      </c>
      <c r="BV27" s="18" t="str">
        <f t="shared" si="56"/>
        <v/>
      </c>
      <c r="CC27" s="18" t="str">
        <f t="shared" si="57"/>
        <v/>
      </c>
      <c r="CD27" s="18" t="str">
        <f t="shared" si="58"/>
        <v/>
      </c>
      <c r="CE27" s="18" t="str">
        <f t="shared" si="59"/>
        <v/>
      </c>
      <c r="CF27" s="18" t="str">
        <f t="shared" si="60"/>
        <v/>
      </c>
      <c r="CG27" s="18" t="str">
        <f t="shared" si="61"/>
        <v/>
      </c>
      <c r="CH27" s="18" t="str">
        <f t="shared" si="62"/>
        <v/>
      </c>
      <c r="CI27" s="18" t="str">
        <f t="shared" si="63"/>
        <v/>
      </c>
      <c r="CJ27" s="18" t="str">
        <f t="shared" si="64"/>
        <v/>
      </c>
      <c r="CK27" s="18" t="str">
        <f t="shared" si="65"/>
        <v/>
      </c>
      <c r="CL27" s="18" t="str">
        <f t="shared" si="66"/>
        <v/>
      </c>
      <c r="CM27" s="18" t="str">
        <f t="shared" si="67"/>
        <v/>
      </c>
      <c r="CN27" s="18" t="str">
        <f t="shared" si="68"/>
        <v/>
      </c>
      <c r="CO27" s="18" t="str">
        <f t="shared" si="69"/>
        <v/>
      </c>
      <c r="CP27" s="18" t="str">
        <f t="shared" si="70"/>
        <v/>
      </c>
      <c r="CQ27" s="18" t="str">
        <f t="shared" si="71"/>
        <v/>
      </c>
    </row>
    <row r="28" spans="1:95" x14ac:dyDescent="0.3">
      <c r="A28" s="141" t="s">
        <v>188</v>
      </c>
      <c r="B28" s="171" t="s">
        <v>180</v>
      </c>
      <c r="C28" s="262" t="s">
        <v>192</v>
      </c>
      <c r="D28" s="142">
        <v>0</v>
      </c>
      <c r="E28" s="152">
        <v>1.04</v>
      </c>
      <c r="F28" s="142">
        <v>7.0000000000000007E-2</v>
      </c>
      <c r="G28" s="145">
        <f t="shared" si="11"/>
        <v>1.0400700000000001</v>
      </c>
      <c r="H28" s="142">
        <v>0.13</v>
      </c>
      <c r="I28" s="253" t="s">
        <v>189</v>
      </c>
      <c r="J28" s="142" t="s">
        <v>179</v>
      </c>
      <c r="K28" s="228"/>
      <c r="L28" s="230"/>
      <c r="M28" s="230"/>
      <c r="N28" s="230"/>
      <c r="O28" s="230"/>
      <c r="P28" s="230"/>
      <c r="Q28" s="231"/>
      <c r="R28" s="231"/>
      <c r="S28" s="231"/>
      <c r="T28" s="231"/>
      <c r="U28" s="231"/>
      <c r="V28" s="230"/>
      <c r="W28" s="230"/>
      <c r="X28" s="230"/>
      <c r="Y28" s="230"/>
      <c r="Z28" s="230"/>
      <c r="AB28" s="18" t="str">
        <f t="shared" si="12"/>
        <v/>
      </c>
      <c r="AC28" s="18" t="str">
        <f t="shared" si="13"/>
        <v/>
      </c>
      <c r="AD28" s="18" t="str">
        <f t="shared" si="14"/>
        <v/>
      </c>
      <c r="AE28" s="18" t="str">
        <f t="shared" si="15"/>
        <v/>
      </c>
      <c r="AF28" s="18" t="str">
        <f t="shared" si="16"/>
        <v/>
      </c>
      <c r="AG28" s="18" t="str">
        <f t="shared" si="17"/>
        <v/>
      </c>
      <c r="AH28" s="18" t="str">
        <f t="shared" si="18"/>
        <v/>
      </c>
      <c r="AI28" s="18" t="str">
        <f t="shared" si="19"/>
        <v/>
      </c>
      <c r="AJ28" s="18" t="str">
        <f t="shared" si="20"/>
        <v/>
      </c>
      <c r="AK28" s="18" t="str">
        <f t="shared" si="21"/>
        <v/>
      </c>
      <c r="AL28" s="18" t="str">
        <f t="shared" si="22"/>
        <v/>
      </c>
      <c r="AM28" s="18" t="str">
        <f t="shared" si="23"/>
        <v/>
      </c>
      <c r="AN28" s="18" t="str">
        <f t="shared" si="24"/>
        <v/>
      </c>
      <c r="AO28" s="18" t="str">
        <f t="shared" si="25"/>
        <v/>
      </c>
      <c r="AP28" s="18" t="str">
        <f t="shared" si="26"/>
        <v/>
      </c>
      <c r="AR28" s="18" t="str">
        <f t="shared" si="27"/>
        <v/>
      </c>
      <c r="AS28" s="18" t="str">
        <f t="shared" si="28"/>
        <v/>
      </c>
      <c r="AT28" s="18" t="str">
        <f t="shared" si="29"/>
        <v/>
      </c>
      <c r="AU28" s="18" t="str">
        <f t="shared" si="30"/>
        <v/>
      </c>
      <c r="AV28" s="18" t="str">
        <f t="shared" si="31"/>
        <v/>
      </c>
      <c r="AW28" s="18" t="str">
        <f t="shared" si="32"/>
        <v/>
      </c>
      <c r="AX28" s="18" t="str">
        <f t="shared" si="33"/>
        <v/>
      </c>
      <c r="AY28" s="18" t="str">
        <f t="shared" si="34"/>
        <v/>
      </c>
      <c r="AZ28" s="18" t="str">
        <f t="shared" si="35"/>
        <v/>
      </c>
      <c r="BA28" s="18" t="str">
        <f t="shared" si="36"/>
        <v/>
      </c>
      <c r="BB28" s="18" t="str">
        <f t="shared" si="37"/>
        <v/>
      </c>
      <c r="BC28" s="18" t="str">
        <f t="shared" si="38"/>
        <v/>
      </c>
      <c r="BD28" s="18" t="str">
        <f t="shared" si="39"/>
        <v/>
      </c>
      <c r="BE28" s="18" t="str">
        <f t="shared" si="40"/>
        <v/>
      </c>
      <c r="BF28" s="18" t="str">
        <f t="shared" si="41"/>
        <v/>
      </c>
      <c r="BH28" s="18" t="str">
        <f t="shared" si="42"/>
        <v/>
      </c>
      <c r="BI28" s="18" t="str">
        <f t="shared" si="43"/>
        <v/>
      </c>
      <c r="BJ28" s="18" t="str">
        <f t="shared" si="44"/>
        <v/>
      </c>
      <c r="BK28" s="18" t="str">
        <f t="shared" si="45"/>
        <v/>
      </c>
      <c r="BL28" s="18" t="str">
        <f t="shared" si="46"/>
        <v/>
      </c>
      <c r="BM28" s="18" t="str">
        <f t="shared" si="47"/>
        <v/>
      </c>
      <c r="BN28" s="18" t="str">
        <f t="shared" si="48"/>
        <v/>
      </c>
      <c r="BO28" s="18" t="str">
        <f t="shared" si="49"/>
        <v/>
      </c>
      <c r="BP28" s="18" t="str">
        <f t="shared" si="50"/>
        <v/>
      </c>
      <c r="BQ28" s="18" t="str">
        <f t="shared" si="51"/>
        <v/>
      </c>
      <c r="BR28" s="18" t="str">
        <f t="shared" si="52"/>
        <v/>
      </c>
      <c r="BS28" s="18" t="str">
        <f t="shared" si="53"/>
        <v/>
      </c>
      <c r="BT28" s="18" t="str">
        <f t="shared" si="54"/>
        <v/>
      </c>
      <c r="BU28" s="18" t="str">
        <f t="shared" si="55"/>
        <v/>
      </c>
      <c r="BV28" s="18" t="str">
        <f t="shared" si="56"/>
        <v/>
      </c>
      <c r="CC28" s="18" t="str">
        <f t="shared" si="57"/>
        <v/>
      </c>
      <c r="CD28" s="18" t="str">
        <f t="shared" si="58"/>
        <v/>
      </c>
      <c r="CE28" s="18" t="str">
        <f t="shared" si="59"/>
        <v/>
      </c>
      <c r="CF28" s="18" t="str">
        <f t="shared" si="60"/>
        <v/>
      </c>
      <c r="CG28" s="18" t="str">
        <f t="shared" si="61"/>
        <v/>
      </c>
      <c r="CH28" s="18" t="str">
        <f t="shared" si="62"/>
        <v/>
      </c>
      <c r="CI28" s="18" t="str">
        <f t="shared" si="63"/>
        <v/>
      </c>
      <c r="CJ28" s="18" t="str">
        <f t="shared" si="64"/>
        <v/>
      </c>
      <c r="CK28" s="18" t="str">
        <f t="shared" si="65"/>
        <v/>
      </c>
      <c r="CL28" s="18" t="str">
        <f t="shared" si="66"/>
        <v/>
      </c>
      <c r="CM28" s="18" t="str">
        <f t="shared" si="67"/>
        <v/>
      </c>
      <c r="CN28" s="18" t="str">
        <f t="shared" si="68"/>
        <v/>
      </c>
      <c r="CO28" s="18" t="str">
        <f t="shared" si="69"/>
        <v/>
      </c>
      <c r="CP28" s="18" t="str">
        <f t="shared" si="70"/>
        <v/>
      </c>
      <c r="CQ28" s="18" t="str">
        <f t="shared" si="71"/>
        <v/>
      </c>
    </row>
    <row r="29" spans="1:95" x14ac:dyDescent="0.3">
      <c r="A29" s="141" t="s">
        <v>188</v>
      </c>
      <c r="B29" s="171" t="s">
        <v>180</v>
      </c>
      <c r="C29" s="262" t="s">
        <v>192</v>
      </c>
      <c r="D29" s="142">
        <v>0</v>
      </c>
      <c r="E29" s="152">
        <v>1.05</v>
      </c>
      <c r="F29" s="142">
        <v>7.0000000000000007E-2</v>
      </c>
      <c r="G29" s="145">
        <f t="shared" si="11"/>
        <v>1.0500700000000001</v>
      </c>
      <c r="H29" s="142">
        <v>0.13</v>
      </c>
      <c r="I29" s="253" t="s">
        <v>189</v>
      </c>
      <c r="J29" s="142" t="s">
        <v>179</v>
      </c>
      <c r="K29" s="228"/>
      <c r="L29" s="230"/>
      <c r="M29" s="230"/>
      <c r="N29" s="230"/>
      <c r="O29" s="230"/>
      <c r="P29" s="230"/>
      <c r="Q29" s="231"/>
      <c r="R29" s="231"/>
      <c r="S29" s="231"/>
      <c r="T29" s="231"/>
      <c r="U29" s="231"/>
      <c r="V29" s="230"/>
      <c r="W29" s="230"/>
      <c r="X29" s="230"/>
      <c r="Y29" s="230"/>
      <c r="Z29" s="230"/>
      <c r="AB29" s="18" t="str">
        <f t="shared" si="12"/>
        <v/>
      </c>
      <c r="AC29" s="18" t="str">
        <f t="shared" si="13"/>
        <v/>
      </c>
      <c r="AD29" s="18" t="str">
        <f t="shared" si="14"/>
        <v/>
      </c>
      <c r="AE29" s="18" t="str">
        <f t="shared" si="15"/>
        <v/>
      </c>
      <c r="AF29" s="18" t="str">
        <f t="shared" si="16"/>
        <v/>
      </c>
      <c r="AG29" s="18" t="str">
        <f t="shared" si="17"/>
        <v/>
      </c>
      <c r="AH29" s="18" t="str">
        <f t="shared" si="18"/>
        <v/>
      </c>
      <c r="AI29" s="18" t="str">
        <f t="shared" si="19"/>
        <v/>
      </c>
      <c r="AJ29" s="18" t="str">
        <f t="shared" si="20"/>
        <v/>
      </c>
      <c r="AK29" s="18" t="str">
        <f t="shared" si="21"/>
        <v/>
      </c>
      <c r="AL29" s="18" t="str">
        <f t="shared" si="22"/>
        <v/>
      </c>
      <c r="AM29" s="18" t="str">
        <f t="shared" si="23"/>
        <v/>
      </c>
      <c r="AN29" s="18" t="str">
        <f t="shared" si="24"/>
        <v/>
      </c>
      <c r="AO29" s="18" t="str">
        <f t="shared" si="25"/>
        <v/>
      </c>
      <c r="AP29" s="18" t="str">
        <f t="shared" si="26"/>
        <v/>
      </c>
      <c r="AR29" s="18" t="str">
        <f t="shared" si="27"/>
        <v/>
      </c>
      <c r="AS29" s="18" t="str">
        <f t="shared" si="28"/>
        <v/>
      </c>
      <c r="AT29" s="18" t="str">
        <f t="shared" si="29"/>
        <v/>
      </c>
      <c r="AU29" s="18" t="str">
        <f t="shared" si="30"/>
        <v/>
      </c>
      <c r="AV29" s="18" t="str">
        <f t="shared" si="31"/>
        <v/>
      </c>
      <c r="AW29" s="18" t="str">
        <f t="shared" si="32"/>
        <v/>
      </c>
      <c r="AX29" s="18" t="str">
        <f t="shared" si="33"/>
        <v/>
      </c>
      <c r="AY29" s="18" t="str">
        <f t="shared" si="34"/>
        <v/>
      </c>
      <c r="AZ29" s="18" t="str">
        <f t="shared" si="35"/>
        <v/>
      </c>
      <c r="BA29" s="18" t="str">
        <f t="shared" si="36"/>
        <v/>
      </c>
      <c r="BB29" s="18" t="str">
        <f t="shared" si="37"/>
        <v/>
      </c>
      <c r="BC29" s="18" t="str">
        <f t="shared" si="38"/>
        <v/>
      </c>
      <c r="BD29" s="18" t="str">
        <f t="shared" si="39"/>
        <v/>
      </c>
      <c r="BE29" s="18" t="str">
        <f t="shared" si="40"/>
        <v/>
      </c>
      <c r="BF29" s="18" t="str">
        <f t="shared" si="41"/>
        <v/>
      </c>
      <c r="BH29" s="18" t="str">
        <f t="shared" si="42"/>
        <v/>
      </c>
      <c r="BI29" s="18" t="str">
        <f t="shared" si="43"/>
        <v/>
      </c>
      <c r="BJ29" s="18" t="str">
        <f t="shared" si="44"/>
        <v/>
      </c>
      <c r="BK29" s="18" t="str">
        <f t="shared" si="45"/>
        <v/>
      </c>
      <c r="BL29" s="18" t="str">
        <f t="shared" si="46"/>
        <v/>
      </c>
      <c r="BM29" s="18" t="str">
        <f t="shared" si="47"/>
        <v/>
      </c>
      <c r="BN29" s="18" t="str">
        <f t="shared" si="48"/>
        <v/>
      </c>
      <c r="BO29" s="18" t="str">
        <f t="shared" si="49"/>
        <v/>
      </c>
      <c r="BP29" s="18" t="str">
        <f t="shared" si="50"/>
        <v/>
      </c>
      <c r="BQ29" s="18" t="str">
        <f t="shared" si="51"/>
        <v/>
      </c>
      <c r="BR29" s="18" t="str">
        <f t="shared" si="52"/>
        <v/>
      </c>
      <c r="BS29" s="18" t="str">
        <f t="shared" si="53"/>
        <v/>
      </c>
      <c r="BT29" s="18" t="str">
        <f t="shared" si="54"/>
        <v/>
      </c>
      <c r="BU29" s="18" t="str">
        <f t="shared" si="55"/>
        <v/>
      </c>
      <c r="BV29" s="18" t="str">
        <f t="shared" si="56"/>
        <v/>
      </c>
      <c r="CC29" s="18" t="str">
        <f t="shared" si="57"/>
        <v/>
      </c>
      <c r="CD29" s="18" t="str">
        <f t="shared" si="58"/>
        <v/>
      </c>
      <c r="CE29" s="18" t="str">
        <f t="shared" si="59"/>
        <v/>
      </c>
      <c r="CF29" s="18" t="str">
        <f t="shared" si="60"/>
        <v/>
      </c>
      <c r="CG29" s="18" t="str">
        <f t="shared" si="61"/>
        <v/>
      </c>
      <c r="CH29" s="18" t="str">
        <f t="shared" si="62"/>
        <v/>
      </c>
      <c r="CI29" s="18" t="str">
        <f t="shared" si="63"/>
        <v/>
      </c>
      <c r="CJ29" s="18" t="str">
        <f t="shared" si="64"/>
        <v/>
      </c>
      <c r="CK29" s="18" t="str">
        <f t="shared" si="65"/>
        <v/>
      </c>
      <c r="CL29" s="18" t="str">
        <f t="shared" si="66"/>
        <v/>
      </c>
      <c r="CM29" s="18" t="str">
        <f t="shared" si="67"/>
        <v/>
      </c>
      <c r="CN29" s="18" t="str">
        <f t="shared" si="68"/>
        <v/>
      </c>
      <c r="CO29" s="18" t="str">
        <f t="shared" si="69"/>
        <v/>
      </c>
      <c r="CP29" s="18" t="str">
        <f t="shared" si="70"/>
        <v/>
      </c>
      <c r="CQ29" s="18" t="str">
        <f t="shared" si="71"/>
        <v/>
      </c>
    </row>
    <row r="30" spans="1:95" x14ac:dyDescent="0.3">
      <c r="A30" s="141" t="s">
        <v>188</v>
      </c>
      <c r="B30" s="171" t="s">
        <v>180</v>
      </c>
      <c r="C30" s="262" t="s">
        <v>192</v>
      </c>
      <c r="D30" s="142">
        <v>0</v>
      </c>
      <c r="E30" s="152">
        <v>1.06</v>
      </c>
      <c r="F30" s="142">
        <v>0.09</v>
      </c>
      <c r="G30" s="145">
        <f t="shared" si="11"/>
        <v>1.06009</v>
      </c>
      <c r="H30" s="142">
        <v>0.13</v>
      </c>
      <c r="I30" s="253" t="s">
        <v>189</v>
      </c>
      <c r="J30" s="142" t="s">
        <v>179</v>
      </c>
      <c r="K30" s="228"/>
      <c r="L30" s="230"/>
      <c r="M30" s="230"/>
      <c r="N30" s="230"/>
      <c r="O30" s="230"/>
      <c r="P30" s="230"/>
      <c r="Q30" s="231"/>
      <c r="R30" s="231"/>
      <c r="S30" s="231"/>
      <c r="T30" s="231"/>
      <c r="U30" s="231"/>
      <c r="V30" s="230"/>
      <c r="W30" s="230"/>
      <c r="X30" s="230"/>
      <c r="Y30" s="230"/>
      <c r="Z30" s="230"/>
      <c r="AB30" s="18" t="str">
        <f t="shared" si="12"/>
        <v/>
      </c>
      <c r="AC30" s="18" t="str">
        <f t="shared" si="13"/>
        <v/>
      </c>
      <c r="AD30" s="18" t="str">
        <f t="shared" si="14"/>
        <v/>
      </c>
      <c r="AE30" s="18" t="str">
        <f t="shared" si="15"/>
        <v/>
      </c>
      <c r="AF30" s="18" t="str">
        <f t="shared" si="16"/>
        <v/>
      </c>
      <c r="AG30" s="18" t="str">
        <f t="shared" si="17"/>
        <v/>
      </c>
      <c r="AH30" s="18" t="str">
        <f t="shared" si="18"/>
        <v/>
      </c>
      <c r="AI30" s="18" t="str">
        <f t="shared" si="19"/>
        <v/>
      </c>
      <c r="AJ30" s="18" t="str">
        <f t="shared" si="20"/>
        <v/>
      </c>
      <c r="AK30" s="18" t="str">
        <f t="shared" si="21"/>
        <v/>
      </c>
      <c r="AL30" s="18" t="str">
        <f t="shared" si="22"/>
        <v/>
      </c>
      <c r="AM30" s="18" t="str">
        <f t="shared" si="23"/>
        <v/>
      </c>
      <c r="AN30" s="18" t="str">
        <f t="shared" si="24"/>
        <v/>
      </c>
      <c r="AO30" s="18" t="str">
        <f t="shared" si="25"/>
        <v/>
      </c>
      <c r="AP30" s="18" t="str">
        <f t="shared" si="26"/>
        <v/>
      </c>
      <c r="AR30" s="18" t="str">
        <f t="shared" si="27"/>
        <v/>
      </c>
      <c r="AS30" s="18" t="str">
        <f t="shared" si="28"/>
        <v/>
      </c>
      <c r="AT30" s="18" t="str">
        <f t="shared" si="29"/>
        <v/>
      </c>
      <c r="AU30" s="18" t="str">
        <f t="shared" si="30"/>
        <v/>
      </c>
      <c r="AV30" s="18" t="str">
        <f t="shared" si="31"/>
        <v/>
      </c>
      <c r="AW30" s="18" t="str">
        <f t="shared" si="32"/>
        <v/>
      </c>
      <c r="AX30" s="18" t="str">
        <f t="shared" si="33"/>
        <v/>
      </c>
      <c r="AY30" s="18" t="str">
        <f t="shared" si="34"/>
        <v/>
      </c>
      <c r="AZ30" s="18" t="str">
        <f t="shared" si="35"/>
        <v/>
      </c>
      <c r="BA30" s="18" t="str">
        <f t="shared" si="36"/>
        <v/>
      </c>
      <c r="BB30" s="18" t="str">
        <f t="shared" si="37"/>
        <v/>
      </c>
      <c r="BC30" s="18" t="str">
        <f t="shared" si="38"/>
        <v/>
      </c>
      <c r="BD30" s="18" t="str">
        <f t="shared" si="39"/>
        <v/>
      </c>
      <c r="BE30" s="18" t="str">
        <f t="shared" si="40"/>
        <v/>
      </c>
      <c r="BF30" s="18" t="str">
        <f t="shared" si="41"/>
        <v/>
      </c>
      <c r="BH30" s="18" t="str">
        <f t="shared" si="42"/>
        <v/>
      </c>
      <c r="BI30" s="18" t="str">
        <f t="shared" si="43"/>
        <v/>
      </c>
      <c r="BJ30" s="18" t="str">
        <f t="shared" si="44"/>
        <v/>
      </c>
      <c r="BK30" s="18" t="str">
        <f t="shared" si="45"/>
        <v/>
      </c>
      <c r="BL30" s="18" t="str">
        <f t="shared" si="46"/>
        <v/>
      </c>
      <c r="BM30" s="18" t="str">
        <f t="shared" si="47"/>
        <v/>
      </c>
      <c r="BN30" s="18" t="str">
        <f t="shared" si="48"/>
        <v/>
      </c>
      <c r="BO30" s="18" t="str">
        <f t="shared" si="49"/>
        <v/>
      </c>
      <c r="BP30" s="18" t="str">
        <f t="shared" si="50"/>
        <v/>
      </c>
      <c r="BQ30" s="18" t="str">
        <f t="shared" si="51"/>
        <v/>
      </c>
      <c r="BR30" s="18" t="str">
        <f t="shared" si="52"/>
        <v/>
      </c>
      <c r="BS30" s="18" t="str">
        <f t="shared" si="53"/>
        <v/>
      </c>
      <c r="BT30" s="18" t="str">
        <f t="shared" si="54"/>
        <v/>
      </c>
      <c r="BU30" s="18" t="str">
        <f t="shared" si="55"/>
        <v/>
      </c>
      <c r="BV30" s="18" t="str">
        <f t="shared" si="56"/>
        <v/>
      </c>
      <c r="CC30" s="18" t="str">
        <f t="shared" si="57"/>
        <v/>
      </c>
      <c r="CD30" s="18" t="str">
        <f t="shared" si="58"/>
        <v/>
      </c>
      <c r="CE30" s="18" t="str">
        <f t="shared" si="59"/>
        <v/>
      </c>
      <c r="CF30" s="18" t="str">
        <f t="shared" si="60"/>
        <v/>
      </c>
      <c r="CG30" s="18" t="str">
        <f t="shared" si="61"/>
        <v/>
      </c>
      <c r="CH30" s="18" t="str">
        <f t="shared" si="62"/>
        <v/>
      </c>
      <c r="CI30" s="18" t="str">
        <f t="shared" si="63"/>
        <v/>
      </c>
      <c r="CJ30" s="18" t="str">
        <f t="shared" si="64"/>
        <v/>
      </c>
      <c r="CK30" s="18" t="str">
        <f t="shared" si="65"/>
        <v/>
      </c>
      <c r="CL30" s="18" t="str">
        <f t="shared" si="66"/>
        <v/>
      </c>
      <c r="CM30" s="18" t="str">
        <f t="shared" si="67"/>
        <v/>
      </c>
      <c r="CN30" s="18" t="str">
        <f t="shared" si="68"/>
        <v/>
      </c>
      <c r="CO30" s="18" t="str">
        <f t="shared" si="69"/>
        <v/>
      </c>
      <c r="CP30" s="18" t="str">
        <f t="shared" si="70"/>
        <v/>
      </c>
      <c r="CQ30" s="18" t="str">
        <f t="shared" si="71"/>
        <v/>
      </c>
    </row>
    <row r="31" spans="1:95" x14ac:dyDescent="0.3">
      <c r="A31" s="141" t="s">
        <v>188</v>
      </c>
      <c r="B31" s="171" t="s">
        <v>180</v>
      </c>
      <c r="C31" s="262" t="s">
        <v>192</v>
      </c>
      <c r="D31" s="142">
        <v>0</v>
      </c>
      <c r="E31" s="152">
        <v>1.07</v>
      </c>
      <c r="F31" s="142">
        <v>0.09</v>
      </c>
      <c r="G31" s="145">
        <f t="shared" si="11"/>
        <v>1.07009</v>
      </c>
      <c r="H31" s="142">
        <v>0.13</v>
      </c>
      <c r="I31" s="253" t="s">
        <v>189</v>
      </c>
      <c r="J31" s="142" t="s">
        <v>179</v>
      </c>
      <c r="K31" s="228"/>
      <c r="L31" s="230"/>
      <c r="M31" s="230"/>
      <c r="N31" s="230"/>
      <c r="O31" s="230"/>
      <c r="P31" s="230"/>
      <c r="Q31" s="231"/>
      <c r="R31" s="231"/>
      <c r="S31" s="231"/>
      <c r="T31" s="231"/>
      <c r="U31" s="231"/>
      <c r="V31" s="230"/>
      <c r="W31" s="230"/>
      <c r="X31" s="230"/>
      <c r="Y31" s="230"/>
      <c r="Z31" s="230"/>
      <c r="AB31" s="18" t="str">
        <f t="shared" si="12"/>
        <v/>
      </c>
      <c r="AC31" s="18" t="str">
        <f t="shared" si="13"/>
        <v/>
      </c>
      <c r="AD31" s="18" t="str">
        <f t="shared" si="14"/>
        <v/>
      </c>
      <c r="AE31" s="18" t="str">
        <f t="shared" si="15"/>
        <v/>
      </c>
      <c r="AF31" s="18" t="str">
        <f t="shared" si="16"/>
        <v/>
      </c>
      <c r="AG31" s="18" t="str">
        <f t="shared" si="17"/>
        <v/>
      </c>
      <c r="AH31" s="18" t="str">
        <f t="shared" si="18"/>
        <v/>
      </c>
      <c r="AI31" s="18" t="str">
        <f t="shared" si="19"/>
        <v/>
      </c>
      <c r="AJ31" s="18" t="str">
        <f t="shared" si="20"/>
        <v/>
      </c>
      <c r="AK31" s="18" t="str">
        <f t="shared" si="21"/>
        <v/>
      </c>
      <c r="AL31" s="18" t="str">
        <f t="shared" si="22"/>
        <v/>
      </c>
      <c r="AM31" s="18" t="str">
        <f t="shared" si="23"/>
        <v/>
      </c>
      <c r="AN31" s="18" t="str">
        <f t="shared" si="24"/>
        <v/>
      </c>
      <c r="AO31" s="18" t="str">
        <f t="shared" si="25"/>
        <v/>
      </c>
      <c r="AP31" s="18" t="str">
        <f t="shared" si="26"/>
        <v/>
      </c>
      <c r="AR31" s="18" t="str">
        <f t="shared" si="27"/>
        <v/>
      </c>
      <c r="AS31" s="18" t="str">
        <f t="shared" si="28"/>
        <v/>
      </c>
      <c r="AT31" s="18" t="str">
        <f t="shared" si="29"/>
        <v/>
      </c>
      <c r="AU31" s="18" t="str">
        <f t="shared" si="30"/>
        <v/>
      </c>
      <c r="AV31" s="18" t="str">
        <f t="shared" si="31"/>
        <v/>
      </c>
      <c r="AW31" s="18" t="str">
        <f t="shared" si="32"/>
        <v/>
      </c>
      <c r="AX31" s="18" t="str">
        <f t="shared" si="33"/>
        <v/>
      </c>
      <c r="AY31" s="18" t="str">
        <f t="shared" si="34"/>
        <v/>
      </c>
      <c r="AZ31" s="18" t="str">
        <f t="shared" si="35"/>
        <v/>
      </c>
      <c r="BA31" s="18" t="str">
        <f t="shared" si="36"/>
        <v/>
      </c>
      <c r="BB31" s="18" t="str">
        <f t="shared" si="37"/>
        <v/>
      </c>
      <c r="BC31" s="18" t="str">
        <f t="shared" si="38"/>
        <v/>
      </c>
      <c r="BD31" s="18" t="str">
        <f t="shared" si="39"/>
        <v/>
      </c>
      <c r="BE31" s="18" t="str">
        <f t="shared" si="40"/>
        <v/>
      </c>
      <c r="BF31" s="18" t="str">
        <f t="shared" si="41"/>
        <v/>
      </c>
      <c r="BH31" s="18" t="str">
        <f t="shared" si="42"/>
        <v/>
      </c>
      <c r="BI31" s="18" t="str">
        <f t="shared" si="43"/>
        <v/>
      </c>
      <c r="BJ31" s="18" t="str">
        <f t="shared" si="44"/>
        <v/>
      </c>
      <c r="BK31" s="18" t="str">
        <f t="shared" si="45"/>
        <v/>
      </c>
      <c r="BL31" s="18" t="str">
        <f t="shared" si="46"/>
        <v/>
      </c>
      <c r="BM31" s="18" t="str">
        <f t="shared" si="47"/>
        <v/>
      </c>
      <c r="BN31" s="18" t="str">
        <f t="shared" si="48"/>
        <v/>
      </c>
      <c r="BO31" s="18" t="str">
        <f t="shared" si="49"/>
        <v/>
      </c>
      <c r="BP31" s="18" t="str">
        <f t="shared" si="50"/>
        <v/>
      </c>
      <c r="BQ31" s="18" t="str">
        <f t="shared" si="51"/>
        <v/>
      </c>
      <c r="BR31" s="18" t="str">
        <f t="shared" si="52"/>
        <v/>
      </c>
      <c r="BS31" s="18" t="str">
        <f t="shared" si="53"/>
        <v/>
      </c>
      <c r="BT31" s="18" t="str">
        <f t="shared" si="54"/>
        <v/>
      </c>
      <c r="BU31" s="18" t="str">
        <f t="shared" si="55"/>
        <v/>
      </c>
      <c r="BV31" s="18" t="str">
        <f t="shared" si="56"/>
        <v/>
      </c>
      <c r="CC31" s="18" t="str">
        <f t="shared" si="57"/>
        <v/>
      </c>
      <c r="CD31" s="18" t="str">
        <f t="shared" si="58"/>
        <v/>
      </c>
      <c r="CE31" s="18" t="str">
        <f t="shared" si="59"/>
        <v/>
      </c>
      <c r="CF31" s="18" t="str">
        <f t="shared" si="60"/>
        <v/>
      </c>
      <c r="CG31" s="18" t="str">
        <f t="shared" si="61"/>
        <v/>
      </c>
      <c r="CH31" s="18" t="str">
        <f t="shared" si="62"/>
        <v/>
      </c>
      <c r="CI31" s="18" t="str">
        <f t="shared" si="63"/>
        <v/>
      </c>
      <c r="CJ31" s="18" t="str">
        <f t="shared" si="64"/>
        <v/>
      </c>
      <c r="CK31" s="18" t="str">
        <f t="shared" si="65"/>
        <v/>
      </c>
      <c r="CL31" s="18" t="str">
        <f t="shared" si="66"/>
        <v/>
      </c>
      <c r="CM31" s="18" t="str">
        <f t="shared" si="67"/>
        <v/>
      </c>
      <c r="CN31" s="18" t="str">
        <f t="shared" si="68"/>
        <v/>
      </c>
      <c r="CO31" s="18" t="str">
        <f t="shared" si="69"/>
        <v/>
      </c>
      <c r="CP31" s="18" t="str">
        <f t="shared" si="70"/>
        <v/>
      </c>
      <c r="CQ31" s="18" t="str">
        <f t="shared" si="71"/>
        <v/>
      </c>
    </row>
    <row r="32" spans="1:95" x14ac:dyDescent="0.3">
      <c r="A32" s="141" t="s">
        <v>188</v>
      </c>
      <c r="B32" s="171" t="s">
        <v>180</v>
      </c>
      <c r="C32" s="262" t="s">
        <v>192</v>
      </c>
      <c r="D32" s="142">
        <v>0</v>
      </c>
      <c r="E32" s="152">
        <v>1.08</v>
      </c>
      <c r="F32" s="142">
        <v>7.0000000000000007E-2</v>
      </c>
      <c r="G32" s="145">
        <f t="shared" si="11"/>
        <v>1.0800700000000001</v>
      </c>
      <c r="H32" s="142">
        <v>0.13</v>
      </c>
      <c r="I32" s="253" t="s">
        <v>189</v>
      </c>
      <c r="J32" s="142" t="s">
        <v>179</v>
      </c>
      <c r="K32" s="228"/>
      <c r="L32" s="230"/>
      <c r="M32" s="230"/>
      <c r="N32" s="230"/>
      <c r="O32" s="230"/>
      <c r="P32" s="230"/>
      <c r="Q32" s="231"/>
      <c r="R32" s="231"/>
      <c r="S32" s="231"/>
      <c r="T32" s="231"/>
      <c r="U32" s="231"/>
      <c r="V32" s="230"/>
      <c r="W32" s="230"/>
      <c r="X32" s="230"/>
      <c r="Y32" s="230"/>
      <c r="Z32" s="230"/>
      <c r="AB32" s="18" t="str">
        <f t="shared" si="12"/>
        <v/>
      </c>
      <c r="AC32" s="18" t="str">
        <f t="shared" si="13"/>
        <v/>
      </c>
      <c r="AD32" s="18" t="str">
        <f t="shared" si="14"/>
        <v/>
      </c>
      <c r="AE32" s="18" t="str">
        <f t="shared" si="15"/>
        <v/>
      </c>
      <c r="AF32" s="18" t="str">
        <f t="shared" si="16"/>
        <v/>
      </c>
      <c r="AG32" s="18" t="str">
        <f t="shared" si="17"/>
        <v/>
      </c>
      <c r="AH32" s="18" t="str">
        <f t="shared" si="18"/>
        <v/>
      </c>
      <c r="AI32" s="18" t="str">
        <f t="shared" si="19"/>
        <v/>
      </c>
      <c r="AJ32" s="18" t="str">
        <f t="shared" si="20"/>
        <v/>
      </c>
      <c r="AK32" s="18" t="str">
        <f t="shared" si="21"/>
        <v/>
      </c>
      <c r="AL32" s="18" t="str">
        <f t="shared" si="22"/>
        <v/>
      </c>
      <c r="AM32" s="18" t="str">
        <f t="shared" si="23"/>
        <v/>
      </c>
      <c r="AN32" s="18" t="str">
        <f t="shared" si="24"/>
        <v/>
      </c>
      <c r="AO32" s="18" t="str">
        <f t="shared" si="25"/>
        <v/>
      </c>
      <c r="AP32" s="18" t="str">
        <f t="shared" si="26"/>
        <v/>
      </c>
      <c r="AR32" s="18" t="str">
        <f t="shared" si="27"/>
        <v/>
      </c>
      <c r="AS32" s="18" t="str">
        <f t="shared" si="28"/>
        <v/>
      </c>
      <c r="AT32" s="18" t="str">
        <f t="shared" si="29"/>
        <v/>
      </c>
      <c r="AU32" s="18" t="str">
        <f t="shared" si="30"/>
        <v/>
      </c>
      <c r="AV32" s="18" t="str">
        <f t="shared" si="31"/>
        <v/>
      </c>
      <c r="AW32" s="18" t="str">
        <f t="shared" si="32"/>
        <v/>
      </c>
      <c r="AX32" s="18" t="str">
        <f t="shared" si="33"/>
        <v/>
      </c>
      <c r="AY32" s="18" t="str">
        <f t="shared" si="34"/>
        <v/>
      </c>
      <c r="AZ32" s="18" t="str">
        <f t="shared" si="35"/>
        <v/>
      </c>
      <c r="BA32" s="18" t="str">
        <f t="shared" si="36"/>
        <v/>
      </c>
      <c r="BB32" s="18" t="str">
        <f t="shared" si="37"/>
        <v/>
      </c>
      <c r="BC32" s="18" t="str">
        <f t="shared" si="38"/>
        <v/>
      </c>
      <c r="BD32" s="18" t="str">
        <f t="shared" si="39"/>
        <v/>
      </c>
      <c r="BE32" s="18" t="str">
        <f t="shared" si="40"/>
        <v/>
      </c>
      <c r="BF32" s="18" t="str">
        <f t="shared" si="41"/>
        <v/>
      </c>
      <c r="BH32" s="18" t="str">
        <f t="shared" si="42"/>
        <v/>
      </c>
      <c r="BI32" s="18" t="str">
        <f t="shared" si="43"/>
        <v/>
      </c>
      <c r="BJ32" s="18" t="str">
        <f t="shared" si="44"/>
        <v/>
      </c>
      <c r="BK32" s="18" t="str">
        <f t="shared" si="45"/>
        <v/>
      </c>
      <c r="BL32" s="18" t="str">
        <f t="shared" si="46"/>
        <v/>
      </c>
      <c r="BM32" s="18" t="str">
        <f t="shared" si="47"/>
        <v/>
      </c>
      <c r="BN32" s="18" t="str">
        <f t="shared" si="48"/>
        <v/>
      </c>
      <c r="BO32" s="18" t="str">
        <f t="shared" si="49"/>
        <v/>
      </c>
      <c r="BP32" s="18" t="str">
        <f t="shared" si="50"/>
        <v/>
      </c>
      <c r="BQ32" s="18" t="str">
        <f t="shared" si="51"/>
        <v/>
      </c>
      <c r="BR32" s="18" t="str">
        <f t="shared" si="52"/>
        <v/>
      </c>
      <c r="BS32" s="18" t="str">
        <f t="shared" si="53"/>
        <v/>
      </c>
      <c r="BT32" s="18" t="str">
        <f t="shared" si="54"/>
        <v/>
      </c>
      <c r="BU32" s="18" t="str">
        <f t="shared" si="55"/>
        <v/>
      </c>
      <c r="BV32" s="18" t="str">
        <f t="shared" si="56"/>
        <v/>
      </c>
      <c r="CC32" s="18" t="str">
        <f t="shared" si="57"/>
        <v/>
      </c>
      <c r="CD32" s="18" t="str">
        <f t="shared" si="58"/>
        <v/>
      </c>
      <c r="CE32" s="18" t="str">
        <f t="shared" si="59"/>
        <v/>
      </c>
      <c r="CF32" s="18" t="str">
        <f t="shared" si="60"/>
        <v/>
      </c>
      <c r="CG32" s="18" t="str">
        <f t="shared" si="61"/>
        <v/>
      </c>
      <c r="CH32" s="18" t="str">
        <f t="shared" si="62"/>
        <v/>
      </c>
      <c r="CI32" s="18" t="str">
        <f t="shared" si="63"/>
        <v/>
      </c>
      <c r="CJ32" s="18" t="str">
        <f t="shared" si="64"/>
        <v/>
      </c>
      <c r="CK32" s="18" t="str">
        <f t="shared" si="65"/>
        <v/>
      </c>
      <c r="CL32" s="18" t="str">
        <f t="shared" si="66"/>
        <v/>
      </c>
      <c r="CM32" s="18" t="str">
        <f t="shared" si="67"/>
        <v/>
      </c>
      <c r="CN32" s="18" t="str">
        <f t="shared" si="68"/>
        <v/>
      </c>
      <c r="CO32" s="18" t="str">
        <f t="shared" si="69"/>
        <v/>
      </c>
      <c r="CP32" s="18" t="str">
        <f t="shared" si="70"/>
        <v/>
      </c>
      <c r="CQ32" s="18" t="str">
        <f t="shared" si="71"/>
        <v/>
      </c>
    </row>
    <row r="33" spans="1:95" x14ac:dyDescent="0.3">
      <c r="A33" s="141" t="s">
        <v>188</v>
      </c>
      <c r="B33" s="171" t="s">
        <v>180</v>
      </c>
      <c r="C33" s="262" t="s">
        <v>192</v>
      </c>
      <c r="D33" s="142">
        <v>0</v>
      </c>
      <c r="E33" s="152">
        <v>1.0900000000000001</v>
      </c>
      <c r="F33" s="142">
        <v>0.11</v>
      </c>
      <c r="G33" s="145">
        <f t="shared" si="11"/>
        <v>1.0901100000000001</v>
      </c>
      <c r="H33" s="142">
        <v>0.14000000000000001</v>
      </c>
      <c r="I33" s="253" t="s">
        <v>189</v>
      </c>
      <c r="J33" s="142" t="s">
        <v>179</v>
      </c>
      <c r="K33" s="228"/>
      <c r="L33" s="230"/>
      <c r="M33" s="230"/>
      <c r="N33" s="230"/>
      <c r="O33" s="230"/>
      <c r="P33" s="230"/>
      <c r="Q33" s="231"/>
      <c r="R33" s="231"/>
      <c r="S33" s="231"/>
      <c r="T33" s="231"/>
      <c r="U33" s="231"/>
      <c r="V33" s="230"/>
      <c r="W33" s="230"/>
      <c r="X33" s="230"/>
      <c r="Y33" s="230"/>
      <c r="Z33" s="230"/>
      <c r="AB33" s="18" t="str">
        <f t="shared" si="12"/>
        <v/>
      </c>
      <c r="AC33" s="18" t="str">
        <f t="shared" si="13"/>
        <v/>
      </c>
      <c r="AD33" s="18" t="str">
        <f t="shared" si="14"/>
        <v/>
      </c>
      <c r="AE33" s="18" t="str">
        <f t="shared" si="15"/>
        <v/>
      </c>
      <c r="AF33" s="18" t="str">
        <f t="shared" si="16"/>
        <v/>
      </c>
      <c r="AG33" s="18" t="str">
        <f t="shared" si="17"/>
        <v/>
      </c>
      <c r="AH33" s="18" t="str">
        <f t="shared" si="18"/>
        <v/>
      </c>
      <c r="AI33" s="18" t="str">
        <f t="shared" si="19"/>
        <v/>
      </c>
      <c r="AJ33" s="18" t="str">
        <f t="shared" si="20"/>
        <v/>
      </c>
      <c r="AK33" s="18" t="str">
        <f t="shared" si="21"/>
        <v/>
      </c>
      <c r="AL33" s="18" t="str">
        <f t="shared" si="22"/>
        <v/>
      </c>
      <c r="AM33" s="18" t="str">
        <f t="shared" si="23"/>
        <v/>
      </c>
      <c r="AN33" s="18" t="str">
        <f t="shared" si="24"/>
        <v/>
      </c>
      <c r="AO33" s="18" t="str">
        <f t="shared" si="25"/>
        <v/>
      </c>
      <c r="AP33" s="18" t="str">
        <f t="shared" si="26"/>
        <v/>
      </c>
      <c r="AR33" s="18" t="str">
        <f t="shared" si="27"/>
        <v/>
      </c>
      <c r="AS33" s="18" t="str">
        <f t="shared" si="28"/>
        <v/>
      </c>
      <c r="AT33" s="18" t="str">
        <f t="shared" si="29"/>
        <v/>
      </c>
      <c r="AU33" s="18" t="str">
        <f t="shared" si="30"/>
        <v/>
      </c>
      <c r="AV33" s="18" t="str">
        <f t="shared" si="31"/>
        <v/>
      </c>
      <c r="AW33" s="18" t="str">
        <f t="shared" si="32"/>
        <v/>
      </c>
      <c r="AX33" s="18" t="str">
        <f t="shared" si="33"/>
        <v/>
      </c>
      <c r="AY33" s="18" t="str">
        <f t="shared" si="34"/>
        <v/>
      </c>
      <c r="AZ33" s="18" t="str">
        <f t="shared" si="35"/>
        <v/>
      </c>
      <c r="BA33" s="18" t="str">
        <f t="shared" si="36"/>
        <v/>
      </c>
      <c r="BB33" s="18" t="str">
        <f t="shared" si="37"/>
        <v/>
      </c>
      <c r="BC33" s="18" t="str">
        <f t="shared" si="38"/>
        <v/>
      </c>
      <c r="BD33" s="18" t="str">
        <f t="shared" si="39"/>
        <v/>
      </c>
      <c r="BE33" s="18" t="str">
        <f t="shared" si="40"/>
        <v/>
      </c>
      <c r="BF33" s="18" t="str">
        <f t="shared" si="41"/>
        <v/>
      </c>
      <c r="BH33" s="18" t="str">
        <f t="shared" si="42"/>
        <v/>
      </c>
      <c r="BI33" s="18" t="str">
        <f t="shared" si="43"/>
        <v/>
      </c>
      <c r="BJ33" s="18" t="str">
        <f t="shared" si="44"/>
        <v/>
      </c>
      <c r="BK33" s="18" t="str">
        <f t="shared" si="45"/>
        <v/>
      </c>
      <c r="BL33" s="18" t="str">
        <f t="shared" si="46"/>
        <v/>
      </c>
      <c r="BM33" s="18" t="str">
        <f t="shared" si="47"/>
        <v/>
      </c>
      <c r="BN33" s="18" t="str">
        <f t="shared" si="48"/>
        <v/>
      </c>
      <c r="BO33" s="18" t="str">
        <f t="shared" si="49"/>
        <v/>
      </c>
      <c r="BP33" s="18" t="str">
        <f t="shared" si="50"/>
        <v/>
      </c>
      <c r="BQ33" s="18" t="str">
        <f t="shared" si="51"/>
        <v/>
      </c>
      <c r="BR33" s="18" t="str">
        <f t="shared" si="52"/>
        <v/>
      </c>
      <c r="BS33" s="18" t="str">
        <f t="shared" si="53"/>
        <v/>
      </c>
      <c r="BT33" s="18" t="str">
        <f t="shared" si="54"/>
        <v/>
      </c>
      <c r="BU33" s="18" t="str">
        <f t="shared" si="55"/>
        <v/>
      </c>
      <c r="BV33" s="18" t="str">
        <f t="shared" si="56"/>
        <v/>
      </c>
      <c r="CC33" s="18" t="str">
        <f t="shared" si="57"/>
        <v/>
      </c>
      <c r="CD33" s="18" t="str">
        <f t="shared" si="58"/>
        <v/>
      </c>
      <c r="CE33" s="18" t="str">
        <f t="shared" si="59"/>
        <v/>
      </c>
      <c r="CF33" s="18" t="str">
        <f t="shared" si="60"/>
        <v/>
      </c>
      <c r="CG33" s="18" t="str">
        <f t="shared" si="61"/>
        <v/>
      </c>
      <c r="CH33" s="18" t="str">
        <f t="shared" si="62"/>
        <v/>
      </c>
      <c r="CI33" s="18" t="str">
        <f t="shared" si="63"/>
        <v/>
      </c>
      <c r="CJ33" s="18" t="str">
        <f t="shared" si="64"/>
        <v/>
      </c>
      <c r="CK33" s="18" t="str">
        <f t="shared" si="65"/>
        <v/>
      </c>
      <c r="CL33" s="18" t="str">
        <f t="shared" si="66"/>
        <v/>
      </c>
      <c r="CM33" s="18" t="str">
        <f t="shared" si="67"/>
        <v/>
      </c>
      <c r="CN33" s="18" t="str">
        <f t="shared" si="68"/>
        <v/>
      </c>
      <c r="CO33" s="18" t="str">
        <f t="shared" si="69"/>
        <v/>
      </c>
      <c r="CP33" s="18" t="str">
        <f t="shared" si="70"/>
        <v/>
      </c>
      <c r="CQ33" s="18" t="str">
        <f t="shared" si="71"/>
        <v/>
      </c>
    </row>
    <row r="34" spans="1:95" x14ac:dyDescent="0.3">
      <c r="A34" s="141" t="s">
        <v>188</v>
      </c>
      <c r="B34" s="171" t="s">
        <v>180</v>
      </c>
      <c r="C34" s="262" t="s">
        <v>192</v>
      </c>
      <c r="D34" s="142">
        <v>0</v>
      </c>
      <c r="E34" s="153">
        <v>1.1000000000000001</v>
      </c>
      <c r="F34" s="142">
        <v>0.11</v>
      </c>
      <c r="G34" s="145">
        <f t="shared" si="11"/>
        <v>1.1001100000000001</v>
      </c>
      <c r="H34" s="142">
        <v>0.14000000000000001</v>
      </c>
      <c r="I34" s="253" t="s">
        <v>189</v>
      </c>
      <c r="J34" s="142" t="s">
        <v>179</v>
      </c>
      <c r="K34" s="228"/>
      <c r="L34" s="230"/>
      <c r="M34" s="230"/>
      <c r="N34" s="230"/>
      <c r="O34" s="230"/>
      <c r="P34" s="230"/>
      <c r="Q34" s="231"/>
      <c r="R34" s="231"/>
      <c r="S34" s="231"/>
      <c r="T34" s="231"/>
      <c r="U34" s="231"/>
      <c r="V34" s="230"/>
      <c r="W34" s="230"/>
      <c r="X34" s="230"/>
      <c r="Y34" s="230"/>
      <c r="Z34" s="230"/>
      <c r="AB34" s="18" t="str">
        <f t="shared" si="12"/>
        <v/>
      </c>
      <c r="AC34" s="18" t="str">
        <f t="shared" si="13"/>
        <v/>
      </c>
      <c r="AD34" s="18" t="str">
        <f t="shared" si="14"/>
        <v/>
      </c>
      <c r="AE34" s="18" t="str">
        <f t="shared" si="15"/>
        <v/>
      </c>
      <c r="AF34" s="18" t="str">
        <f t="shared" si="16"/>
        <v/>
      </c>
      <c r="AG34" s="18" t="str">
        <f t="shared" si="17"/>
        <v/>
      </c>
      <c r="AH34" s="18" t="str">
        <f t="shared" si="18"/>
        <v/>
      </c>
      <c r="AI34" s="18" t="str">
        <f t="shared" si="19"/>
        <v/>
      </c>
      <c r="AJ34" s="18" t="str">
        <f t="shared" si="20"/>
        <v/>
      </c>
      <c r="AK34" s="18" t="str">
        <f t="shared" si="21"/>
        <v/>
      </c>
      <c r="AL34" s="18" t="str">
        <f t="shared" si="22"/>
        <v/>
      </c>
      <c r="AM34" s="18" t="str">
        <f t="shared" si="23"/>
        <v/>
      </c>
      <c r="AN34" s="18" t="str">
        <f t="shared" si="24"/>
        <v/>
      </c>
      <c r="AO34" s="18" t="str">
        <f t="shared" si="25"/>
        <v/>
      </c>
      <c r="AP34" s="18" t="str">
        <f t="shared" si="26"/>
        <v/>
      </c>
      <c r="AR34" s="18" t="str">
        <f t="shared" si="27"/>
        <v/>
      </c>
      <c r="AS34" s="18" t="str">
        <f t="shared" si="28"/>
        <v/>
      </c>
      <c r="AT34" s="18" t="str">
        <f t="shared" si="29"/>
        <v/>
      </c>
      <c r="AU34" s="18" t="str">
        <f t="shared" si="30"/>
        <v/>
      </c>
      <c r="AV34" s="18" t="str">
        <f t="shared" si="31"/>
        <v/>
      </c>
      <c r="AW34" s="18" t="str">
        <f t="shared" si="32"/>
        <v/>
      </c>
      <c r="AX34" s="18" t="str">
        <f t="shared" si="33"/>
        <v/>
      </c>
      <c r="AY34" s="18" t="str">
        <f t="shared" si="34"/>
        <v/>
      </c>
      <c r="AZ34" s="18" t="str">
        <f t="shared" si="35"/>
        <v/>
      </c>
      <c r="BA34" s="18" t="str">
        <f t="shared" si="36"/>
        <v/>
      </c>
      <c r="BB34" s="18" t="str">
        <f t="shared" si="37"/>
        <v/>
      </c>
      <c r="BC34" s="18" t="str">
        <f t="shared" si="38"/>
        <v/>
      </c>
      <c r="BD34" s="18" t="str">
        <f t="shared" si="39"/>
        <v/>
      </c>
      <c r="BE34" s="18" t="str">
        <f t="shared" si="40"/>
        <v/>
      </c>
      <c r="BF34" s="18" t="str">
        <f t="shared" si="41"/>
        <v/>
      </c>
      <c r="BH34" s="18" t="str">
        <f t="shared" si="42"/>
        <v/>
      </c>
      <c r="BI34" s="18" t="str">
        <f t="shared" si="43"/>
        <v/>
      </c>
      <c r="BJ34" s="18" t="str">
        <f t="shared" si="44"/>
        <v/>
      </c>
      <c r="BK34" s="18" t="str">
        <f t="shared" si="45"/>
        <v/>
      </c>
      <c r="BL34" s="18" t="str">
        <f t="shared" si="46"/>
        <v/>
      </c>
      <c r="BM34" s="18" t="str">
        <f t="shared" si="47"/>
        <v/>
      </c>
      <c r="BN34" s="18" t="str">
        <f t="shared" si="48"/>
        <v/>
      </c>
      <c r="BO34" s="18" t="str">
        <f t="shared" si="49"/>
        <v/>
      </c>
      <c r="BP34" s="18" t="str">
        <f t="shared" si="50"/>
        <v/>
      </c>
      <c r="BQ34" s="18" t="str">
        <f t="shared" si="51"/>
        <v/>
      </c>
      <c r="BR34" s="18" t="str">
        <f t="shared" si="52"/>
        <v/>
      </c>
      <c r="BS34" s="18" t="str">
        <f t="shared" si="53"/>
        <v/>
      </c>
      <c r="BT34" s="18" t="str">
        <f t="shared" si="54"/>
        <v/>
      </c>
      <c r="BU34" s="18" t="str">
        <f t="shared" si="55"/>
        <v/>
      </c>
      <c r="BV34" s="18" t="str">
        <f t="shared" si="56"/>
        <v/>
      </c>
      <c r="CC34" s="18" t="str">
        <f t="shared" si="57"/>
        <v/>
      </c>
      <c r="CD34" s="18" t="str">
        <f t="shared" si="58"/>
        <v/>
      </c>
      <c r="CE34" s="18" t="str">
        <f t="shared" si="59"/>
        <v/>
      </c>
      <c r="CF34" s="18" t="str">
        <f t="shared" si="60"/>
        <v/>
      </c>
      <c r="CG34" s="18" t="str">
        <f t="shared" si="61"/>
        <v/>
      </c>
      <c r="CH34" s="18" t="str">
        <f t="shared" si="62"/>
        <v/>
      </c>
      <c r="CI34" s="18" t="str">
        <f t="shared" si="63"/>
        <v/>
      </c>
      <c r="CJ34" s="18" t="str">
        <f t="shared" si="64"/>
        <v/>
      </c>
      <c r="CK34" s="18" t="str">
        <f t="shared" si="65"/>
        <v/>
      </c>
      <c r="CL34" s="18" t="str">
        <f t="shared" si="66"/>
        <v/>
      </c>
      <c r="CM34" s="18" t="str">
        <f t="shared" si="67"/>
        <v/>
      </c>
      <c r="CN34" s="18" t="str">
        <f t="shared" si="68"/>
        <v/>
      </c>
      <c r="CO34" s="18" t="str">
        <f t="shared" si="69"/>
        <v/>
      </c>
      <c r="CP34" s="18" t="str">
        <f t="shared" si="70"/>
        <v/>
      </c>
      <c r="CQ34" s="18" t="str">
        <f t="shared" si="71"/>
        <v/>
      </c>
    </row>
    <row r="35" spans="1:95" x14ac:dyDescent="0.3">
      <c r="A35" s="141" t="s">
        <v>188</v>
      </c>
      <c r="B35" s="171" t="s">
        <v>180</v>
      </c>
      <c r="C35" s="262" t="s">
        <v>192</v>
      </c>
      <c r="D35" s="142">
        <v>0</v>
      </c>
      <c r="E35" s="153">
        <v>1.2</v>
      </c>
      <c r="F35" s="142">
        <v>0.06</v>
      </c>
      <c r="G35" s="145">
        <f t="shared" si="11"/>
        <v>1.2000599999999999</v>
      </c>
      <c r="H35" s="142">
        <v>0.13</v>
      </c>
      <c r="I35" s="253" t="s">
        <v>189</v>
      </c>
      <c r="J35" s="142" t="s">
        <v>179</v>
      </c>
      <c r="K35" s="228"/>
      <c r="L35" s="230"/>
      <c r="M35" s="230"/>
      <c r="N35" s="230"/>
      <c r="O35" s="230"/>
      <c r="P35" s="230"/>
      <c r="Q35" s="231"/>
      <c r="R35" s="231"/>
      <c r="S35" s="231"/>
      <c r="T35" s="231"/>
      <c r="U35" s="231"/>
      <c r="V35" s="230"/>
      <c r="W35" s="230"/>
      <c r="X35" s="230"/>
      <c r="Y35" s="230"/>
      <c r="Z35" s="230"/>
      <c r="AB35" s="18" t="str">
        <f t="shared" si="12"/>
        <v/>
      </c>
      <c r="AC35" s="18" t="str">
        <f t="shared" si="13"/>
        <v/>
      </c>
      <c r="AD35" s="18" t="str">
        <f t="shared" si="14"/>
        <v/>
      </c>
      <c r="AE35" s="18" t="str">
        <f t="shared" si="15"/>
        <v/>
      </c>
      <c r="AF35" s="18" t="str">
        <f t="shared" si="16"/>
        <v/>
      </c>
      <c r="AG35" s="18" t="str">
        <f t="shared" si="17"/>
        <v/>
      </c>
      <c r="AH35" s="18" t="str">
        <f t="shared" si="18"/>
        <v/>
      </c>
      <c r="AI35" s="18" t="str">
        <f t="shared" si="19"/>
        <v/>
      </c>
      <c r="AJ35" s="18" t="str">
        <f t="shared" si="20"/>
        <v/>
      </c>
      <c r="AK35" s="18" t="str">
        <f t="shared" si="21"/>
        <v/>
      </c>
      <c r="AL35" s="18" t="str">
        <f t="shared" si="22"/>
        <v/>
      </c>
      <c r="AM35" s="18" t="str">
        <f t="shared" si="23"/>
        <v/>
      </c>
      <c r="AN35" s="18" t="str">
        <f t="shared" si="24"/>
        <v/>
      </c>
      <c r="AO35" s="18" t="str">
        <f t="shared" si="25"/>
        <v/>
      </c>
      <c r="AP35" s="18" t="str">
        <f t="shared" si="26"/>
        <v/>
      </c>
      <c r="AR35" s="18" t="str">
        <f t="shared" si="27"/>
        <v/>
      </c>
      <c r="AS35" s="18" t="str">
        <f t="shared" si="28"/>
        <v/>
      </c>
      <c r="AT35" s="18" t="str">
        <f t="shared" si="29"/>
        <v/>
      </c>
      <c r="AU35" s="18" t="str">
        <f t="shared" si="30"/>
        <v/>
      </c>
      <c r="AV35" s="18" t="str">
        <f t="shared" si="31"/>
        <v/>
      </c>
      <c r="AW35" s="18" t="str">
        <f t="shared" si="32"/>
        <v/>
      </c>
      <c r="AX35" s="18" t="str">
        <f t="shared" si="33"/>
        <v/>
      </c>
      <c r="AY35" s="18" t="str">
        <f t="shared" si="34"/>
        <v/>
      </c>
      <c r="AZ35" s="18" t="str">
        <f t="shared" si="35"/>
        <v/>
      </c>
      <c r="BA35" s="18" t="str">
        <f t="shared" si="36"/>
        <v/>
      </c>
      <c r="BB35" s="18" t="str">
        <f t="shared" si="37"/>
        <v/>
      </c>
      <c r="BC35" s="18" t="str">
        <f t="shared" si="38"/>
        <v/>
      </c>
      <c r="BD35" s="18" t="str">
        <f t="shared" si="39"/>
        <v/>
      </c>
      <c r="BE35" s="18" t="str">
        <f t="shared" si="40"/>
        <v/>
      </c>
      <c r="BF35" s="18" t="str">
        <f t="shared" si="41"/>
        <v/>
      </c>
      <c r="BH35" s="18" t="str">
        <f t="shared" si="42"/>
        <v/>
      </c>
      <c r="BI35" s="18" t="str">
        <f t="shared" si="43"/>
        <v/>
      </c>
      <c r="BJ35" s="18" t="str">
        <f t="shared" si="44"/>
        <v/>
      </c>
      <c r="BK35" s="18" t="str">
        <f t="shared" si="45"/>
        <v/>
      </c>
      <c r="BL35" s="18" t="str">
        <f t="shared" si="46"/>
        <v/>
      </c>
      <c r="BM35" s="18" t="str">
        <f t="shared" si="47"/>
        <v/>
      </c>
      <c r="BN35" s="18" t="str">
        <f t="shared" si="48"/>
        <v/>
      </c>
      <c r="BO35" s="18" t="str">
        <f t="shared" si="49"/>
        <v/>
      </c>
      <c r="BP35" s="18" t="str">
        <f t="shared" si="50"/>
        <v/>
      </c>
      <c r="BQ35" s="18" t="str">
        <f t="shared" si="51"/>
        <v/>
      </c>
      <c r="BR35" s="18" t="str">
        <f t="shared" si="52"/>
        <v/>
      </c>
      <c r="BS35" s="18" t="str">
        <f t="shared" si="53"/>
        <v/>
      </c>
      <c r="BT35" s="18" t="str">
        <f t="shared" si="54"/>
        <v/>
      </c>
      <c r="BU35" s="18" t="str">
        <f t="shared" si="55"/>
        <v/>
      </c>
      <c r="BV35" s="18" t="str">
        <f t="shared" si="56"/>
        <v/>
      </c>
      <c r="CC35" s="18" t="str">
        <f t="shared" si="57"/>
        <v/>
      </c>
      <c r="CD35" s="18" t="str">
        <f t="shared" si="58"/>
        <v/>
      </c>
      <c r="CE35" s="18" t="str">
        <f t="shared" si="59"/>
        <v/>
      </c>
      <c r="CF35" s="18" t="str">
        <f t="shared" si="60"/>
        <v/>
      </c>
      <c r="CG35" s="18" t="str">
        <f t="shared" si="61"/>
        <v/>
      </c>
      <c r="CH35" s="18" t="str">
        <f t="shared" si="62"/>
        <v/>
      </c>
      <c r="CI35" s="18" t="str">
        <f t="shared" si="63"/>
        <v/>
      </c>
      <c r="CJ35" s="18" t="str">
        <f t="shared" si="64"/>
        <v/>
      </c>
      <c r="CK35" s="18" t="str">
        <f t="shared" si="65"/>
        <v/>
      </c>
      <c r="CL35" s="18" t="str">
        <f t="shared" si="66"/>
        <v/>
      </c>
      <c r="CM35" s="18" t="str">
        <f t="shared" si="67"/>
        <v/>
      </c>
      <c r="CN35" s="18" t="str">
        <f t="shared" si="68"/>
        <v/>
      </c>
      <c r="CO35" s="18" t="str">
        <f t="shared" si="69"/>
        <v/>
      </c>
      <c r="CP35" s="18" t="str">
        <f t="shared" si="70"/>
        <v/>
      </c>
      <c r="CQ35" s="18" t="str">
        <f t="shared" si="71"/>
        <v/>
      </c>
    </row>
    <row r="36" spans="1:95" x14ac:dyDescent="0.3">
      <c r="A36" s="141" t="s">
        <v>188</v>
      </c>
      <c r="B36" s="171" t="s">
        <v>180</v>
      </c>
      <c r="C36" s="262" t="s">
        <v>192</v>
      </c>
      <c r="D36" s="142">
        <v>0</v>
      </c>
      <c r="E36" s="153">
        <v>1.3</v>
      </c>
      <c r="F36" s="142">
        <v>0.06</v>
      </c>
      <c r="G36" s="145">
        <f t="shared" si="11"/>
        <v>1.30006</v>
      </c>
      <c r="H36" s="142">
        <v>0.13</v>
      </c>
      <c r="I36" s="253" t="s">
        <v>189</v>
      </c>
      <c r="J36" s="142" t="s">
        <v>179</v>
      </c>
      <c r="K36" s="228"/>
      <c r="L36" s="230"/>
      <c r="M36" s="230"/>
      <c r="N36" s="230"/>
      <c r="O36" s="230"/>
      <c r="P36" s="230"/>
      <c r="Q36" s="231"/>
      <c r="R36" s="231"/>
      <c r="S36" s="231"/>
      <c r="T36" s="231"/>
      <c r="U36" s="231"/>
      <c r="V36" s="230"/>
      <c r="W36" s="230"/>
      <c r="X36" s="230"/>
      <c r="Y36" s="230"/>
      <c r="Z36" s="230"/>
      <c r="AB36" s="18" t="str">
        <f t="shared" si="12"/>
        <v/>
      </c>
      <c r="AC36" s="18" t="str">
        <f t="shared" si="13"/>
        <v/>
      </c>
      <c r="AD36" s="18" t="str">
        <f t="shared" si="14"/>
        <v/>
      </c>
      <c r="AE36" s="18" t="str">
        <f t="shared" si="15"/>
        <v/>
      </c>
      <c r="AF36" s="18" t="str">
        <f t="shared" si="16"/>
        <v/>
      </c>
      <c r="AG36" s="18" t="str">
        <f t="shared" si="17"/>
        <v/>
      </c>
      <c r="AH36" s="18" t="str">
        <f t="shared" si="18"/>
        <v/>
      </c>
      <c r="AI36" s="18" t="str">
        <f t="shared" si="19"/>
        <v/>
      </c>
      <c r="AJ36" s="18" t="str">
        <f t="shared" si="20"/>
        <v/>
      </c>
      <c r="AK36" s="18" t="str">
        <f t="shared" si="21"/>
        <v/>
      </c>
      <c r="AL36" s="18" t="str">
        <f t="shared" si="22"/>
        <v/>
      </c>
      <c r="AM36" s="18" t="str">
        <f t="shared" si="23"/>
        <v/>
      </c>
      <c r="AN36" s="18" t="str">
        <f t="shared" si="24"/>
        <v/>
      </c>
      <c r="AO36" s="18" t="str">
        <f t="shared" si="25"/>
        <v/>
      </c>
      <c r="AP36" s="18" t="str">
        <f t="shared" si="26"/>
        <v/>
      </c>
      <c r="AR36" s="18" t="str">
        <f t="shared" si="27"/>
        <v/>
      </c>
      <c r="AS36" s="18" t="str">
        <f t="shared" si="28"/>
        <v/>
      </c>
      <c r="AT36" s="18" t="str">
        <f t="shared" si="29"/>
        <v/>
      </c>
      <c r="AU36" s="18" t="str">
        <f t="shared" si="30"/>
        <v/>
      </c>
      <c r="AV36" s="18" t="str">
        <f t="shared" si="31"/>
        <v/>
      </c>
      <c r="AW36" s="18" t="str">
        <f t="shared" si="32"/>
        <v/>
      </c>
      <c r="AX36" s="18" t="str">
        <f t="shared" si="33"/>
        <v/>
      </c>
      <c r="AY36" s="18" t="str">
        <f t="shared" si="34"/>
        <v/>
      </c>
      <c r="AZ36" s="18" t="str">
        <f t="shared" si="35"/>
        <v/>
      </c>
      <c r="BA36" s="18" t="str">
        <f t="shared" si="36"/>
        <v/>
      </c>
      <c r="BB36" s="18" t="str">
        <f t="shared" si="37"/>
        <v/>
      </c>
      <c r="BC36" s="18" t="str">
        <f t="shared" si="38"/>
        <v/>
      </c>
      <c r="BD36" s="18" t="str">
        <f t="shared" si="39"/>
        <v/>
      </c>
      <c r="BE36" s="18" t="str">
        <f t="shared" si="40"/>
        <v/>
      </c>
      <c r="BF36" s="18" t="str">
        <f t="shared" si="41"/>
        <v/>
      </c>
      <c r="BH36" s="18" t="str">
        <f t="shared" si="42"/>
        <v/>
      </c>
      <c r="BI36" s="18" t="str">
        <f t="shared" si="43"/>
        <v/>
      </c>
      <c r="BJ36" s="18" t="str">
        <f t="shared" si="44"/>
        <v/>
      </c>
      <c r="BK36" s="18" t="str">
        <f t="shared" si="45"/>
        <v/>
      </c>
      <c r="BL36" s="18" t="str">
        <f t="shared" si="46"/>
        <v/>
      </c>
      <c r="BM36" s="18" t="str">
        <f t="shared" si="47"/>
        <v/>
      </c>
      <c r="BN36" s="18" t="str">
        <f t="shared" si="48"/>
        <v/>
      </c>
      <c r="BO36" s="18" t="str">
        <f t="shared" si="49"/>
        <v/>
      </c>
      <c r="BP36" s="18" t="str">
        <f t="shared" si="50"/>
        <v/>
      </c>
      <c r="BQ36" s="18" t="str">
        <f t="shared" si="51"/>
        <v/>
      </c>
      <c r="BR36" s="18" t="str">
        <f t="shared" si="52"/>
        <v/>
      </c>
      <c r="BS36" s="18" t="str">
        <f t="shared" si="53"/>
        <v/>
      </c>
      <c r="BT36" s="18" t="str">
        <f t="shared" si="54"/>
        <v/>
      </c>
      <c r="BU36" s="18" t="str">
        <f t="shared" si="55"/>
        <v/>
      </c>
      <c r="BV36" s="18" t="str">
        <f t="shared" si="56"/>
        <v/>
      </c>
      <c r="CC36" s="18" t="str">
        <f t="shared" si="57"/>
        <v/>
      </c>
      <c r="CD36" s="18" t="str">
        <f t="shared" si="58"/>
        <v/>
      </c>
      <c r="CE36" s="18" t="str">
        <f t="shared" si="59"/>
        <v/>
      </c>
      <c r="CF36" s="18" t="str">
        <f t="shared" si="60"/>
        <v/>
      </c>
      <c r="CG36" s="18" t="str">
        <f t="shared" si="61"/>
        <v/>
      </c>
      <c r="CH36" s="18" t="str">
        <f t="shared" si="62"/>
        <v/>
      </c>
      <c r="CI36" s="18" t="str">
        <f t="shared" si="63"/>
        <v/>
      </c>
      <c r="CJ36" s="18" t="str">
        <f t="shared" si="64"/>
        <v/>
      </c>
      <c r="CK36" s="18" t="str">
        <f t="shared" si="65"/>
        <v/>
      </c>
      <c r="CL36" s="18" t="str">
        <f t="shared" si="66"/>
        <v/>
      </c>
      <c r="CM36" s="18" t="str">
        <f t="shared" si="67"/>
        <v/>
      </c>
      <c r="CN36" s="18" t="str">
        <f t="shared" si="68"/>
        <v/>
      </c>
      <c r="CO36" s="18" t="str">
        <f t="shared" si="69"/>
        <v/>
      </c>
      <c r="CP36" s="18" t="str">
        <f t="shared" si="70"/>
        <v/>
      </c>
      <c r="CQ36" s="18" t="str">
        <f t="shared" si="71"/>
        <v/>
      </c>
    </row>
    <row r="37" spans="1:95" x14ac:dyDescent="0.3">
      <c r="A37" s="141" t="s">
        <v>188</v>
      </c>
      <c r="B37" s="171" t="s">
        <v>180</v>
      </c>
      <c r="C37" s="262" t="s">
        <v>192</v>
      </c>
      <c r="D37" s="142">
        <v>0</v>
      </c>
      <c r="E37" s="153">
        <v>1.4</v>
      </c>
      <c r="F37" s="142">
        <v>0.08</v>
      </c>
      <c r="G37" s="145">
        <f t="shared" si="11"/>
        <v>1.40008</v>
      </c>
      <c r="H37" s="142">
        <v>0.14000000000000001</v>
      </c>
      <c r="I37" s="253" t="s">
        <v>189</v>
      </c>
      <c r="J37" s="142" t="s">
        <v>179</v>
      </c>
      <c r="K37" s="228"/>
      <c r="L37" s="230"/>
      <c r="M37" s="230"/>
      <c r="N37" s="230"/>
      <c r="O37" s="230"/>
      <c r="P37" s="230"/>
      <c r="Q37" s="231"/>
      <c r="R37" s="231"/>
      <c r="S37" s="231"/>
      <c r="T37" s="231"/>
      <c r="U37" s="231"/>
      <c r="V37" s="230"/>
      <c r="W37" s="230"/>
      <c r="X37" s="230"/>
      <c r="Y37" s="230"/>
      <c r="Z37" s="230"/>
      <c r="AB37" s="18" t="str">
        <f t="shared" si="12"/>
        <v/>
      </c>
      <c r="AC37" s="18" t="str">
        <f t="shared" si="13"/>
        <v/>
      </c>
      <c r="AD37" s="18" t="str">
        <f t="shared" si="14"/>
        <v/>
      </c>
      <c r="AE37" s="18" t="str">
        <f t="shared" si="15"/>
        <v/>
      </c>
      <c r="AF37" s="18" t="str">
        <f t="shared" si="16"/>
        <v/>
      </c>
      <c r="AG37" s="18" t="str">
        <f t="shared" si="17"/>
        <v/>
      </c>
      <c r="AH37" s="18" t="str">
        <f t="shared" si="18"/>
        <v/>
      </c>
      <c r="AI37" s="18" t="str">
        <f t="shared" si="19"/>
        <v/>
      </c>
      <c r="AJ37" s="18" t="str">
        <f t="shared" si="20"/>
        <v/>
      </c>
      <c r="AK37" s="18" t="str">
        <f t="shared" si="21"/>
        <v/>
      </c>
      <c r="AL37" s="18" t="str">
        <f t="shared" si="22"/>
        <v/>
      </c>
      <c r="AM37" s="18" t="str">
        <f t="shared" si="23"/>
        <v/>
      </c>
      <c r="AN37" s="18" t="str">
        <f t="shared" si="24"/>
        <v/>
      </c>
      <c r="AO37" s="18" t="str">
        <f t="shared" si="25"/>
        <v/>
      </c>
      <c r="AP37" s="18" t="str">
        <f t="shared" si="26"/>
        <v/>
      </c>
      <c r="AR37" s="18" t="str">
        <f t="shared" si="27"/>
        <v/>
      </c>
      <c r="AS37" s="18" t="str">
        <f t="shared" si="28"/>
        <v/>
      </c>
      <c r="AT37" s="18" t="str">
        <f t="shared" si="29"/>
        <v/>
      </c>
      <c r="AU37" s="18" t="str">
        <f t="shared" si="30"/>
        <v/>
      </c>
      <c r="AV37" s="18" t="str">
        <f t="shared" si="31"/>
        <v/>
      </c>
      <c r="AW37" s="18" t="str">
        <f t="shared" si="32"/>
        <v/>
      </c>
      <c r="AX37" s="18" t="str">
        <f t="shared" si="33"/>
        <v/>
      </c>
      <c r="AY37" s="18" t="str">
        <f t="shared" si="34"/>
        <v/>
      </c>
      <c r="AZ37" s="18" t="str">
        <f t="shared" si="35"/>
        <v/>
      </c>
      <c r="BA37" s="18" t="str">
        <f t="shared" si="36"/>
        <v/>
      </c>
      <c r="BB37" s="18" t="str">
        <f t="shared" si="37"/>
        <v/>
      </c>
      <c r="BC37" s="18" t="str">
        <f t="shared" si="38"/>
        <v/>
      </c>
      <c r="BD37" s="18" t="str">
        <f t="shared" si="39"/>
        <v/>
      </c>
      <c r="BE37" s="18" t="str">
        <f t="shared" si="40"/>
        <v/>
      </c>
      <c r="BF37" s="18" t="str">
        <f t="shared" si="41"/>
        <v/>
      </c>
      <c r="BH37" s="18" t="str">
        <f t="shared" si="42"/>
        <v/>
      </c>
      <c r="BI37" s="18" t="str">
        <f t="shared" si="43"/>
        <v/>
      </c>
      <c r="BJ37" s="18" t="str">
        <f t="shared" si="44"/>
        <v/>
      </c>
      <c r="BK37" s="18" t="str">
        <f t="shared" si="45"/>
        <v/>
      </c>
      <c r="BL37" s="18" t="str">
        <f t="shared" si="46"/>
        <v/>
      </c>
      <c r="BM37" s="18" t="str">
        <f t="shared" si="47"/>
        <v/>
      </c>
      <c r="BN37" s="18" t="str">
        <f t="shared" si="48"/>
        <v/>
      </c>
      <c r="BO37" s="18" t="str">
        <f t="shared" si="49"/>
        <v/>
      </c>
      <c r="BP37" s="18" t="str">
        <f t="shared" si="50"/>
        <v/>
      </c>
      <c r="BQ37" s="18" t="str">
        <f t="shared" si="51"/>
        <v/>
      </c>
      <c r="BR37" s="18" t="str">
        <f t="shared" si="52"/>
        <v/>
      </c>
      <c r="BS37" s="18" t="str">
        <f t="shared" si="53"/>
        <v/>
      </c>
      <c r="BT37" s="18" t="str">
        <f t="shared" si="54"/>
        <v/>
      </c>
      <c r="BU37" s="18" t="str">
        <f t="shared" si="55"/>
        <v/>
      </c>
      <c r="BV37" s="18" t="str">
        <f t="shared" si="56"/>
        <v/>
      </c>
      <c r="CC37" s="18" t="str">
        <f t="shared" si="57"/>
        <v/>
      </c>
      <c r="CD37" s="18" t="str">
        <f t="shared" si="58"/>
        <v/>
      </c>
      <c r="CE37" s="18" t="str">
        <f t="shared" si="59"/>
        <v/>
      </c>
      <c r="CF37" s="18" t="str">
        <f t="shared" si="60"/>
        <v/>
      </c>
      <c r="CG37" s="18" t="str">
        <f t="shared" si="61"/>
        <v/>
      </c>
      <c r="CH37" s="18" t="str">
        <f t="shared" si="62"/>
        <v/>
      </c>
      <c r="CI37" s="18" t="str">
        <f t="shared" si="63"/>
        <v/>
      </c>
      <c r="CJ37" s="18" t="str">
        <f t="shared" si="64"/>
        <v/>
      </c>
      <c r="CK37" s="18" t="str">
        <f t="shared" si="65"/>
        <v/>
      </c>
      <c r="CL37" s="18" t="str">
        <f t="shared" si="66"/>
        <v/>
      </c>
      <c r="CM37" s="18" t="str">
        <f t="shared" si="67"/>
        <v/>
      </c>
      <c r="CN37" s="18" t="str">
        <f t="shared" si="68"/>
        <v/>
      </c>
      <c r="CO37" s="18" t="str">
        <f t="shared" si="69"/>
        <v/>
      </c>
      <c r="CP37" s="18" t="str">
        <f t="shared" si="70"/>
        <v/>
      </c>
      <c r="CQ37" s="18" t="str">
        <f t="shared" si="71"/>
        <v/>
      </c>
    </row>
    <row r="38" spans="1:95" x14ac:dyDescent="0.3">
      <c r="A38" s="141" t="s">
        <v>188</v>
      </c>
      <c r="B38" s="171" t="s">
        <v>180</v>
      </c>
      <c r="C38" s="262" t="s">
        <v>192</v>
      </c>
      <c r="D38" s="142">
        <v>0</v>
      </c>
      <c r="E38" s="153">
        <v>1.5</v>
      </c>
      <c r="F38" s="142">
        <v>0.1</v>
      </c>
      <c r="G38" s="145">
        <f t="shared" si="11"/>
        <v>1.5001</v>
      </c>
      <c r="H38" s="142">
        <v>0.14000000000000001</v>
      </c>
      <c r="I38" s="253" t="s">
        <v>189</v>
      </c>
      <c r="J38" s="142" t="s">
        <v>179</v>
      </c>
      <c r="K38" s="228"/>
      <c r="L38" s="230"/>
      <c r="M38" s="230"/>
      <c r="N38" s="230"/>
      <c r="O38" s="230"/>
      <c r="P38" s="230"/>
      <c r="Q38" s="231"/>
      <c r="R38" s="231"/>
      <c r="S38" s="231"/>
      <c r="T38" s="231"/>
      <c r="U38" s="231"/>
      <c r="V38" s="230"/>
      <c r="W38" s="230"/>
      <c r="X38" s="230"/>
      <c r="Y38" s="230"/>
      <c r="Z38" s="230"/>
      <c r="AB38" s="18" t="str">
        <f t="shared" ref="AB38:AB54" si="72">IF(L38="x",$G38,"")</f>
        <v/>
      </c>
      <c r="AC38" s="18" t="str">
        <f t="shared" ref="AC38:AC54" si="73">IF(M38="x",$G38,"")</f>
        <v/>
      </c>
      <c r="AD38" s="18" t="str">
        <f t="shared" ref="AD38:AD54" si="74">IF(N38="x",$G38,"")</f>
        <v/>
      </c>
      <c r="AE38" s="18" t="str">
        <f t="shared" ref="AE38:AE54" si="75">IF(O38="x",$G38,"")</f>
        <v/>
      </c>
      <c r="AF38" s="18" t="str">
        <f t="shared" ref="AF38:AF54" si="76">IF(P38="x",$G38,"")</f>
        <v/>
      </c>
      <c r="AG38" s="18" t="str">
        <f t="shared" ref="AG38:AG54" si="77">IF(Q38="x",$G38,"")</f>
        <v/>
      </c>
      <c r="AH38" s="18" t="str">
        <f t="shared" ref="AH38:AH54" si="78">IF(R38="x",$G38,"")</f>
        <v/>
      </c>
      <c r="AI38" s="18" t="str">
        <f t="shared" ref="AI38:AI54" si="79">IF(S38="x",$G38,"")</f>
        <v/>
      </c>
      <c r="AJ38" s="18" t="str">
        <f t="shared" ref="AJ38:AJ54" si="80">IF(T38="x",$G38,"")</f>
        <v/>
      </c>
      <c r="AK38" s="18" t="str">
        <f t="shared" ref="AK38:AK54" si="81">IF(U38="x",$G38,"")</f>
        <v/>
      </c>
      <c r="AL38" s="18" t="str">
        <f t="shared" ref="AL38:AL54" si="82">IF(V38="x",$G38,"")</f>
        <v/>
      </c>
      <c r="AM38" s="18" t="str">
        <f t="shared" ref="AM38:AM54" si="83">IF(W38="x",$G38,"")</f>
        <v/>
      </c>
      <c r="AN38" s="18" t="str">
        <f t="shared" ref="AN38:AN54" si="84">IF(X38="x",$G38,"")</f>
        <v/>
      </c>
      <c r="AO38" s="18" t="str">
        <f t="shared" ref="AO38:AO54" si="85">IF(Y38="x",$G38,"")</f>
        <v/>
      </c>
      <c r="AP38" s="18" t="str">
        <f t="shared" ref="AP38:AP54" si="86">IF(Z38="x",$G38,"")</f>
        <v/>
      </c>
      <c r="AR38" s="18" t="str">
        <f t="shared" ref="AR38:AR54" si="87">IF(L38="x",$H38,"")</f>
        <v/>
      </c>
      <c r="AS38" s="18" t="str">
        <f t="shared" ref="AS38:AS54" si="88">IF(M38="x",$H38,"")</f>
        <v/>
      </c>
      <c r="AT38" s="18" t="str">
        <f t="shared" ref="AT38:AT54" si="89">IF(N38="x",$H38,"")</f>
        <v/>
      </c>
      <c r="AU38" s="18" t="str">
        <f t="shared" ref="AU38:AU54" si="90">IF(O38="x",$H38,"")</f>
        <v/>
      </c>
      <c r="AV38" s="18" t="str">
        <f t="shared" ref="AV38:AV54" si="91">IF(P38="x",$H38,"")</f>
        <v/>
      </c>
      <c r="AW38" s="18" t="str">
        <f t="shared" ref="AW38:AW54" si="92">IF(Q38="x",$H38,"")</f>
        <v/>
      </c>
      <c r="AX38" s="18" t="str">
        <f t="shared" ref="AX38:AX54" si="93">IF(R38="x",$H38,"")</f>
        <v/>
      </c>
      <c r="AY38" s="18" t="str">
        <f t="shared" ref="AY38:AY54" si="94">IF(S38="x",$H38,"")</f>
        <v/>
      </c>
      <c r="AZ38" s="18" t="str">
        <f t="shared" ref="AZ38:AZ54" si="95">IF(T38="x",$H38,"")</f>
        <v/>
      </c>
      <c r="BA38" s="18" t="str">
        <f t="shared" ref="BA38:BA54" si="96">IF(U38="x",$H38,"")</f>
        <v/>
      </c>
      <c r="BB38" s="18" t="str">
        <f t="shared" ref="BB38:BB54" si="97">IF(V38="x",$H38,"")</f>
        <v/>
      </c>
      <c r="BC38" s="18" t="str">
        <f t="shared" ref="BC38:BC54" si="98">IF(W38="x",$H38,"")</f>
        <v/>
      </c>
      <c r="BD38" s="18" t="str">
        <f t="shared" ref="BD38:BD54" si="99">IF(X38="x",$H38,"")</f>
        <v/>
      </c>
      <c r="BE38" s="18" t="str">
        <f t="shared" ref="BE38:BE54" si="100">IF(Y38="x",$H38,"")</f>
        <v/>
      </c>
      <c r="BF38" s="18" t="str">
        <f t="shared" ref="BF38:BF54" si="101">IF(Z38="x",$H38,"")</f>
        <v/>
      </c>
      <c r="BH38" s="18" t="str">
        <f t="shared" ref="BH38:BH54" si="102">IF(L38="x",$J38,"")</f>
        <v/>
      </c>
      <c r="BI38" s="18" t="str">
        <f t="shared" ref="BI38:BI54" si="103">IF(M38="x",$J38,"")</f>
        <v/>
      </c>
      <c r="BJ38" s="18" t="str">
        <f t="shared" ref="BJ38:BJ54" si="104">IF(N38="x",$J38,"")</f>
        <v/>
      </c>
      <c r="BK38" s="18" t="str">
        <f t="shared" ref="BK38:BK54" si="105">IF(O38="x",$J38,"")</f>
        <v/>
      </c>
      <c r="BL38" s="18" t="str">
        <f t="shared" ref="BL38:BL54" si="106">IF(P38="x",$J38,"")</f>
        <v/>
      </c>
      <c r="BM38" s="18" t="str">
        <f t="shared" ref="BM38:BM54" si="107">IF(Q38="x",$J38,"")</f>
        <v/>
      </c>
      <c r="BN38" s="18" t="str">
        <f t="shared" ref="BN38:BN54" si="108">IF(R38="x",$J38,"")</f>
        <v/>
      </c>
      <c r="BO38" s="18" t="str">
        <f t="shared" ref="BO38:BO54" si="109">IF(S38="x",$J38,"")</f>
        <v/>
      </c>
      <c r="BP38" s="18" t="str">
        <f t="shared" ref="BP38:BP54" si="110">IF(T38="x",$J38,"")</f>
        <v/>
      </c>
      <c r="BQ38" s="18" t="str">
        <f t="shared" ref="BQ38:BQ54" si="111">IF(U38="x",$J38,"")</f>
        <v/>
      </c>
      <c r="BR38" s="18" t="str">
        <f t="shared" ref="BR38:BR54" si="112">IF(V38="x",$J38,"")</f>
        <v/>
      </c>
      <c r="BS38" s="18" t="str">
        <f t="shared" ref="BS38:BS54" si="113">IF(W38="x",$J38,"")</f>
        <v/>
      </c>
      <c r="BT38" s="18" t="str">
        <f t="shared" ref="BT38:BT54" si="114">IF(X38="x",$J38,"")</f>
        <v/>
      </c>
      <c r="BU38" s="18" t="str">
        <f t="shared" ref="BU38:BU54" si="115">IF(Y38="x",$J38,"")</f>
        <v/>
      </c>
      <c r="BV38" s="18" t="str">
        <f t="shared" ref="BV38:BV54" si="116">IF(Z38="x",$J38,"")</f>
        <v/>
      </c>
      <c r="CC38" s="18" t="str">
        <f t="shared" ref="CC38:CC54" si="117">IF(L38="x",$B38,"")</f>
        <v/>
      </c>
      <c r="CD38" s="18" t="str">
        <f t="shared" ref="CD38:CD54" si="118">IF(M38="x",$B38,"")</f>
        <v/>
      </c>
      <c r="CE38" s="18" t="str">
        <f t="shared" ref="CE38:CE54" si="119">IF(N38="x",$B38,"")</f>
        <v/>
      </c>
      <c r="CF38" s="18" t="str">
        <f t="shared" ref="CF38:CF54" si="120">IF(O38="x",$B38,"")</f>
        <v/>
      </c>
      <c r="CG38" s="18" t="str">
        <f t="shared" ref="CG38:CG54" si="121">IF(P38="x",$B38,"")</f>
        <v/>
      </c>
      <c r="CH38" s="18" t="str">
        <f t="shared" ref="CH38:CH54" si="122">IF(Q38="x",$B38,"")</f>
        <v/>
      </c>
      <c r="CI38" s="18" t="str">
        <f t="shared" ref="CI38:CI54" si="123">IF(R38="x",$B38,"")</f>
        <v/>
      </c>
      <c r="CJ38" s="18" t="str">
        <f t="shared" ref="CJ38:CJ54" si="124">IF(S38="x",$B38,"")</f>
        <v/>
      </c>
      <c r="CK38" s="18" t="str">
        <f t="shared" ref="CK38:CK54" si="125">IF(T38="x",$B38,"")</f>
        <v/>
      </c>
      <c r="CL38" s="18" t="str">
        <f t="shared" ref="CL38:CL54" si="126">IF(U38="x",$B38,"")</f>
        <v/>
      </c>
      <c r="CM38" s="18" t="str">
        <f t="shared" ref="CM38:CM54" si="127">IF(V38="x",$B38,"")</f>
        <v/>
      </c>
      <c r="CN38" s="18" t="str">
        <f t="shared" ref="CN38:CN54" si="128">IF(W38="x",$B38,"")</f>
        <v/>
      </c>
      <c r="CO38" s="18" t="str">
        <f t="shared" ref="CO38:CO54" si="129">IF(X38="x",$B38,"")</f>
        <v/>
      </c>
      <c r="CP38" s="18" t="str">
        <f t="shared" ref="CP38:CP54" si="130">IF(Y38="x",$B38,"")</f>
        <v/>
      </c>
      <c r="CQ38" s="18" t="str">
        <f t="shared" ref="CQ38:CQ54" si="131">IF(Z38="x",$B38,"")</f>
        <v/>
      </c>
    </row>
    <row r="39" spans="1:95" x14ac:dyDescent="0.3">
      <c r="A39" s="141" t="s">
        <v>188</v>
      </c>
      <c r="B39" s="171" t="s">
        <v>180</v>
      </c>
      <c r="C39" s="262" t="s">
        <v>192</v>
      </c>
      <c r="D39" s="142">
        <v>0</v>
      </c>
      <c r="E39" s="154">
        <v>2</v>
      </c>
      <c r="F39" s="142">
        <v>0.09</v>
      </c>
      <c r="G39" s="145">
        <f t="shared" si="11"/>
        <v>2.0000900000000001</v>
      </c>
      <c r="H39" s="142">
        <v>0.14000000000000001</v>
      </c>
      <c r="I39" s="253" t="s">
        <v>189</v>
      </c>
      <c r="J39" s="142" t="s">
        <v>179</v>
      </c>
      <c r="K39" s="228"/>
      <c r="L39" s="230"/>
      <c r="M39" s="230"/>
      <c r="N39" s="230"/>
      <c r="O39" s="230"/>
      <c r="P39" s="230"/>
      <c r="Q39" s="231"/>
      <c r="R39" s="231"/>
      <c r="S39" s="231"/>
      <c r="T39" s="231"/>
      <c r="U39" s="231"/>
      <c r="V39" s="230"/>
      <c r="W39" s="230"/>
      <c r="X39" s="230"/>
      <c r="Y39" s="230"/>
      <c r="Z39" s="230"/>
      <c r="AB39" s="18" t="str">
        <f t="shared" si="72"/>
        <v/>
      </c>
      <c r="AC39" s="18" t="str">
        <f t="shared" si="73"/>
        <v/>
      </c>
      <c r="AD39" s="18" t="str">
        <f t="shared" si="74"/>
        <v/>
      </c>
      <c r="AE39" s="18" t="str">
        <f t="shared" si="75"/>
        <v/>
      </c>
      <c r="AF39" s="18" t="str">
        <f t="shared" si="76"/>
        <v/>
      </c>
      <c r="AG39" s="18" t="str">
        <f t="shared" si="77"/>
        <v/>
      </c>
      <c r="AH39" s="18" t="str">
        <f t="shared" si="78"/>
        <v/>
      </c>
      <c r="AI39" s="18" t="str">
        <f t="shared" si="79"/>
        <v/>
      </c>
      <c r="AJ39" s="18" t="str">
        <f t="shared" si="80"/>
        <v/>
      </c>
      <c r="AK39" s="18" t="str">
        <f t="shared" si="81"/>
        <v/>
      </c>
      <c r="AL39" s="18" t="str">
        <f t="shared" si="82"/>
        <v/>
      </c>
      <c r="AM39" s="18" t="str">
        <f t="shared" si="83"/>
        <v/>
      </c>
      <c r="AN39" s="18" t="str">
        <f t="shared" si="84"/>
        <v/>
      </c>
      <c r="AO39" s="18" t="str">
        <f t="shared" si="85"/>
        <v/>
      </c>
      <c r="AP39" s="18" t="str">
        <f t="shared" si="86"/>
        <v/>
      </c>
      <c r="AR39" s="18" t="str">
        <f t="shared" si="87"/>
        <v/>
      </c>
      <c r="AS39" s="18" t="str">
        <f t="shared" si="88"/>
        <v/>
      </c>
      <c r="AT39" s="18" t="str">
        <f t="shared" si="89"/>
        <v/>
      </c>
      <c r="AU39" s="18" t="str">
        <f t="shared" si="90"/>
        <v/>
      </c>
      <c r="AV39" s="18" t="str">
        <f t="shared" si="91"/>
        <v/>
      </c>
      <c r="AW39" s="18" t="str">
        <f t="shared" si="92"/>
        <v/>
      </c>
      <c r="AX39" s="18" t="str">
        <f t="shared" si="93"/>
        <v/>
      </c>
      <c r="AY39" s="18" t="str">
        <f t="shared" si="94"/>
        <v/>
      </c>
      <c r="AZ39" s="18" t="str">
        <f t="shared" si="95"/>
        <v/>
      </c>
      <c r="BA39" s="18" t="str">
        <f t="shared" si="96"/>
        <v/>
      </c>
      <c r="BB39" s="18" t="str">
        <f t="shared" si="97"/>
        <v/>
      </c>
      <c r="BC39" s="18" t="str">
        <f t="shared" si="98"/>
        <v/>
      </c>
      <c r="BD39" s="18" t="str">
        <f t="shared" si="99"/>
        <v/>
      </c>
      <c r="BE39" s="18" t="str">
        <f t="shared" si="100"/>
        <v/>
      </c>
      <c r="BF39" s="18" t="str">
        <f t="shared" si="101"/>
        <v/>
      </c>
      <c r="BH39" s="18" t="str">
        <f t="shared" si="102"/>
        <v/>
      </c>
      <c r="BI39" s="18" t="str">
        <f t="shared" si="103"/>
        <v/>
      </c>
      <c r="BJ39" s="18" t="str">
        <f t="shared" si="104"/>
        <v/>
      </c>
      <c r="BK39" s="18" t="str">
        <f t="shared" si="105"/>
        <v/>
      </c>
      <c r="BL39" s="18" t="str">
        <f t="shared" si="106"/>
        <v/>
      </c>
      <c r="BM39" s="18" t="str">
        <f t="shared" si="107"/>
        <v/>
      </c>
      <c r="BN39" s="18" t="str">
        <f t="shared" si="108"/>
        <v/>
      </c>
      <c r="BO39" s="18" t="str">
        <f t="shared" si="109"/>
        <v/>
      </c>
      <c r="BP39" s="18" t="str">
        <f t="shared" si="110"/>
        <v/>
      </c>
      <c r="BQ39" s="18" t="str">
        <f t="shared" si="111"/>
        <v/>
      </c>
      <c r="BR39" s="18" t="str">
        <f t="shared" si="112"/>
        <v/>
      </c>
      <c r="BS39" s="18" t="str">
        <f t="shared" si="113"/>
        <v/>
      </c>
      <c r="BT39" s="18" t="str">
        <f t="shared" si="114"/>
        <v/>
      </c>
      <c r="BU39" s="18" t="str">
        <f t="shared" si="115"/>
        <v/>
      </c>
      <c r="BV39" s="18" t="str">
        <f t="shared" si="116"/>
        <v/>
      </c>
      <c r="CC39" s="18" t="str">
        <f t="shared" si="117"/>
        <v/>
      </c>
      <c r="CD39" s="18" t="str">
        <f t="shared" si="118"/>
        <v/>
      </c>
      <c r="CE39" s="18" t="str">
        <f t="shared" si="119"/>
        <v/>
      </c>
      <c r="CF39" s="18" t="str">
        <f t="shared" si="120"/>
        <v/>
      </c>
      <c r="CG39" s="18" t="str">
        <f t="shared" si="121"/>
        <v/>
      </c>
      <c r="CH39" s="18" t="str">
        <f t="shared" si="122"/>
        <v/>
      </c>
      <c r="CI39" s="18" t="str">
        <f t="shared" si="123"/>
        <v/>
      </c>
      <c r="CJ39" s="18" t="str">
        <f t="shared" si="124"/>
        <v/>
      </c>
      <c r="CK39" s="18" t="str">
        <f t="shared" si="125"/>
        <v/>
      </c>
      <c r="CL39" s="18" t="str">
        <f t="shared" si="126"/>
        <v/>
      </c>
      <c r="CM39" s="18" t="str">
        <f t="shared" si="127"/>
        <v/>
      </c>
      <c r="CN39" s="18" t="str">
        <f t="shared" si="128"/>
        <v/>
      </c>
      <c r="CO39" s="18" t="str">
        <f t="shared" si="129"/>
        <v/>
      </c>
      <c r="CP39" s="18" t="str">
        <f t="shared" si="130"/>
        <v/>
      </c>
      <c r="CQ39" s="18" t="str">
        <f t="shared" si="131"/>
        <v/>
      </c>
    </row>
    <row r="40" spans="1:95" x14ac:dyDescent="0.3">
      <c r="A40" s="141" t="s">
        <v>188</v>
      </c>
      <c r="B40" s="171" t="s">
        <v>180</v>
      </c>
      <c r="C40" s="262" t="s">
        <v>192</v>
      </c>
      <c r="D40" s="142">
        <v>0</v>
      </c>
      <c r="E40" s="143">
        <v>3</v>
      </c>
      <c r="F40" s="142">
        <v>0.15</v>
      </c>
      <c r="G40" s="142">
        <f t="shared" si="11"/>
        <v>3.0001500000000001</v>
      </c>
      <c r="H40" s="142">
        <v>0.15</v>
      </c>
      <c r="I40" s="253" t="s">
        <v>189</v>
      </c>
      <c r="J40" s="142" t="s">
        <v>179</v>
      </c>
      <c r="K40" s="228"/>
      <c r="L40" s="230"/>
      <c r="M40" s="230"/>
      <c r="N40" s="230"/>
      <c r="O40" s="230"/>
      <c r="P40" s="230"/>
      <c r="Q40" s="231"/>
      <c r="R40" s="231"/>
      <c r="S40" s="231"/>
      <c r="T40" s="231"/>
      <c r="U40" s="231"/>
      <c r="V40" s="230"/>
      <c r="W40" s="230"/>
      <c r="X40" s="230"/>
      <c r="Y40" s="230"/>
      <c r="Z40" s="230"/>
      <c r="AB40" s="18" t="str">
        <f t="shared" si="72"/>
        <v/>
      </c>
      <c r="AC40" s="18" t="str">
        <f t="shared" si="73"/>
        <v/>
      </c>
      <c r="AD40" s="18" t="str">
        <f t="shared" si="74"/>
        <v/>
      </c>
      <c r="AE40" s="18" t="str">
        <f t="shared" si="75"/>
        <v/>
      </c>
      <c r="AF40" s="18" t="str">
        <f t="shared" si="76"/>
        <v/>
      </c>
      <c r="AG40" s="18" t="str">
        <f t="shared" si="77"/>
        <v/>
      </c>
      <c r="AH40" s="18" t="str">
        <f t="shared" si="78"/>
        <v/>
      </c>
      <c r="AI40" s="18" t="str">
        <f t="shared" si="79"/>
        <v/>
      </c>
      <c r="AJ40" s="18" t="str">
        <f t="shared" si="80"/>
        <v/>
      </c>
      <c r="AK40" s="18" t="str">
        <f t="shared" si="81"/>
        <v/>
      </c>
      <c r="AL40" s="18" t="str">
        <f t="shared" si="82"/>
        <v/>
      </c>
      <c r="AM40" s="18" t="str">
        <f t="shared" si="83"/>
        <v/>
      </c>
      <c r="AN40" s="18" t="str">
        <f t="shared" si="84"/>
        <v/>
      </c>
      <c r="AO40" s="18" t="str">
        <f t="shared" si="85"/>
        <v/>
      </c>
      <c r="AP40" s="18" t="str">
        <f t="shared" si="86"/>
        <v/>
      </c>
      <c r="AR40" s="18" t="str">
        <f t="shared" si="87"/>
        <v/>
      </c>
      <c r="AS40" s="18" t="str">
        <f t="shared" si="88"/>
        <v/>
      </c>
      <c r="AT40" s="18" t="str">
        <f t="shared" si="89"/>
        <v/>
      </c>
      <c r="AU40" s="18" t="str">
        <f t="shared" si="90"/>
        <v/>
      </c>
      <c r="AV40" s="18" t="str">
        <f t="shared" si="91"/>
        <v/>
      </c>
      <c r="AW40" s="18" t="str">
        <f t="shared" si="92"/>
        <v/>
      </c>
      <c r="AX40" s="18" t="str">
        <f t="shared" si="93"/>
        <v/>
      </c>
      <c r="AY40" s="18" t="str">
        <f t="shared" si="94"/>
        <v/>
      </c>
      <c r="AZ40" s="18" t="str">
        <f t="shared" si="95"/>
        <v/>
      </c>
      <c r="BA40" s="18" t="str">
        <f t="shared" si="96"/>
        <v/>
      </c>
      <c r="BB40" s="18" t="str">
        <f t="shared" si="97"/>
        <v/>
      </c>
      <c r="BC40" s="18" t="str">
        <f t="shared" si="98"/>
        <v/>
      </c>
      <c r="BD40" s="18" t="str">
        <f t="shared" si="99"/>
        <v/>
      </c>
      <c r="BE40" s="18" t="str">
        <f t="shared" si="100"/>
        <v/>
      </c>
      <c r="BF40" s="18" t="str">
        <f t="shared" si="101"/>
        <v/>
      </c>
      <c r="BH40" s="18" t="str">
        <f t="shared" si="102"/>
        <v/>
      </c>
      <c r="BI40" s="18" t="str">
        <f t="shared" si="103"/>
        <v/>
      </c>
      <c r="BJ40" s="18" t="str">
        <f t="shared" si="104"/>
        <v/>
      </c>
      <c r="BK40" s="18" t="str">
        <f t="shared" si="105"/>
        <v/>
      </c>
      <c r="BL40" s="18" t="str">
        <f t="shared" si="106"/>
        <v/>
      </c>
      <c r="BM40" s="18" t="str">
        <f t="shared" si="107"/>
        <v/>
      </c>
      <c r="BN40" s="18" t="str">
        <f t="shared" si="108"/>
        <v/>
      </c>
      <c r="BO40" s="18" t="str">
        <f t="shared" si="109"/>
        <v/>
      </c>
      <c r="BP40" s="18" t="str">
        <f t="shared" si="110"/>
        <v/>
      </c>
      <c r="BQ40" s="18" t="str">
        <f t="shared" si="111"/>
        <v/>
      </c>
      <c r="BR40" s="18" t="str">
        <f t="shared" si="112"/>
        <v/>
      </c>
      <c r="BS40" s="18" t="str">
        <f t="shared" si="113"/>
        <v/>
      </c>
      <c r="BT40" s="18" t="str">
        <f t="shared" si="114"/>
        <v/>
      </c>
      <c r="BU40" s="18" t="str">
        <f t="shared" si="115"/>
        <v/>
      </c>
      <c r="BV40" s="18" t="str">
        <f t="shared" si="116"/>
        <v/>
      </c>
      <c r="CC40" s="18" t="str">
        <f t="shared" si="117"/>
        <v/>
      </c>
      <c r="CD40" s="18" t="str">
        <f t="shared" si="118"/>
        <v/>
      </c>
      <c r="CE40" s="18" t="str">
        <f t="shared" si="119"/>
        <v/>
      </c>
      <c r="CF40" s="18" t="str">
        <f t="shared" si="120"/>
        <v/>
      </c>
      <c r="CG40" s="18" t="str">
        <f t="shared" si="121"/>
        <v/>
      </c>
      <c r="CH40" s="18" t="str">
        <f t="shared" si="122"/>
        <v/>
      </c>
      <c r="CI40" s="18" t="str">
        <f t="shared" si="123"/>
        <v/>
      </c>
      <c r="CJ40" s="18" t="str">
        <f t="shared" si="124"/>
        <v/>
      </c>
      <c r="CK40" s="18" t="str">
        <f t="shared" si="125"/>
        <v/>
      </c>
      <c r="CL40" s="18" t="str">
        <f t="shared" si="126"/>
        <v/>
      </c>
      <c r="CM40" s="18" t="str">
        <f t="shared" si="127"/>
        <v/>
      </c>
      <c r="CN40" s="18" t="str">
        <f t="shared" si="128"/>
        <v/>
      </c>
      <c r="CO40" s="18" t="str">
        <f t="shared" si="129"/>
        <v/>
      </c>
      <c r="CP40" s="18" t="str">
        <f t="shared" si="130"/>
        <v/>
      </c>
      <c r="CQ40" s="18" t="str">
        <f t="shared" si="131"/>
        <v/>
      </c>
    </row>
    <row r="41" spans="1:95" x14ac:dyDescent="0.3">
      <c r="A41" s="141" t="s">
        <v>188</v>
      </c>
      <c r="B41" s="171" t="s">
        <v>180</v>
      </c>
      <c r="C41" s="262" t="s">
        <v>192</v>
      </c>
      <c r="D41" s="142">
        <v>0</v>
      </c>
      <c r="E41" s="143">
        <v>4</v>
      </c>
      <c r="F41" s="142">
        <v>0.11</v>
      </c>
      <c r="G41" s="142">
        <f t="shared" si="11"/>
        <v>4.0001100000000003</v>
      </c>
      <c r="H41" s="142">
        <v>0.14000000000000001</v>
      </c>
      <c r="I41" s="253" t="s">
        <v>189</v>
      </c>
      <c r="J41" s="142" t="s">
        <v>179</v>
      </c>
      <c r="K41" s="228"/>
      <c r="L41" s="230"/>
      <c r="M41" s="230"/>
      <c r="N41" s="230"/>
      <c r="O41" s="230"/>
      <c r="P41" s="230"/>
      <c r="Q41" s="231"/>
      <c r="R41" s="231"/>
      <c r="S41" s="231"/>
      <c r="T41" s="231"/>
      <c r="U41" s="231"/>
      <c r="V41" s="230"/>
      <c r="W41" s="230"/>
      <c r="X41" s="230"/>
      <c r="Y41" s="230"/>
      <c r="Z41" s="230"/>
      <c r="AB41" s="18" t="str">
        <f t="shared" si="72"/>
        <v/>
      </c>
      <c r="AC41" s="18" t="str">
        <f t="shared" si="73"/>
        <v/>
      </c>
      <c r="AD41" s="18" t="str">
        <f t="shared" si="74"/>
        <v/>
      </c>
      <c r="AE41" s="18" t="str">
        <f t="shared" si="75"/>
        <v/>
      </c>
      <c r="AF41" s="18" t="str">
        <f t="shared" si="76"/>
        <v/>
      </c>
      <c r="AG41" s="18" t="str">
        <f t="shared" si="77"/>
        <v/>
      </c>
      <c r="AH41" s="18" t="str">
        <f t="shared" si="78"/>
        <v/>
      </c>
      <c r="AI41" s="18" t="str">
        <f t="shared" si="79"/>
        <v/>
      </c>
      <c r="AJ41" s="18" t="str">
        <f t="shared" si="80"/>
        <v/>
      </c>
      <c r="AK41" s="18" t="str">
        <f t="shared" si="81"/>
        <v/>
      </c>
      <c r="AL41" s="18" t="str">
        <f t="shared" si="82"/>
        <v/>
      </c>
      <c r="AM41" s="18" t="str">
        <f t="shared" si="83"/>
        <v/>
      </c>
      <c r="AN41" s="18" t="str">
        <f t="shared" si="84"/>
        <v/>
      </c>
      <c r="AO41" s="18" t="str">
        <f t="shared" si="85"/>
        <v/>
      </c>
      <c r="AP41" s="18" t="str">
        <f t="shared" si="86"/>
        <v/>
      </c>
      <c r="AR41" s="18" t="str">
        <f t="shared" si="87"/>
        <v/>
      </c>
      <c r="AS41" s="18" t="str">
        <f t="shared" si="88"/>
        <v/>
      </c>
      <c r="AT41" s="18" t="str">
        <f t="shared" si="89"/>
        <v/>
      </c>
      <c r="AU41" s="18" t="str">
        <f t="shared" si="90"/>
        <v/>
      </c>
      <c r="AV41" s="18" t="str">
        <f t="shared" si="91"/>
        <v/>
      </c>
      <c r="AW41" s="18" t="str">
        <f t="shared" si="92"/>
        <v/>
      </c>
      <c r="AX41" s="18" t="str">
        <f t="shared" si="93"/>
        <v/>
      </c>
      <c r="AY41" s="18" t="str">
        <f t="shared" si="94"/>
        <v/>
      </c>
      <c r="AZ41" s="18" t="str">
        <f t="shared" si="95"/>
        <v/>
      </c>
      <c r="BA41" s="18" t="str">
        <f t="shared" si="96"/>
        <v/>
      </c>
      <c r="BB41" s="18" t="str">
        <f t="shared" si="97"/>
        <v/>
      </c>
      <c r="BC41" s="18" t="str">
        <f t="shared" si="98"/>
        <v/>
      </c>
      <c r="BD41" s="18" t="str">
        <f t="shared" si="99"/>
        <v/>
      </c>
      <c r="BE41" s="18" t="str">
        <f t="shared" si="100"/>
        <v/>
      </c>
      <c r="BF41" s="18" t="str">
        <f t="shared" si="101"/>
        <v/>
      </c>
      <c r="BH41" s="18" t="str">
        <f t="shared" si="102"/>
        <v/>
      </c>
      <c r="BI41" s="18" t="str">
        <f t="shared" si="103"/>
        <v/>
      </c>
      <c r="BJ41" s="18" t="str">
        <f t="shared" si="104"/>
        <v/>
      </c>
      <c r="BK41" s="18" t="str">
        <f t="shared" si="105"/>
        <v/>
      </c>
      <c r="BL41" s="18" t="str">
        <f t="shared" si="106"/>
        <v/>
      </c>
      <c r="BM41" s="18" t="str">
        <f t="shared" si="107"/>
        <v/>
      </c>
      <c r="BN41" s="18" t="str">
        <f t="shared" si="108"/>
        <v/>
      </c>
      <c r="BO41" s="18" t="str">
        <f t="shared" si="109"/>
        <v/>
      </c>
      <c r="BP41" s="18" t="str">
        <f t="shared" si="110"/>
        <v/>
      </c>
      <c r="BQ41" s="18" t="str">
        <f t="shared" si="111"/>
        <v/>
      </c>
      <c r="BR41" s="18" t="str">
        <f t="shared" si="112"/>
        <v/>
      </c>
      <c r="BS41" s="18" t="str">
        <f t="shared" si="113"/>
        <v/>
      </c>
      <c r="BT41" s="18" t="str">
        <f t="shared" si="114"/>
        <v/>
      </c>
      <c r="BU41" s="18" t="str">
        <f t="shared" si="115"/>
        <v/>
      </c>
      <c r="BV41" s="18" t="str">
        <f t="shared" si="116"/>
        <v/>
      </c>
      <c r="CC41" s="18" t="str">
        <f t="shared" si="117"/>
        <v/>
      </c>
      <c r="CD41" s="18" t="str">
        <f t="shared" si="118"/>
        <v/>
      </c>
      <c r="CE41" s="18" t="str">
        <f t="shared" si="119"/>
        <v/>
      </c>
      <c r="CF41" s="18" t="str">
        <f t="shared" si="120"/>
        <v/>
      </c>
      <c r="CG41" s="18" t="str">
        <f t="shared" si="121"/>
        <v/>
      </c>
      <c r="CH41" s="18" t="str">
        <f t="shared" si="122"/>
        <v/>
      </c>
      <c r="CI41" s="18" t="str">
        <f t="shared" si="123"/>
        <v/>
      </c>
      <c r="CJ41" s="18" t="str">
        <f t="shared" si="124"/>
        <v/>
      </c>
      <c r="CK41" s="18" t="str">
        <f t="shared" si="125"/>
        <v/>
      </c>
      <c r="CL41" s="18" t="str">
        <f t="shared" si="126"/>
        <v/>
      </c>
      <c r="CM41" s="18" t="str">
        <f t="shared" si="127"/>
        <v/>
      </c>
      <c r="CN41" s="18" t="str">
        <f t="shared" si="128"/>
        <v/>
      </c>
      <c r="CO41" s="18" t="str">
        <f t="shared" si="129"/>
        <v/>
      </c>
      <c r="CP41" s="18" t="str">
        <f t="shared" si="130"/>
        <v/>
      </c>
      <c r="CQ41" s="18" t="str">
        <f t="shared" si="131"/>
        <v/>
      </c>
    </row>
    <row r="42" spans="1:95" x14ac:dyDescent="0.3">
      <c r="A42" s="141" t="s">
        <v>188</v>
      </c>
      <c r="B42" s="171" t="s">
        <v>180</v>
      </c>
      <c r="C42" s="262" t="s">
        <v>192</v>
      </c>
      <c r="D42" s="142">
        <v>0</v>
      </c>
      <c r="E42" s="143">
        <v>5</v>
      </c>
      <c r="F42" s="142">
        <v>0.08</v>
      </c>
      <c r="G42" s="142">
        <f t="shared" si="11"/>
        <v>5.0000799999999996</v>
      </c>
      <c r="H42" s="142">
        <v>0.14000000000000001</v>
      </c>
      <c r="I42" s="253" t="s">
        <v>189</v>
      </c>
      <c r="J42" s="142" t="s">
        <v>179</v>
      </c>
      <c r="K42" s="228"/>
      <c r="L42" s="230"/>
      <c r="M42" s="230"/>
      <c r="N42" s="230"/>
      <c r="O42" s="230"/>
      <c r="P42" s="230"/>
      <c r="Q42" s="231"/>
      <c r="R42" s="231"/>
      <c r="S42" s="231"/>
      <c r="T42" s="231"/>
      <c r="U42" s="231"/>
      <c r="V42" s="230"/>
      <c r="W42" s="230"/>
      <c r="X42" s="230"/>
      <c r="Y42" s="230"/>
      <c r="Z42" s="230"/>
      <c r="AB42" s="18" t="str">
        <f t="shared" si="72"/>
        <v/>
      </c>
      <c r="AC42" s="18" t="str">
        <f t="shared" si="73"/>
        <v/>
      </c>
      <c r="AD42" s="18" t="str">
        <f t="shared" si="74"/>
        <v/>
      </c>
      <c r="AE42" s="18" t="str">
        <f t="shared" si="75"/>
        <v/>
      </c>
      <c r="AF42" s="18" t="str">
        <f t="shared" si="76"/>
        <v/>
      </c>
      <c r="AG42" s="18" t="str">
        <f t="shared" si="77"/>
        <v/>
      </c>
      <c r="AH42" s="18" t="str">
        <f t="shared" si="78"/>
        <v/>
      </c>
      <c r="AI42" s="18" t="str">
        <f t="shared" si="79"/>
        <v/>
      </c>
      <c r="AJ42" s="18" t="str">
        <f t="shared" si="80"/>
        <v/>
      </c>
      <c r="AK42" s="18" t="str">
        <f t="shared" si="81"/>
        <v/>
      </c>
      <c r="AL42" s="18" t="str">
        <f t="shared" si="82"/>
        <v/>
      </c>
      <c r="AM42" s="18" t="str">
        <f t="shared" si="83"/>
        <v/>
      </c>
      <c r="AN42" s="18" t="str">
        <f t="shared" si="84"/>
        <v/>
      </c>
      <c r="AO42" s="18" t="str">
        <f t="shared" si="85"/>
        <v/>
      </c>
      <c r="AP42" s="18" t="str">
        <f t="shared" si="86"/>
        <v/>
      </c>
      <c r="AR42" s="18" t="str">
        <f t="shared" si="87"/>
        <v/>
      </c>
      <c r="AS42" s="18" t="str">
        <f t="shared" si="88"/>
        <v/>
      </c>
      <c r="AT42" s="18" t="str">
        <f t="shared" si="89"/>
        <v/>
      </c>
      <c r="AU42" s="18" t="str">
        <f t="shared" si="90"/>
        <v/>
      </c>
      <c r="AV42" s="18" t="str">
        <f t="shared" si="91"/>
        <v/>
      </c>
      <c r="AW42" s="18" t="str">
        <f t="shared" si="92"/>
        <v/>
      </c>
      <c r="AX42" s="18" t="str">
        <f t="shared" si="93"/>
        <v/>
      </c>
      <c r="AY42" s="18" t="str">
        <f t="shared" si="94"/>
        <v/>
      </c>
      <c r="AZ42" s="18" t="str">
        <f t="shared" si="95"/>
        <v/>
      </c>
      <c r="BA42" s="18" t="str">
        <f t="shared" si="96"/>
        <v/>
      </c>
      <c r="BB42" s="18" t="str">
        <f t="shared" si="97"/>
        <v/>
      </c>
      <c r="BC42" s="18" t="str">
        <f t="shared" si="98"/>
        <v/>
      </c>
      <c r="BD42" s="18" t="str">
        <f t="shared" si="99"/>
        <v/>
      </c>
      <c r="BE42" s="18" t="str">
        <f t="shared" si="100"/>
        <v/>
      </c>
      <c r="BF42" s="18" t="str">
        <f t="shared" si="101"/>
        <v/>
      </c>
      <c r="BH42" s="18" t="str">
        <f t="shared" si="102"/>
        <v/>
      </c>
      <c r="BI42" s="18" t="str">
        <f t="shared" si="103"/>
        <v/>
      </c>
      <c r="BJ42" s="18" t="str">
        <f t="shared" si="104"/>
        <v/>
      </c>
      <c r="BK42" s="18" t="str">
        <f t="shared" si="105"/>
        <v/>
      </c>
      <c r="BL42" s="18" t="str">
        <f t="shared" si="106"/>
        <v/>
      </c>
      <c r="BM42" s="18" t="str">
        <f t="shared" si="107"/>
        <v/>
      </c>
      <c r="BN42" s="18" t="str">
        <f t="shared" si="108"/>
        <v/>
      </c>
      <c r="BO42" s="18" t="str">
        <f t="shared" si="109"/>
        <v/>
      </c>
      <c r="BP42" s="18" t="str">
        <f t="shared" si="110"/>
        <v/>
      </c>
      <c r="BQ42" s="18" t="str">
        <f t="shared" si="111"/>
        <v/>
      </c>
      <c r="BR42" s="18" t="str">
        <f t="shared" si="112"/>
        <v/>
      </c>
      <c r="BS42" s="18" t="str">
        <f t="shared" si="113"/>
        <v/>
      </c>
      <c r="BT42" s="18" t="str">
        <f t="shared" si="114"/>
        <v/>
      </c>
      <c r="BU42" s="18" t="str">
        <f t="shared" si="115"/>
        <v/>
      </c>
      <c r="BV42" s="18" t="str">
        <f t="shared" si="116"/>
        <v/>
      </c>
      <c r="CC42" s="18" t="str">
        <f t="shared" si="117"/>
        <v/>
      </c>
      <c r="CD42" s="18" t="str">
        <f t="shared" si="118"/>
        <v/>
      </c>
      <c r="CE42" s="18" t="str">
        <f t="shared" si="119"/>
        <v/>
      </c>
      <c r="CF42" s="18" t="str">
        <f t="shared" si="120"/>
        <v/>
      </c>
      <c r="CG42" s="18" t="str">
        <f t="shared" si="121"/>
        <v/>
      </c>
      <c r="CH42" s="18" t="str">
        <f t="shared" si="122"/>
        <v/>
      </c>
      <c r="CI42" s="18" t="str">
        <f t="shared" si="123"/>
        <v/>
      </c>
      <c r="CJ42" s="18" t="str">
        <f t="shared" si="124"/>
        <v/>
      </c>
      <c r="CK42" s="18" t="str">
        <f t="shared" si="125"/>
        <v/>
      </c>
      <c r="CL42" s="18" t="str">
        <f t="shared" si="126"/>
        <v/>
      </c>
      <c r="CM42" s="18" t="str">
        <f t="shared" si="127"/>
        <v/>
      </c>
      <c r="CN42" s="18" t="str">
        <f t="shared" si="128"/>
        <v/>
      </c>
      <c r="CO42" s="18" t="str">
        <f t="shared" si="129"/>
        <v/>
      </c>
      <c r="CP42" s="18" t="str">
        <f t="shared" si="130"/>
        <v/>
      </c>
      <c r="CQ42" s="18" t="str">
        <f t="shared" si="131"/>
        <v/>
      </c>
    </row>
    <row r="43" spans="1:95" x14ac:dyDescent="0.3">
      <c r="A43" s="141" t="s">
        <v>188</v>
      </c>
      <c r="B43" s="171" t="s">
        <v>180</v>
      </c>
      <c r="C43" s="262" t="s">
        <v>192</v>
      </c>
      <c r="D43" s="142">
        <v>0</v>
      </c>
      <c r="E43" s="143">
        <v>6</v>
      </c>
      <c r="F43" s="142">
        <v>-0.04</v>
      </c>
      <c r="G43" s="142">
        <f t="shared" si="11"/>
        <v>5.9999599999999997</v>
      </c>
      <c r="H43" s="142">
        <v>0.1</v>
      </c>
      <c r="I43" s="253" t="s">
        <v>189</v>
      </c>
      <c r="J43" s="142" t="s">
        <v>179</v>
      </c>
      <c r="K43" s="228"/>
      <c r="L43" s="230"/>
      <c r="M43" s="230"/>
      <c r="N43" s="230"/>
      <c r="O43" s="230"/>
      <c r="P43" s="230"/>
      <c r="Q43" s="231"/>
      <c r="R43" s="231"/>
      <c r="S43" s="231"/>
      <c r="T43" s="231"/>
      <c r="U43" s="231"/>
      <c r="V43" s="230"/>
      <c r="W43" s="230"/>
      <c r="X43" s="230"/>
      <c r="Y43" s="230"/>
      <c r="Z43" s="230"/>
      <c r="AB43" s="18" t="str">
        <f t="shared" si="72"/>
        <v/>
      </c>
      <c r="AC43" s="18" t="str">
        <f t="shared" si="73"/>
        <v/>
      </c>
      <c r="AD43" s="18" t="str">
        <f t="shared" si="74"/>
        <v/>
      </c>
      <c r="AE43" s="18" t="str">
        <f t="shared" si="75"/>
        <v/>
      </c>
      <c r="AF43" s="18" t="str">
        <f t="shared" si="76"/>
        <v/>
      </c>
      <c r="AG43" s="18" t="str">
        <f t="shared" si="77"/>
        <v/>
      </c>
      <c r="AH43" s="18" t="str">
        <f t="shared" si="78"/>
        <v/>
      </c>
      <c r="AI43" s="18" t="str">
        <f t="shared" si="79"/>
        <v/>
      </c>
      <c r="AJ43" s="18" t="str">
        <f t="shared" si="80"/>
        <v/>
      </c>
      <c r="AK43" s="18" t="str">
        <f t="shared" si="81"/>
        <v/>
      </c>
      <c r="AL43" s="18" t="str">
        <f t="shared" si="82"/>
        <v/>
      </c>
      <c r="AM43" s="18" t="str">
        <f t="shared" si="83"/>
        <v/>
      </c>
      <c r="AN43" s="18" t="str">
        <f t="shared" si="84"/>
        <v/>
      </c>
      <c r="AO43" s="18" t="str">
        <f t="shared" si="85"/>
        <v/>
      </c>
      <c r="AP43" s="18" t="str">
        <f t="shared" si="86"/>
        <v/>
      </c>
      <c r="AR43" s="18" t="str">
        <f t="shared" si="87"/>
        <v/>
      </c>
      <c r="AS43" s="18" t="str">
        <f t="shared" si="88"/>
        <v/>
      </c>
      <c r="AT43" s="18" t="str">
        <f t="shared" si="89"/>
        <v/>
      </c>
      <c r="AU43" s="18" t="str">
        <f t="shared" si="90"/>
        <v/>
      </c>
      <c r="AV43" s="18" t="str">
        <f t="shared" si="91"/>
        <v/>
      </c>
      <c r="AW43" s="18" t="str">
        <f t="shared" si="92"/>
        <v/>
      </c>
      <c r="AX43" s="18" t="str">
        <f t="shared" si="93"/>
        <v/>
      </c>
      <c r="AY43" s="18" t="str">
        <f t="shared" si="94"/>
        <v/>
      </c>
      <c r="AZ43" s="18" t="str">
        <f t="shared" si="95"/>
        <v/>
      </c>
      <c r="BA43" s="18" t="str">
        <f t="shared" si="96"/>
        <v/>
      </c>
      <c r="BB43" s="18" t="str">
        <f t="shared" si="97"/>
        <v/>
      </c>
      <c r="BC43" s="18" t="str">
        <f t="shared" si="98"/>
        <v/>
      </c>
      <c r="BD43" s="18" t="str">
        <f t="shared" si="99"/>
        <v/>
      </c>
      <c r="BE43" s="18" t="str">
        <f t="shared" si="100"/>
        <v/>
      </c>
      <c r="BF43" s="18" t="str">
        <f t="shared" si="101"/>
        <v/>
      </c>
      <c r="BH43" s="18" t="str">
        <f t="shared" si="102"/>
        <v/>
      </c>
      <c r="BI43" s="18" t="str">
        <f t="shared" si="103"/>
        <v/>
      </c>
      <c r="BJ43" s="18" t="str">
        <f t="shared" si="104"/>
        <v/>
      </c>
      <c r="BK43" s="18" t="str">
        <f t="shared" si="105"/>
        <v/>
      </c>
      <c r="BL43" s="18" t="str">
        <f t="shared" si="106"/>
        <v/>
      </c>
      <c r="BM43" s="18" t="str">
        <f t="shared" si="107"/>
        <v/>
      </c>
      <c r="BN43" s="18" t="str">
        <f t="shared" si="108"/>
        <v/>
      </c>
      <c r="BO43" s="18" t="str">
        <f t="shared" si="109"/>
        <v/>
      </c>
      <c r="BP43" s="18" t="str">
        <f t="shared" si="110"/>
        <v/>
      </c>
      <c r="BQ43" s="18" t="str">
        <f t="shared" si="111"/>
        <v/>
      </c>
      <c r="BR43" s="18" t="str">
        <f t="shared" si="112"/>
        <v/>
      </c>
      <c r="BS43" s="18" t="str">
        <f t="shared" si="113"/>
        <v/>
      </c>
      <c r="BT43" s="18" t="str">
        <f t="shared" si="114"/>
        <v/>
      </c>
      <c r="BU43" s="18" t="str">
        <f t="shared" si="115"/>
        <v/>
      </c>
      <c r="BV43" s="18" t="str">
        <f t="shared" si="116"/>
        <v/>
      </c>
      <c r="CC43" s="18" t="str">
        <f t="shared" si="117"/>
        <v/>
      </c>
      <c r="CD43" s="18" t="str">
        <f t="shared" si="118"/>
        <v/>
      </c>
      <c r="CE43" s="18" t="str">
        <f t="shared" si="119"/>
        <v/>
      </c>
      <c r="CF43" s="18" t="str">
        <f t="shared" si="120"/>
        <v/>
      </c>
      <c r="CG43" s="18" t="str">
        <f t="shared" si="121"/>
        <v/>
      </c>
      <c r="CH43" s="18" t="str">
        <f t="shared" si="122"/>
        <v/>
      </c>
      <c r="CI43" s="18" t="str">
        <f t="shared" si="123"/>
        <v/>
      </c>
      <c r="CJ43" s="18" t="str">
        <f t="shared" si="124"/>
        <v/>
      </c>
      <c r="CK43" s="18" t="str">
        <f t="shared" si="125"/>
        <v/>
      </c>
      <c r="CL43" s="18" t="str">
        <f t="shared" si="126"/>
        <v/>
      </c>
      <c r="CM43" s="18" t="str">
        <f t="shared" si="127"/>
        <v/>
      </c>
      <c r="CN43" s="18" t="str">
        <f t="shared" si="128"/>
        <v/>
      </c>
      <c r="CO43" s="18" t="str">
        <f t="shared" si="129"/>
        <v/>
      </c>
      <c r="CP43" s="18" t="str">
        <f t="shared" si="130"/>
        <v/>
      </c>
      <c r="CQ43" s="18" t="str">
        <f t="shared" si="131"/>
        <v/>
      </c>
    </row>
    <row r="44" spans="1:95" x14ac:dyDescent="0.3">
      <c r="A44" s="141" t="s">
        <v>188</v>
      </c>
      <c r="B44" s="171" t="s">
        <v>180</v>
      </c>
      <c r="C44" s="262" t="s">
        <v>192</v>
      </c>
      <c r="D44" s="142">
        <v>0</v>
      </c>
      <c r="E44" s="143">
        <v>7</v>
      </c>
      <c r="F44" s="142">
        <v>-0.03</v>
      </c>
      <c r="G44" s="142">
        <f t="shared" si="11"/>
        <v>6.9999700000000002</v>
      </c>
      <c r="H44" s="142">
        <v>0.1</v>
      </c>
      <c r="I44" s="253" t="s">
        <v>189</v>
      </c>
      <c r="J44" s="142" t="s">
        <v>179</v>
      </c>
      <c r="K44" s="228"/>
      <c r="L44" s="230"/>
      <c r="M44" s="230"/>
      <c r="N44" s="230"/>
      <c r="O44" s="230"/>
      <c r="P44" s="230"/>
      <c r="Q44" s="231"/>
      <c r="R44" s="231"/>
      <c r="S44" s="231"/>
      <c r="T44" s="231"/>
      <c r="U44" s="231"/>
      <c r="V44" s="230"/>
      <c r="W44" s="230"/>
      <c r="X44" s="230"/>
      <c r="Y44" s="230"/>
      <c r="Z44" s="230"/>
      <c r="AB44" s="18" t="str">
        <f t="shared" si="72"/>
        <v/>
      </c>
      <c r="AC44" s="18" t="str">
        <f t="shared" si="73"/>
        <v/>
      </c>
      <c r="AD44" s="18" t="str">
        <f t="shared" si="74"/>
        <v/>
      </c>
      <c r="AE44" s="18" t="str">
        <f t="shared" si="75"/>
        <v/>
      </c>
      <c r="AF44" s="18" t="str">
        <f t="shared" si="76"/>
        <v/>
      </c>
      <c r="AG44" s="18" t="str">
        <f t="shared" si="77"/>
        <v/>
      </c>
      <c r="AH44" s="18" t="str">
        <f t="shared" si="78"/>
        <v/>
      </c>
      <c r="AI44" s="18" t="str">
        <f t="shared" si="79"/>
        <v/>
      </c>
      <c r="AJ44" s="18" t="str">
        <f t="shared" si="80"/>
        <v/>
      </c>
      <c r="AK44" s="18" t="str">
        <f t="shared" si="81"/>
        <v/>
      </c>
      <c r="AL44" s="18" t="str">
        <f t="shared" si="82"/>
        <v/>
      </c>
      <c r="AM44" s="18" t="str">
        <f t="shared" si="83"/>
        <v/>
      </c>
      <c r="AN44" s="18" t="str">
        <f t="shared" si="84"/>
        <v/>
      </c>
      <c r="AO44" s="18" t="str">
        <f t="shared" si="85"/>
        <v/>
      </c>
      <c r="AP44" s="18" t="str">
        <f t="shared" si="86"/>
        <v/>
      </c>
      <c r="AR44" s="18" t="str">
        <f t="shared" si="87"/>
        <v/>
      </c>
      <c r="AS44" s="18" t="str">
        <f t="shared" si="88"/>
        <v/>
      </c>
      <c r="AT44" s="18" t="str">
        <f t="shared" si="89"/>
        <v/>
      </c>
      <c r="AU44" s="18" t="str">
        <f t="shared" si="90"/>
        <v/>
      </c>
      <c r="AV44" s="18" t="str">
        <f t="shared" si="91"/>
        <v/>
      </c>
      <c r="AW44" s="18" t="str">
        <f t="shared" si="92"/>
        <v/>
      </c>
      <c r="AX44" s="18" t="str">
        <f t="shared" si="93"/>
        <v/>
      </c>
      <c r="AY44" s="18" t="str">
        <f t="shared" si="94"/>
        <v/>
      </c>
      <c r="AZ44" s="18" t="str">
        <f t="shared" si="95"/>
        <v/>
      </c>
      <c r="BA44" s="18" t="str">
        <f t="shared" si="96"/>
        <v/>
      </c>
      <c r="BB44" s="18" t="str">
        <f t="shared" si="97"/>
        <v/>
      </c>
      <c r="BC44" s="18" t="str">
        <f t="shared" si="98"/>
        <v/>
      </c>
      <c r="BD44" s="18" t="str">
        <f t="shared" si="99"/>
        <v/>
      </c>
      <c r="BE44" s="18" t="str">
        <f t="shared" si="100"/>
        <v/>
      </c>
      <c r="BF44" s="18" t="str">
        <f t="shared" si="101"/>
        <v/>
      </c>
      <c r="BH44" s="18" t="str">
        <f t="shared" si="102"/>
        <v/>
      </c>
      <c r="BI44" s="18" t="str">
        <f t="shared" si="103"/>
        <v/>
      </c>
      <c r="BJ44" s="18" t="str">
        <f t="shared" si="104"/>
        <v/>
      </c>
      <c r="BK44" s="18" t="str">
        <f t="shared" si="105"/>
        <v/>
      </c>
      <c r="BL44" s="18" t="str">
        <f t="shared" si="106"/>
        <v/>
      </c>
      <c r="BM44" s="18" t="str">
        <f t="shared" si="107"/>
        <v/>
      </c>
      <c r="BN44" s="18" t="str">
        <f t="shared" si="108"/>
        <v/>
      </c>
      <c r="BO44" s="18" t="str">
        <f t="shared" si="109"/>
        <v/>
      </c>
      <c r="BP44" s="18" t="str">
        <f t="shared" si="110"/>
        <v/>
      </c>
      <c r="BQ44" s="18" t="str">
        <f t="shared" si="111"/>
        <v/>
      </c>
      <c r="BR44" s="18" t="str">
        <f t="shared" si="112"/>
        <v/>
      </c>
      <c r="BS44" s="18" t="str">
        <f t="shared" si="113"/>
        <v/>
      </c>
      <c r="BT44" s="18" t="str">
        <f t="shared" si="114"/>
        <v/>
      </c>
      <c r="BU44" s="18" t="str">
        <f t="shared" si="115"/>
        <v/>
      </c>
      <c r="BV44" s="18" t="str">
        <f t="shared" si="116"/>
        <v/>
      </c>
      <c r="CC44" s="18" t="str">
        <f t="shared" si="117"/>
        <v/>
      </c>
      <c r="CD44" s="18" t="str">
        <f t="shared" si="118"/>
        <v/>
      </c>
      <c r="CE44" s="18" t="str">
        <f t="shared" si="119"/>
        <v/>
      </c>
      <c r="CF44" s="18" t="str">
        <f t="shared" si="120"/>
        <v/>
      </c>
      <c r="CG44" s="18" t="str">
        <f t="shared" si="121"/>
        <v/>
      </c>
      <c r="CH44" s="18" t="str">
        <f t="shared" si="122"/>
        <v/>
      </c>
      <c r="CI44" s="18" t="str">
        <f t="shared" si="123"/>
        <v/>
      </c>
      <c r="CJ44" s="18" t="str">
        <f t="shared" si="124"/>
        <v/>
      </c>
      <c r="CK44" s="18" t="str">
        <f t="shared" si="125"/>
        <v/>
      </c>
      <c r="CL44" s="18" t="str">
        <f t="shared" si="126"/>
        <v/>
      </c>
      <c r="CM44" s="18" t="str">
        <f t="shared" si="127"/>
        <v/>
      </c>
      <c r="CN44" s="18" t="str">
        <f t="shared" si="128"/>
        <v/>
      </c>
      <c r="CO44" s="18" t="str">
        <f t="shared" si="129"/>
        <v/>
      </c>
      <c r="CP44" s="18" t="str">
        <f t="shared" si="130"/>
        <v/>
      </c>
      <c r="CQ44" s="18" t="str">
        <f t="shared" si="131"/>
        <v/>
      </c>
    </row>
    <row r="45" spans="1:95" x14ac:dyDescent="0.3">
      <c r="A45" s="141" t="s">
        <v>188</v>
      </c>
      <c r="B45" s="171" t="s">
        <v>180</v>
      </c>
      <c r="C45" s="262" t="s">
        <v>192</v>
      </c>
      <c r="D45" s="142">
        <v>0</v>
      </c>
      <c r="E45" s="143">
        <v>8</v>
      </c>
      <c r="F45" s="144">
        <v>-0.1</v>
      </c>
      <c r="G45" s="142">
        <f t="shared" si="11"/>
        <v>7.9999000000000002</v>
      </c>
      <c r="H45" s="142">
        <v>0.11</v>
      </c>
      <c r="I45" s="253" t="s">
        <v>189</v>
      </c>
      <c r="J45" s="142" t="s">
        <v>179</v>
      </c>
      <c r="K45" s="228"/>
      <c r="L45" s="230"/>
      <c r="M45" s="230"/>
      <c r="N45" s="230"/>
      <c r="O45" s="230"/>
      <c r="P45" s="230"/>
      <c r="Q45" s="231"/>
      <c r="R45" s="231"/>
      <c r="S45" s="231"/>
      <c r="T45" s="231"/>
      <c r="U45" s="231"/>
      <c r="V45" s="230"/>
      <c r="W45" s="230"/>
      <c r="X45" s="230"/>
      <c r="Y45" s="230"/>
      <c r="Z45" s="230"/>
      <c r="AB45" s="18" t="str">
        <f t="shared" si="72"/>
        <v/>
      </c>
      <c r="AC45" s="18" t="str">
        <f t="shared" si="73"/>
        <v/>
      </c>
      <c r="AD45" s="18" t="str">
        <f t="shared" si="74"/>
        <v/>
      </c>
      <c r="AE45" s="18" t="str">
        <f t="shared" si="75"/>
        <v/>
      </c>
      <c r="AF45" s="18" t="str">
        <f t="shared" si="76"/>
        <v/>
      </c>
      <c r="AG45" s="18" t="str">
        <f t="shared" si="77"/>
        <v/>
      </c>
      <c r="AH45" s="18" t="str">
        <f t="shared" si="78"/>
        <v/>
      </c>
      <c r="AI45" s="18" t="str">
        <f t="shared" si="79"/>
        <v/>
      </c>
      <c r="AJ45" s="18" t="str">
        <f t="shared" si="80"/>
        <v/>
      </c>
      <c r="AK45" s="18" t="str">
        <f t="shared" si="81"/>
        <v/>
      </c>
      <c r="AL45" s="18" t="str">
        <f t="shared" si="82"/>
        <v/>
      </c>
      <c r="AM45" s="18" t="str">
        <f t="shared" si="83"/>
        <v/>
      </c>
      <c r="AN45" s="18" t="str">
        <f t="shared" si="84"/>
        <v/>
      </c>
      <c r="AO45" s="18" t="str">
        <f t="shared" si="85"/>
        <v/>
      </c>
      <c r="AP45" s="18" t="str">
        <f t="shared" si="86"/>
        <v/>
      </c>
      <c r="AR45" s="18" t="str">
        <f t="shared" si="87"/>
        <v/>
      </c>
      <c r="AS45" s="18" t="str">
        <f t="shared" si="88"/>
        <v/>
      </c>
      <c r="AT45" s="18" t="str">
        <f t="shared" si="89"/>
        <v/>
      </c>
      <c r="AU45" s="18" t="str">
        <f t="shared" si="90"/>
        <v/>
      </c>
      <c r="AV45" s="18" t="str">
        <f t="shared" si="91"/>
        <v/>
      </c>
      <c r="AW45" s="18" t="str">
        <f t="shared" si="92"/>
        <v/>
      </c>
      <c r="AX45" s="18" t="str">
        <f t="shared" si="93"/>
        <v/>
      </c>
      <c r="AY45" s="18" t="str">
        <f t="shared" si="94"/>
        <v/>
      </c>
      <c r="AZ45" s="18" t="str">
        <f t="shared" si="95"/>
        <v/>
      </c>
      <c r="BA45" s="18" t="str">
        <f t="shared" si="96"/>
        <v/>
      </c>
      <c r="BB45" s="18" t="str">
        <f t="shared" si="97"/>
        <v/>
      </c>
      <c r="BC45" s="18" t="str">
        <f t="shared" si="98"/>
        <v/>
      </c>
      <c r="BD45" s="18" t="str">
        <f t="shared" si="99"/>
        <v/>
      </c>
      <c r="BE45" s="18" t="str">
        <f t="shared" si="100"/>
        <v/>
      </c>
      <c r="BF45" s="18" t="str">
        <f t="shared" si="101"/>
        <v/>
      </c>
      <c r="BH45" s="18" t="str">
        <f t="shared" si="102"/>
        <v/>
      </c>
      <c r="BI45" s="18" t="str">
        <f t="shared" si="103"/>
        <v/>
      </c>
      <c r="BJ45" s="18" t="str">
        <f t="shared" si="104"/>
        <v/>
      </c>
      <c r="BK45" s="18" t="str">
        <f t="shared" si="105"/>
        <v/>
      </c>
      <c r="BL45" s="18" t="str">
        <f t="shared" si="106"/>
        <v/>
      </c>
      <c r="BM45" s="18" t="str">
        <f t="shared" si="107"/>
        <v/>
      </c>
      <c r="BN45" s="18" t="str">
        <f t="shared" si="108"/>
        <v/>
      </c>
      <c r="BO45" s="18" t="str">
        <f t="shared" si="109"/>
        <v/>
      </c>
      <c r="BP45" s="18" t="str">
        <f t="shared" si="110"/>
        <v/>
      </c>
      <c r="BQ45" s="18" t="str">
        <f t="shared" si="111"/>
        <v/>
      </c>
      <c r="BR45" s="18" t="str">
        <f t="shared" si="112"/>
        <v/>
      </c>
      <c r="BS45" s="18" t="str">
        <f t="shared" si="113"/>
        <v/>
      </c>
      <c r="BT45" s="18" t="str">
        <f t="shared" si="114"/>
        <v/>
      </c>
      <c r="BU45" s="18" t="str">
        <f t="shared" si="115"/>
        <v/>
      </c>
      <c r="BV45" s="18" t="str">
        <f t="shared" si="116"/>
        <v/>
      </c>
      <c r="CC45" s="18" t="str">
        <f t="shared" si="117"/>
        <v/>
      </c>
      <c r="CD45" s="18" t="str">
        <f t="shared" si="118"/>
        <v/>
      </c>
      <c r="CE45" s="18" t="str">
        <f t="shared" si="119"/>
        <v/>
      </c>
      <c r="CF45" s="18" t="str">
        <f t="shared" si="120"/>
        <v/>
      </c>
      <c r="CG45" s="18" t="str">
        <f t="shared" si="121"/>
        <v/>
      </c>
      <c r="CH45" s="18" t="str">
        <f t="shared" si="122"/>
        <v/>
      </c>
      <c r="CI45" s="18" t="str">
        <f t="shared" si="123"/>
        <v/>
      </c>
      <c r="CJ45" s="18" t="str">
        <f t="shared" si="124"/>
        <v/>
      </c>
      <c r="CK45" s="18" t="str">
        <f t="shared" si="125"/>
        <v/>
      </c>
      <c r="CL45" s="18" t="str">
        <f t="shared" si="126"/>
        <v/>
      </c>
      <c r="CM45" s="18" t="str">
        <f t="shared" si="127"/>
        <v/>
      </c>
      <c r="CN45" s="18" t="str">
        <f t="shared" si="128"/>
        <v/>
      </c>
      <c r="CO45" s="18" t="str">
        <f t="shared" si="129"/>
        <v/>
      </c>
      <c r="CP45" s="18" t="str">
        <f t="shared" si="130"/>
        <v/>
      </c>
      <c r="CQ45" s="18" t="str">
        <f t="shared" si="131"/>
        <v/>
      </c>
    </row>
    <row r="46" spans="1:95" x14ac:dyDescent="0.3">
      <c r="A46" s="141" t="s">
        <v>188</v>
      </c>
      <c r="B46" s="171" t="s">
        <v>180</v>
      </c>
      <c r="C46" s="262" t="s">
        <v>192</v>
      </c>
      <c r="D46" s="142">
        <v>0</v>
      </c>
      <c r="E46" s="143">
        <v>9</v>
      </c>
      <c r="F46" s="144">
        <v>-0.03</v>
      </c>
      <c r="G46" s="142">
        <f t="shared" si="11"/>
        <v>8.9999699999999994</v>
      </c>
      <c r="H46" s="142">
        <v>0.1</v>
      </c>
      <c r="I46" s="253" t="s">
        <v>189</v>
      </c>
      <c r="J46" s="142" t="s">
        <v>179</v>
      </c>
      <c r="K46" s="228"/>
      <c r="L46" s="230"/>
      <c r="M46" s="230"/>
      <c r="N46" s="230"/>
      <c r="O46" s="230"/>
      <c r="P46" s="230"/>
      <c r="Q46" s="231"/>
      <c r="R46" s="231"/>
      <c r="S46" s="231"/>
      <c r="T46" s="231"/>
      <c r="U46" s="231"/>
      <c r="V46" s="230"/>
      <c r="W46" s="230"/>
      <c r="X46" s="230"/>
      <c r="Y46" s="230"/>
      <c r="Z46" s="230"/>
      <c r="AB46" s="18" t="str">
        <f t="shared" si="72"/>
        <v/>
      </c>
      <c r="AC46" s="18" t="str">
        <f t="shared" si="73"/>
        <v/>
      </c>
      <c r="AD46" s="18" t="str">
        <f t="shared" si="74"/>
        <v/>
      </c>
      <c r="AE46" s="18" t="str">
        <f t="shared" si="75"/>
        <v/>
      </c>
      <c r="AF46" s="18" t="str">
        <f t="shared" si="76"/>
        <v/>
      </c>
      <c r="AG46" s="18" t="str">
        <f t="shared" si="77"/>
        <v/>
      </c>
      <c r="AH46" s="18" t="str">
        <f t="shared" si="78"/>
        <v/>
      </c>
      <c r="AI46" s="18" t="str">
        <f t="shared" si="79"/>
        <v/>
      </c>
      <c r="AJ46" s="18" t="str">
        <f t="shared" si="80"/>
        <v/>
      </c>
      <c r="AK46" s="18" t="str">
        <f t="shared" si="81"/>
        <v/>
      </c>
      <c r="AL46" s="18" t="str">
        <f t="shared" si="82"/>
        <v/>
      </c>
      <c r="AM46" s="18" t="str">
        <f t="shared" si="83"/>
        <v/>
      </c>
      <c r="AN46" s="18" t="str">
        <f t="shared" si="84"/>
        <v/>
      </c>
      <c r="AO46" s="18" t="str">
        <f t="shared" si="85"/>
        <v/>
      </c>
      <c r="AP46" s="18" t="str">
        <f t="shared" si="86"/>
        <v/>
      </c>
      <c r="AR46" s="18" t="str">
        <f t="shared" si="87"/>
        <v/>
      </c>
      <c r="AS46" s="18" t="str">
        <f t="shared" si="88"/>
        <v/>
      </c>
      <c r="AT46" s="18" t="str">
        <f t="shared" si="89"/>
        <v/>
      </c>
      <c r="AU46" s="18" t="str">
        <f t="shared" si="90"/>
        <v/>
      </c>
      <c r="AV46" s="18" t="str">
        <f t="shared" si="91"/>
        <v/>
      </c>
      <c r="AW46" s="18" t="str">
        <f t="shared" si="92"/>
        <v/>
      </c>
      <c r="AX46" s="18" t="str">
        <f t="shared" si="93"/>
        <v/>
      </c>
      <c r="AY46" s="18" t="str">
        <f t="shared" si="94"/>
        <v/>
      </c>
      <c r="AZ46" s="18" t="str">
        <f t="shared" si="95"/>
        <v/>
      </c>
      <c r="BA46" s="18" t="str">
        <f t="shared" si="96"/>
        <v/>
      </c>
      <c r="BB46" s="18" t="str">
        <f t="shared" si="97"/>
        <v/>
      </c>
      <c r="BC46" s="18" t="str">
        <f t="shared" si="98"/>
        <v/>
      </c>
      <c r="BD46" s="18" t="str">
        <f t="shared" si="99"/>
        <v/>
      </c>
      <c r="BE46" s="18" t="str">
        <f t="shared" si="100"/>
        <v/>
      </c>
      <c r="BF46" s="18" t="str">
        <f t="shared" si="101"/>
        <v/>
      </c>
      <c r="BH46" s="18" t="str">
        <f t="shared" si="102"/>
        <v/>
      </c>
      <c r="BI46" s="18" t="str">
        <f t="shared" si="103"/>
        <v/>
      </c>
      <c r="BJ46" s="18" t="str">
        <f t="shared" si="104"/>
        <v/>
      </c>
      <c r="BK46" s="18" t="str">
        <f t="shared" si="105"/>
        <v/>
      </c>
      <c r="BL46" s="18" t="str">
        <f t="shared" si="106"/>
        <v/>
      </c>
      <c r="BM46" s="18" t="str">
        <f t="shared" si="107"/>
        <v/>
      </c>
      <c r="BN46" s="18" t="str">
        <f t="shared" si="108"/>
        <v/>
      </c>
      <c r="BO46" s="18" t="str">
        <f t="shared" si="109"/>
        <v/>
      </c>
      <c r="BP46" s="18" t="str">
        <f t="shared" si="110"/>
        <v/>
      </c>
      <c r="BQ46" s="18" t="str">
        <f t="shared" si="111"/>
        <v/>
      </c>
      <c r="BR46" s="18" t="str">
        <f t="shared" si="112"/>
        <v/>
      </c>
      <c r="BS46" s="18" t="str">
        <f t="shared" si="113"/>
        <v/>
      </c>
      <c r="BT46" s="18" t="str">
        <f t="shared" si="114"/>
        <v/>
      </c>
      <c r="BU46" s="18" t="str">
        <f t="shared" si="115"/>
        <v/>
      </c>
      <c r="BV46" s="18" t="str">
        <f t="shared" si="116"/>
        <v/>
      </c>
      <c r="CC46" s="18" t="str">
        <f t="shared" si="117"/>
        <v/>
      </c>
      <c r="CD46" s="18" t="str">
        <f t="shared" si="118"/>
        <v/>
      </c>
      <c r="CE46" s="18" t="str">
        <f t="shared" si="119"/>
        <v/>
      </c>
      <c r="CF46" s="18" t="str">
        <f t="shared" si="120"/>
        <v/>
      </c>
      <c r="CG46" s="18" t="str">
        <f t="shared" si="121"/>
        <v/>
      </c>
      <c r="CH46" s="18" t="str">
        <f t="shared" si="122"/>
        <v/>
      </c>
      <c r="CI46" s="18" t="str">
        <f t="shared" si="123"/>
        <v/>
      </c>
      <c r="CJ46" s="18" t="str">
        <f t="shared" si="124"/>
        <v/>
      </c>
      <c r="CK46" s="18" t="str">
        <f t="shared" si="125"/>
        <v/>
      </c>
      <c r="CL46" s="18" t="str">
        <f t="shared" si="126"/>
        <v/>
      </c>
      <c r="CM46" s="18" t="str">
        <f t="shared" si="127"/>
        <v/>
      </c>
      <c r="CN46" s="18" t="str">
        <f t="shared" si="128"/>
        <v/>
      </c>
      <c r="CO46" s="18" t="str">
        <f t="shared" si="129"/>
        <v/>
      </c>
      <c r="CP46" s="18" t="str">
        <f t="shared" si="130"/>
        <v/>
      </c>
      <c r="CQ46" s="18" t="str">
        <f t="shared" si="131"/>
        <v/>
      </c>
    </row>
    <row r="47" spans="1:95" x14ac:dyDescent="0.3">
      <c r="A47" s="141" t="s">
        <v>188</v>
      </c>
      <c r="B47" s="171" t="s">
        <v>180</v>
      </c>
      <c r="C47" s="262" t="s">
        <v>192</v>
      </c>
      <c r="D47" s="142">
        <v>0</v>
      </c>
      <c r="E47" s="143">
        <v>10</v>
      </c>
      <c r="F47" s="144">
        <v>-7.0000000000000007E-2</v>
      </c>
      <c r="G47" s="142">
        <f t="shared" si="11"/>
        <v>9.9999300000000009</v>
      </c>
      <c r="H47" s="142">
        <v>0.1</v>
      </c>
      <c r="I47" s="253" t="s">
        <v>189</v>
      </c>
      <c r="J47" s="142" t="s">
        <v>179</v>
      </c>
      <c r="K47" s="228"/>
      <c r="L47" s="230"/>
      <c r="M47" s="230"/>
      <c r="N47" s="230"/>
      <c r="O47" s="230"/>
      <c r="P47" s="230"/>
      <c r="Q47" s="231"/>
      <c r="R47" s="231"/>
      <c r="S47" s="231"/>
      <c r="T47" s="231"/>
      <c r="U47" s="231"/>
      <c r="V47" s="230"/>
      <c r="W47" s="230"/>
      <c r="X47" s="230"/>
      <c r="Y47" s="230"/>
      <c r="Z47" s="230"/>
      <c r="AB47" s="18" t="str">
        <f t="shared" si="72"/>
        <v/>
      </c>
      <c r="AC47" s="18" t="str">
        <f t="shared" si="73"/>
        <v/>
      </c>
      <c r="AD47" s="18" t="str">
        <f t="shared" si="74"/>
        <v/>
      </c>
      <c r="AE47" s="18" t="str">
        <f t="shared" si="75"/>
        <v/>
      </c>
      <c r="AF47" s="18" t="str">
        <f t="shared" si="76"/>
        <v/>
      </c>
      <c r="AG47" s="18" t="str">
        <f t="shared" si="77"/>
        <v/>
      </c>
      <c r="AH47" s="18" t="str">
        <f t="shared" si="78"/>
        <v/>
      </c>
      <c r="AI47" s="18" t="str">
        <f t="shared" si="79"/>
        <v/>
      </c>
      <c r="AJ47" s="18" t="str">
        <f t="shared" si="80"/>
        <v/>
      </c>
      <c r="AK47" s="18" t="str">
        <f t="shared" si="81"/>
        <v/>
      </c>
      <c r="AL47" s="18" t="str">
        <f t="shared" si="82"/>
        <v/>
      </c>
      <c r="AM47" s="18" t="str">
        <f t="shared" si="83"/>
        <v/>
      </c>
      <c r="AN47" s="18" t="str">
        <f t="shared" si="84"/>
        <v/>
      </c>
      <c r="AO47" s="18" t="str">
        <f t="shared" si="85"/>
        <v/>
      </c>
      <c r="AP47" s="18" t="str">
        <f t="shared" si="86"/>
        <v/>
      </c>
      <c r="AR47" s="18" t="str">
        <f t="shared" si="87"/>
        <v/>
      </c>
      <c r="AS47" s="18" t="str">
        <f t="shared" si="88"/>
        <v/>
      </c>
      <c r="AT47" s="18" t="str">
        <f t="shared" si="89"/>
        <v/>
      </c>
      <c r="AU47" s="18" t="str">
        <f t="shared" si="90"/>
        <v/>
      </c>
      <c r="AV47" s="18" t="str">
        <f t="shared" si="91"/>
        <v/>
      </c>
      <c r="AW47" s="18" t="str">
        <f t="shared" si="92"/>
        <v/>
      </c>
      <c r="AX47" s="18" t="str">
        <f t="shared" si="93"/>
        <v/>
      </c>
      <c r="AY47" s="18" t="str">
        <f t="shared" si="94"/>
        <v/>
      </c>
      <c r="AZ47" s="18" t="str">
        <f t="shared" si="95"/>
        <v/>
      </c>
      <c r="BA47" s="18" t="str">
        <f t="shared" si="96"/>
        <v/>
      </c>
      <c r="BB47" s="18" t="str">
        <f t="shared" si="97"/>
        <v/>
      </c>
      <c r="BC47" s="18" t="str">
        <f t="shared" si="98"/>
        <v/>
      </c>
      <c r="BD47" s="18" t="str">
        <f t="shared" si="99"/>
        <v/>
      </c>
      <c r="BE47" s="18" t="str">
        <f t="shared" si="100"/>
        <v/>
      </c>
      <c r="BF47" s="18" t="str">
        <f t="shared" si="101"/>
        <v/>
      </c>
      <c r="BH47" s="18" t="str">
        <f t="shared" si="102"/>
        <v/>
      </c>
      <c r="BI47" s="18" t="str">
        <f t="shared" si="103"/>
        <v/>
      </c>
      <c r="BJ47" s="18" t="str">
        <f t="shared" si="104"/>
        <v/>
      </c>
      <c r="BK47" s="18" t="str">
        <f t="shared" si="105"/>
        <v/>
      </c>
      <c r="BL47" s="18" t="str">
        <f t="shared" si="106"/>
        <v/>
      </c>
      <c r="BM47" s="18" t="str">
        <f t="shared" si="107"/>
        <v/>
      </c>
      <c r="BN47" s="18" t="str">
        <f t="shared" si="108"/>
        <v/>
      </c>
      <c r="BO47" s="18" t="str">
        <f t="shared" si="109"/>
        <v/>
      </c>
      <c r="BP47" s="18" t="str">
        <f t="shared" si="110"/>
        <v/>
      </c>
      <c r="BQ47" s="18" t="str">
        <f t="shared" si="111"/>
        <v/>
      </c>
      <c r="BR47" s="18" t="str">
        <f t="shared" si="112"/>
        <v/>
      </c>
      <c r="BS47" s="18" t="str">
        <f t="shared" si="113"/>
        <v/>
      </c>
      <c r="BT47" s="18" t="str">
        <f t="shared" si="114"/>
        <v/>
      </c>
      <c r="BU47" s="18" t="str">
        <f t="shared" si="115"/>
        <v/>
      </c>
      <c r="BV47" s="18" t="str">
        <f t="shared" si="116"/>
        <v/>
      </c>
      <c r="CC47" s="18" t="str">
        <f t="shared" si="117"/>
        <v/>
      </c>
      <c r="CD47" s="18" t="str">
        <f t="shared" si="118"/>
        <v/>
      </c>
      <c r="CE47" s="18" t="str">
        <f t="shared" si="119"/>
        <v/>
      </c>
      <c r="CF47" s="18" t="str">
        <f t="shared" si="120"/>
        <v/>
      </c>
      <c r="CG47" s="18" t="str">
        <f t="shared" si="121"/>
        <v/>
      </c>
      <c r="CH47" s="18" t="str">
        <f t="shared" si="122"/>
        <v/>
      </c>
      <c r="CI47" s="18" t="str">
        <f t="shared" si="123"/>
        <v/>
      </c>
      <c r="CJ47" s="18" t="str">
        <f t="shared" si="124"/>
        <v/>
      </c>
      <c r="CK47" s="18" t="str">
        <f t="shared" si="125"/>
        <v/>
      </c>
      <c r="CL47" s="18" t="str">
        <f t="shared" si="126"/>
        <v/>
      </c>
      <c r="CM47" s="18" t="str">
        <f t="shared" si="127"/>
        <v/>
      </c>
      <c r="CN47" s="18" t="str">
        <f t="shared" si="128"/>
        <v/>
      </c>
      <c r="CO47" s="18" t="str">
        <f t="shared" si="129"/>
        <v/>
      </c>
      <c r="CP47" s="18" t="str">
        <f t="shared" si="130"/>
        <v/>
      </c>
      <c r="CQ47" s="18" t="str">
        <f t="shared" si="131"/>
        <v/>
      </c>
    </row>
    <row r="48" spans="1:95" x14ac:dyDescent="0.3">
      <c r="A48" s="141" t="s">
        <v>188</v>
      </c>
      <c r="B48" s="171" t="s">
        <v>180</v>
      </c>
      <c r="C48" s="262" t="s">
        <v>192</v>
      </c>
      <c r="D48" s="142">
        <v>0</v>
      </c>
      <c r="E48" s="143">
        <v>15</v>
      </c>
      <c r="F48" s="144">
        <v>-0.08</v>
      </c>
      <c r="G48" s="142">
        <f t="shared" si="11"/>
        <v>14.999919999999999</v>
      </c>
      <c r="H48" s="142">
        <v>0.11</v>
      </c>
      <c r="I48" s="253" t="s">
        <v>189</v>
      </c>
      <c r="J48" s="142" t="s">
        <v>179</v>
      </c>
      <c r="K48" s="228"/>
      <c r="L48" s="230"/>
      <c r="M48" s="230"/>
      <c r="N48" s="230"/>
      <c r="O48" s="230"/>
      <c r="P48" s="230"/>
      <c r="Q48" s="231"/>
      <c r="R48" s="231"/>
      <c r="S48" s="231"/>
      <c r="T48" s="231"/>
      <c r="U48" s="231"/>
      <c r="V48" s="230"/>
      <c r="W48" s="230"/>
      <c r="X48" s="230"/>
      <c r="Y48" s="230"/>
      <c r="Z48" s="230"/>
      <c r="AB48" s="18" t="str">
        <f t="shared" si="72"/>
        <v/>
      </c>
      <c r="AC48" s="18" t="str">
        <f t="shared" si="73"/>
        <v/>
      </c>
      <c r="AD48" s="18" t="str">
        <f t="shared" si="74"/>
        <v/>
      </c>
      <c r="AE48" s="18" t="str">
        <f t="shared" si="75"/>
        <v/>
      </c>
      <c r="AF48" s="18" t="str">
        <f t="shared" si="76"/>
        <v/>
      </c>
      <c r="AG48" s="18" t="str">
        <f t="shared" si="77"/>
        <v/>
      </c>
      <c r="AH48" s="18" t="str">
        <f t="shared" si="78"/>
        <v/>
      </c>
      <c r="AI48" s="18" t="str">
        <f t="shared" si="79"/>
        <v/>
      </c>
      <c r="AJ48" s="18" t="str">
        <f t="shared" si="80"/>
        <v/>
      </c>
      <c r="AK48" s="18" t="str">
        <f t="shared" si="81"/>
        <v/>
      </c>
      <c r="AL48" s="18" t="str">
        <f t="shared" si="82"/>
        <v/>
      </c>
      <c r="AM48" s="18" t="str">
        <f t="shared" si="83"/>
        <v/>
      </c>
      <c r="AN48" s="18" t="str">
        <f t="shared" si="84"/>
        <v/>
      </c>
      <c r="AO48" s="18" t="str">
        <f t="shared" si="85"/>
        <v/>
      </c>
      <c r="AP48" s="18" t="str">
        <f t="shared" si="86"/>
        <v/>
      </c>
      <c r="AR48" s="18" t="str">
        <f t="shared" si="87"/>
        <v/>
      </c>
      <c r="AS48" s="18" t="str">
        <f t="shared" si="88"/>
        <v/>
      </c>
      <c r="AT48" s="18" t="str">
        <f t="shared" si="89"/>
        <v/>
      </c>
      <c r="AU48" s="18" t="str">
        <f t="shared" si="90"/>
        <v/>
      </c>
      <c r="AV48" s="18" t="str">
        <f t="shared" si="91"/>
        <v/>
      </c>
      <c r="AW48" s="18" t="str">
        <f t="shared" si="92"/>
        <v/>
      </c>
      <c r="AX48" s="18" t="str">
        <f t="shared" si="93"/>
        <v/>
      </c>
      <c r="AY48" s="18" t="str">
        <f t="shared" si="94"/>
        <v/>
      </c>
      <c r="AZ48" s="18" t="str">
        <f t="shared" si="95"/>
        <v/>
      </c>
      <c r="BA48" s="18" t="str">
        <f t="shared" si="96"/>
        <v/>
      </c>
      <c r="BB48" s="18" t="str">
        <f t="shared" si="97"/>
        <v/>
      </c>
      <c r="BC48" s="18" t="str">
        <f t="shared" si="98"/>
        <v/>
      </c>
      <c r="BD48" s="18" t="str">
        <f t="shared" si="99"/>
        <v/>
      </c>
      <c r="BE48" s="18" t="str">
        <f t="shared" si="100"/>
        <v/>
      </c>
      <c r="BF48" s="18" t="str">
        <f t="shared" si="101"/>
        <v/>
      </c>
      <c r="BH48" s="18" t="str">
        <f t="shared" si="102"/>
        <v/>
      </c>
      <c r="BI48" s="18" t="str">
        <f t="shared" si="103"/>
        <v/>
      </c>
      <c r="BJ48" s="18" t="str">
        <f t="shared" si="104"/>
        <v/>
      </c>
      <c r="BK48" s="18" t="str">
        <f t="shared" si="105"/>
        <v/>
      </c>
      <c r="BL48" s="18" t="str">
        <f t="shared" si="106"/>
        <v/>
      </c>
      <c r="BM48" s="18" t="str">
        <f t="shared" si="107"/>
        <v/>
      </c>
      <c r="BN48" s="18" t="str">
        <f t="shared" si="108"/>
        <v/>
      </c>
      <c r="BO48" s="18" t="str">
        <f t="shared" si="109"/>
        <v/>
      </c>
      <c r="BP48" s="18" t="str">
        <f t="shared" si="110"/>
        <v/>
      </c>
      <c r="BQ48" s="18" t="str">
        <f t="shared" si="111"/>
        <v/>
      </c>
      <c r="BR48" s="18" t="str">
        <f t="shared" si="112"/>
        <v/>
      </c>
      <c r="BS48" s="18" t="str">
        <f t="shared" si="113"/>
        <v/>
      </c>
      <c r="BT48" s="18" t="str">
        <f t="shared" si="114"/>
        <v/>
      </c>
      <c r="BU48" s="18" t="str">
        <f t="shared" si="115"/>
        <v/>
      </c>
      <c r="BV48" s="18" t="str">
        <f t="shared" si="116"/>
        <v/>
      </c>
      <c r="CC48" s="18" t="str">
        <f t="shared" si="117"/>
        <v/>
      </c>
      <c r="CD48" s="18" t="str">
        <f t="shared" si="118"/>
        <v/>
      </c>
      <c r="CE48" s="18" t="str">
        <f t="shared" si="119"/>
        <v/>
      </c>
      <c r="CF48" s="18" t="str">
        <f t="shared" si="120"/>
        <v/>
      </c>
      <c r="CG48" s="18" t="str">
        <f t="shared" si="121"/>
        <v/>
      </c>
      <c r="CH48" s="18" t="str">
        <f t="shared" si="122"/>
        <v/>
      </c>
      <c r="CI48" s="18" t="str">
        <f t="shared" si="123"/>
        <v/>
      </c>
      <c r="CJ48" s="18" t="str">
        <f t="shared" si="124"/>
        <v/>
      </c>
      <c r="CK48" s="18" t="str">
        <f t="shared" si="125"/>
        <v/>
      </c>
      <c r="CL48" s="18" t="str">
        <f t="shared" si="126"/>
        <v/>
      </c>
      <c r="CM48" s="18" t="str">
        <f t="shared" si="127"/>
        <v/>
      </c>
      <c r="CN48" s="18" t="str">
        <f t="shared" si="128"/>
        <v/>
      </c>
      <c r="CO48" s="18" t="str">
        <f t="shared" si="129"/>
        <v/>
      </c>
      <c r="CP48" s="18" t="str">
        <f t="shared" si="130"/>
        <v/>
      </c>
      <c r="CQ48" s="18" t="str">
        <f t="shared" si="131"/>
        <v/>
      </c>
    </row>
    <row r="49" spans="1:95" ht="14.4" customHeight="1" x14ac:dyDescent="0.3">
      <c r="A49" s="141" t="s">
        <v>188</v>
      </c>
      <c r="B49" s="171" t="s">
        <v>180</v>
      </c>
      <c r="C49" s="262" t="s">
        <v>192</v>
      </c>
      <c r="D49" s="142">
        <v>0</v>
      </c>
      <c r="E49" s="143">
        <v>20</v>
      </c>
      <c r="F49" s="144">
        <v>-0.08</v>
      </c>
      <c r="G49" s="142">
        <f t="shared" si="11"/>
        <v>19.999919999999999</v>
      </c>
      <c r="H49" s="142">
        <v>0.12</v>
      </c>
      <c r="I49" s="253" t="s">
        <v>189</v>
      </c>
      <c r="J49" s="142" t="s">
        <v>179</v>
      </c>
      <c r="K49" s="228"/>
      <c r="L49" s="232"/>
      <c r="M49" s="232"/>
      <c r="N49" s="232"/>
      <c r="O49" s="232"/>
      <c r="P49" s="232"/>
      <c r="Q49" s="233"/>
      <c r="R49" s="233"/>
      <c r="S49" s="233"/>
      <c r="T49" s="233"/>
      <c r="U49" s="233"/>
      <c r="V49" s="232"/>
      <c r="W49" s="232"/>
      <c r="X49" s="232"/>
      <c r="Y49" s="232"/>
      <c r="Z49" s="232"/>
      <c r="AB49" s="18" t="str">
        <f t="shared" si="72"/>
        <v/>
      </c>
      <c r="AC49" s="18" t="str">
        <f t="shared" si="73"/>
        <v/>
      </c>
      <c r="AD49" s="18" t="str">
        <f t="shared" si="74"/>
        <v/>
      </c>
      <c r="AE49" s="18" t="str">
        <f t="shared" si="75"/>
        <v/>
      </c>
      <c r="AF49" s="18" t="str">
        <f t="shared" si="76"/>
        <v/>
      </c>
      <c r="AG49" s="18" t="str">
        <f t="shared" si="77"/>
        <v/>
      </c>
      <c r="AH49" s="18" t="str">
        <f t="shared" si="78"/>
        <v/>
      </c>
      <c r="AI49" s="18" t="str">
        <f t="shared" si="79"/>
        <v/>
      </c>
      <c r="AJ49" s="18" t="str">
        <f t="shared" si="80"/>
        <v/>
      </c>
      <c r="AK49" s="18" t="str">
        <f t="shared" si="81"/>
        <v/>
      </c>
      <c r="AL49" s="18" t="str">
        <f t="shared" si="82"/>
        <v/>
      </c>
      <c r="AM49" s="18" t="str">
        <f t="shared" si="83"/>
        <v/>
      </c>
      <c r="AN49" s="18" t="str">
        <f t="shared" si="84"/>
        <v/>
      </c>
      <c r="AO49" s="18" t="str">
        <f t="shared" si="85"/>
        <v/>
      </c>
      <c r="AP49" s="18" t="str">
        <f t="shared" si="86"/>
        <v/>
      </c>
      <c r="AR49" s="18" t="str">
        <f t="shared" si="87"/>
        <v/>
      </c>
      <c r="AS49" s="18" t="str">
        <f t="shared" si="88"/>
        <v/>
      </c>
      <c r="AT49" s="18" t="str">
        <f t="shared" si="89"/>
        <v/>
      </c>
      <c r="AU49" s="18" t="str">
        <f t="shared" si="90"/>
        <v/>
      </c>
      <c r="AV49" s="18" t="str">
        <f t="shared" si="91"/>
        <v/>
      </c>
      <c r="AW49" s="18" t="str">
        <f t="shared" si="92"/>
        <v/>
      </c>
      <c r="AX49" s="18" t="str">
        <f t="shared" si="93"/>
        <v/>
      </c>
      <c r="AY49" s="18" t="str">
        <f t="shared" si="94"/>
        <v/>
      </c>
      <c r="AZ49" s="18" t="str">
        <f t="shared" si="95"/>
        <v/>
      </c>
      <c r="BA49" s="18" t="str">
        <f t="shared" si="96"/>
        <v/>
      </c>
      <c r="BB49" s="18" t="str">
        <f t="shared" si="97"/>
        <v/>
      </c>
      <c r="BC49" s="18" t="str">
        <f t="shared" si="98"/>
        <v/>
      </c>
      <c r="BD49" s="18" t="str">
        <f t="shared" si="99"/>
        <v/>
      </c>
      <c r="BE49" s="18" t="str">
        <f t="shared" si="100"/>
        <v/>
      </c>
      <c r="BF49" s="18" t="str">
        <f t="shared" si="101"/>
        <v/>
      </c>
      <c r="BH49" s="18" t="str">
        <f t="shared" si="102"/>
        <v/>
      </c>
      <c r="BI49" s="18" t="str">
        <f t="shared" si="103"/>
        <v/>
      </c>
      <c r="BJ49" s="18" t="str">
        <f t="shared" si="104"/>
        <v/>
      </c>
      <c r="BK49" s="18" t="str">
        <f t="shared" si="105"/>
        <v/>
      </c>
      <c r="BL49" s="18" t="str">
        <f t="shared" si="106"/>
        <v/>
      </c>
      <c r="BM49" s="18" t="str">
        <f t="shared" si="107"/>
        <v/>
      </c>
      <c r="BN49" s="18" t="str">
        <f t="shared" si="108"/>
        <v/>
      </c>
      <c r="BO49" s="18" t="str">
        <f t="shared" si="109"/>
        <v/>
      </c>
      <c r="BP49" s="18" t="str">
        <f t="shared" si="110"/>
        <v/>
      </c>
      <c r="BQ49" s="18" t="str">
        <f t="shared" si="111"/>
        <v/>
      </c>
      <c r="BR49" s="18" t="str">
        <f t="shared" si="112"/>
        <v/>
      </c>
      <c r="BS49" s="18" t="str">
        <f t="shared" si="113"/>
        <v/>
      </c>
      <c r="BT49" s="18" t="str">
        <f t="shared" si="114"/>
        <v/>
      </c>
      <c r="BU49" s="18" t="str">
        <f t="shared" si="115"/>
        <v/>
      </c>
      <c r="BV49" s="18" t="str">
        <f t="shared" si="116"/>
        <v/>
      </c>
      <c r="CC49" s="18" t="str">
        <f t="shared" si="117"/>
        <v/>
      </c>
      <c r="CD49" s="18" t="str">
        <f t="shared" si="118"/>
        <v/>
      </c>
      <c r="CE49" s="18" t="str">
        <f t="shared" si="119"/>
        <v/>
      </c>
      <c r="CF49" s="18" t="str">
        <f t="shared" si="120"/>
        <v/>
      </c>
      <c r="CG49" s="18" t="str">
        <f t="shared" si="121"/>
        <v/>
      </c>
      <c r="CH49" s="18" t="str">
        <f t="shared" si="122"/>
        <v/>
      </c>
      <c r="CI49" s="18" t="str">
        <f t="shared" si="123"/>
        <v/>
      </c>
      <c r="CJ49" s="18" t="str">
        <f t="shared" si="124"/>
        <v/>
      </c>
      <c r="CK49" s="18" t="str">
        <f t="shared" si="125"/>
        <v/>
      </c>
      <c r="CL49" s="18" t="str">
        <f t="shared" si="126"/>
        <v/>
      </c>
      <c r="CM49" s="18" t="str">
        <f t="shared" si="127"/>
        <v/>
      </c>
      <c r="CN49" s="18" t="str">
        <f t="shared" si="128"/>
        <v/>
      </c>
      <c r="CO49" s="18" t="str">
        <f t="shared" si="129"/>
        <v/>
      </c>
      <c r="CP49" s="18" t="str">
        <f t="shared" si="130"/>
        <v/>
      </c>
      <c r="CQ49" s="18" t="str">
        <f t="shared" si="131"/>
        <v/>
      </c>
    </row>
    <row r="50" spans="1:95" ht="14.4" customHeight="1" x14ac:dyDescent="0.3">
      <c r="A50" s="193" t="s">
        <v>193</v>
      </c>
      <c r="B50" s="194" t="str">
        <f>""</f>
        <v/>
      </c>
      <c r="C50" s="194"/>
      <c r="D50" s="193" t="s">
        <v>184</v>
      </c>
      <c r="E50" s="195">
        <f>'INPUT DATA'!C75*'TABEL DATA'!M5</f>
        <v>0</v>
      </c>
      <c r="F50" s="196">
        <v>0</v>
      </c>
      <c r="G50" s="197">
        <f t="shared" si="11"/>
        <v>0</v>
      </c>
      <c r="H50" s="198">
        <v>0</v>
      </c>
      <c r="I50" s="193" t="str">
        <f>""</f>
        <v/>
      </c>
      <c r="J50" s="193" t="str">
        <f>""</f>
        <v/>
      </c>
      <c r="K50" s="228"/>
      <c r="L50" s="234"/>
      <c r="M50" s="234"/>
      <c r="N50" s="234"/>
      <c r="O50" s="234"/>
      <c r="P50" s="234"/>
      <c r="Q50" s="235"/>
      <c r="R50" s="235"/>
      <c r="S50" s="235"/>
      <c r="T50" s="235"/>
      <c r="U50" s="235"/>
      <c r="V50" s="234"/>
      <c r="W50" s="234"/>
      <c r="X50" s="234"/>
      <c r="Y50" s="234"/>
      <c r="Z50" s="234"/>
      <c r="AB50" s="18" t="str">
        <f t="shared" si="72"/>
        <v/>
      </c>
      <c r="AC50" s="18" t="str">
        <f t="shared" si="73"/>
        <v/>
      </c>
      <c r="AD50" s="18" t="str">
        <f t="shared" si="74"/>
        <v/>
      </c>
      <c r="AE50" s="18" t="str">
        <f t="shared" si="75"/>
        <v/>
      </c>
      <c r="AF50" s="18" t="str">
        <f t="shared" si="76"/>
        <v/>
      </c>
      <c r="AG50" s="18" t="str">
        <f t="shared" si="77"/>
        <v/>
      </c>
      <c r="AH50" s="18" t="str">
        <f t="shared" si="78"/>
        <v/>
      </c>
      <c r="AI50" s="18" t="str">
        <f t="shared" si="79"/>
        <v/>
      </c>
      <c r="AJ50" s="18" t="str">
        <f t="shared" si="80"/>
        <v/>
      </c>
      <c r="AK50" s="18" t="str">
        <f t="shared" si="81"/>
        <v/>
      </c>
      <c r="AL50" s="18" t="str">
        <f t="shared" si="82"/>
        <v/>
      </c>
      <c r="AM50" s="18" t="str">
        <f t="shared" si="83"/>
        <v/>
      </c>
      <c r="AN50" s="18" t="str">
        <f t="shared" si="84"/>
        <v/>
      </c>
      <c r="AO50" s="18" t="str">
        <f t="shared" si="85"/>
        <v/>
      </c>
      <c r="AP50" s="18" t="str">
        <f t="shared" si="86"/>
        <v/>
      </c>
      <c r="AR50" s="18" t="str">
        <f t="shared" si="87"/>
        <v/>
      </c>
      <c r="AS50" s="18" t="str">
        <f t="shared" si="88"/>
        <v/>
      </c>
      <c r="AT50" s="18" t="str">
        <f t="shared" si="89"/>
        <v/>
      </c>
      <c r="AU50" s="18" t="str">
        <f t="shared" si="90"/>
        <v/>
      </c>
      <c r="AV50" s="18" t="str">
        <f t="shared" si="91"/>
        <v/>
      </c>
      <c r="AW50" s="18" t="str">
        <f t="shared" si="92"/>
        <v/>
      </c>
      <c r="AX50" s="18" t="str">
        <f t="shared" si="93"/>
        <v/>
      </c>
      <c r="AY50" s="18" t="str">
        <f t="shared" si="94"/>
        <v/>
      </c>
      <c r="AZ50" s="18" t="str">
        <f t="shared" si="95"/>
        <v/>
      </c>
      <c r="BA50" s="18" t="str">
        <f t="shared" si="96"/>
        <v/>
      </c>
      <c r="BB50" s="18" t="str">
        <f t="shared" si="97"/>
        <v/>
      </c>
      <c r="BC50" s="18" t="str">
        <f t="shared" si="98"/>
        <v/>
      </c>
      <c r="BD50" s="18" t="str">
        <f t="shared" si="99"/>
        <v/>
      </c>
      <c r="BE50" s="18" t="str">
        <f t="shared" si="100"/>
        <v/>
      </c>
      <c r="BF50" s="18" t="str">
        <f t="shared" si="101"/>
        <v/>
      </c>
      <c r="BH50" s="18" t="str">
        <f t="shared" si="102"/>
        <v/>
      </c>
      <c r="BI50" s="18" t="str">
        <f t="shared" si="103"/>
        <v/>
      </c>
      <c r="BJ50" s="18" t="str">
        <f t="shared" si="104"/>
        <v/>
      </c>
      <c r="BK50" s="18" t="str">
        <f t="shared" si="105"/>
        <v/>
      </c>
      <c r="BL50" s="18" t="str">
        <f t="shared" si="106"/>
        <v/>
      </c>
      <c r="BM50" s="18" t="str">
        <f t="shared" si="107"/>
        <v/>
      </c>
      <c r="BN50" s="18" t="str">
        <f t="shared" si="108"/>
        <v/>
      </c>
      <c r="BO50" s="18" t="str">
        <f t="shared" si="109"/>
        <v/>
      </c>
      <c r="BP50" s="18" t="str">
        <f t="shared" si="110"/>
        <v/>
      </c>
      <c r="BQ50" s="18" t="str">
        <f t="shared" si="111"/>
        <v/>
      </c>
      <c r="BR50" s="18" t="str">
        <f t="shared" si="112"/>
        <v/>
      </c>
      <c r="BS50" s="18" t="str">
        <f t="shared" si="113"/>
        <v/>
      </c>
      <c r="BT50" s="18" t="str">
        <f t="shared" si="114"/>
        <v/>
      </c>
      <c r="BU50" s="18" t="str">
        <f t="shared" si="115"/>
        <v/>
      </c>
      <c r="BV50" s="18" t="str">
        <f t="shared" si="116"/>
        <v/>
      </c>
      <c r="CC50" s="18" t="str">
        <f t="shared" si="117"/>
        <v/>
      </c>
      <c r="CD50" s="18" t="str">
        <f t="shared" si="118"/>
        <v/>
      </c>
      <c r="CE50" s="18" t="str">
        <f t="shared" si="119"/>
        <v/>
      </c>
      <c r="CF50" s="18" t="str">
        <f t="shared" si="120"/>
        <v/>
      </c>
      <c r="CG50" s="18" t="str">
        <f t="shared" si="121"/>
        <v/>
      </c>
      <c r="CH50" s="18" t="str">
        <f t="shared" si="122"/>
        <v/>
      </c>
      <c r="CI50" s="18" t="str">
        <f t="shared" si="123"/>
        <v/>
      </c>
      <c r="CJ50" s="18" t="str">
        <f t="shared" si="124"/>
        <v/>
      </c>
      <c r="CK50" s="18" t="str">
        <f t="shared" si="125"/>
        <v/>
      </c>
      <c r="CL50" s="18" t="str">
        <f t="shared" si="126"/>
        <v/>
      </c>
      <c r="CM50" s="18" t="str">
        <f t="shared" si="127"/>
        <v/>
      </c>
      <c r="CN50" s="18" t="str">
        <f t="shared" si="128"/>
        <v/>
      </c>
      <c r="CO50" s="18" t="str">
        <f t="shared" si="129"/>
        <v/>
      </c>
      <c r="CP50" s="18" t="str">
        <f t="shared" si="130"/>
        <v/>
      </c>
      <c r="CQ50" s="18" t="str">
        <f t="shared" si="131"/>
        <v/>
      </c>
    </row>
    <row r="51" spans="1:95" hidden="1" x14ac:dyDescent="0.3">
      <c r="A51" s="18"/>
      <c r="B51" s="140"/>
      <c r="C51" s="140"/>
      <c r="D51" s="18"/>
      <c r="E51" s="137"/>
      <c r="F51" s="18"/>
      <c r="G51" s="18"/>
      <c r="H51" s="18"/>
      <c r="I51" s="18"/>
      <c r="J51" s="18"/>
      <c r="K51" s="228"/>
      <c r="L51" s="230"/>
      <c r="M51" s="230"/>
      <c r="N51" s="230"/>
      <c r="O51" s="230"/>
      <c r="P51" s="230"/>
      <c r="Q51" s="231"/>
      <c r="R51" s="231"/>
      <c r="S51" s="231"/>
      <c r="T51" s="231"/>
      <c r="U51" s="231"/>
      <c r="V51" s="230"/>
      <c r="W51" s="230"/>
      <c r="X51" s="230"/>
      <c r="Y51" s="230"/>
      <c r="Z51" s="230"/>
      <c r="AB51" s="18" t="str">
        <f t="shared" si="72"/>
        <v/>
      </c>
      <c r="AC51" s="18" t="str">
        <f t="shared" si="73"/>
        <v/>
      </c>
      <c r="AD51" s="18" t="str">
        <f t="shared" si="74"/>
        <v/>
      </c>
      <c r="AE51" s="18" t="str">
        <f t="shared" si="75"/>
        <v/>
      </c>
      <c r="AF51" s="18" t="str">
        <f t="shared" si="76"/>
        <v/>
      </c>
      <c r="AG51" s="18" t="str">
        <f t="shared" si="77"/>
        <v/>
      </c>
      <c r="AH51" s="18" t="str">
        <f t="shared" si="78"/>
        <v/>
      </c>
      <c r="AI51" s="18" t="str">
        <f t="shared" si="79"/>
        <v/>
      </c>
      <c r="AJ51" s="18" t="str">
        <f t="shared" si="80"/>
        <v/>
      </c>
      <c r="AK51" s="18" t="str">
        <f t="shared" si="81"/>
        <v/>
      </c>
      <c r="AL51" s="18" t="str">
        <f t="shared" si="82"/>
        <v/>
      </c>
      <c r="AM51" s="18" t="str">
        <f t="shared" si="83"/>
        <v/>
      </c>
      <c r="AN51" s="18" t="str">
        <f t="shared" si="84"/>
        <v/>
      </c>
      <c r="AO51" s="18" t="str">
        <f t="shared" si="85"/>
        <v/>
      </c>
      <c r="AP51" s="18" t="str">
        <f t="shared" si="86"/>
        <v/>
      </c>
      <c r="AR51" s="18" t="str">
        <f t="shared" si="87"/>
        <v/>
      </c>
      <c r="AS51" s="18" t="str">
        <f t="shared" si="88"/>
        <v/>
      </c>
      <c r="AT51" s="18" t="str">
        <f t="shared" si="89"/>
        <v/>
      </c>
      <c r="AU51" s="18" t="str">
        <f t="shared" si="90"/>
        <v/>
      </c>
      <c r="AV51" s="18" t="str">
        <f t="shared" si="91"/>
        <v/>
      </c>
      <c r="AW51" s="18" t="str">
        <f t="shared" si="92"/>
        <v/>
      </c>
      <c r="AX51" s="18" t="str">
        <f t="shared" si="93"/>
        <v/>
      </c>
      <c r="AY51" s="18" t="str">
        <f t="shared" si="94"/>
        <v/>
      </c>
      <c r="AZ51" s="18" t="str">
        <f t="shared" si="95"/>
        <v/>
      </c>
      <c r="BA51" s="18" t="str">
        <f t="shared" si="96"/>
        <v/>
      </c>
      <c r="BB51" s="18" t="str">
        <f t="shared" si="97"/>
        <v/>
      </c>
      <c r="BC51" s="18" t="str">
        <f t="shared" si="98"/>
        <v/>
      </c>
      <c r="BD51" s="18" t="str">
        <f t="shared" si="99"/>
        <v/>
      </c>
      <c r="BE51" s="18" t="str">
        <f t="shared" si="100"/>
        <v/>
      </c>
      <c r="BF51" s="18" t="str">
        <f t="shared" si="101"/>
        <v/>
      </c>
      <c r="BH51" s="18" t="str">
        <f t="shared" si="102"/>
        <v/>
      </c>
      <c r="BI51" s="18" t="str">
        <f t="shared" si="103"/>
        <v/>
      </c>
      <c r="BJ51" s="18" t="str">
        <f t="shared" si="104"/>
        <v/>
      </c>
      <c r="BK51" s="18" t="str">
        <f t="shared" si="105"/>
        <v/>
      </c>
      <c r="BL51" s="18" t="str">
        <f t="shared" si="106"/>
        <v/>
      </c>
      <c r="BM51" s="18" t="str">
        <f t="shared" si="107"/>
        <v/>
      </c>
      <c r="BN51" s="18" t="str">
        <f t="shared" si="108"/>
        <v/>
      </c>
      <c r="BO51" s="18" t="str">
        <f t="shared" si="109"/>
        <v/>
      </c>
      <c r="BP51" s="18" t="str">
        <f t="shared" si="110"/>
        <v/>
      </c>
      <c r="BQ51" s="18" t="str">
        <f t="shared" si="111"/>
        <v/>
      </c>
      <c r="BR51" s="18" t="str">
        <f t="shared" si="112"/>
        <v/>
      </c>
      <c r="BS51" s="18" t="str">
        <f t="shared" si="113"/>
        <v/>
      </c>
      <c r="BT51" s="18" t="str">
        <f t="shared" si="114"/>
        <v/>
      </c>
      <c r="BU51" s="18" t="str">
        <f t="shared" si="115"/>
        <v/>
      </c>
      <c r="BV51" s="18" t="str">
        <f t="shared" si="116"/>
        <v/>
      </c>
      <c r="CC51" s="18" t="str">
        <f t="shared" si="117"/>
        <v/>
      </c>
      <c r="CD51" s="18" t="str">
        <f t="shared" si="118"/>
        <v/>
      </c>
      <c r="CE51" s="18" t="str">
        <f t="shared" si="119"/>
        <v/>
      </c>
      <c r="CF51" s="18" t="str">
        <f t="shared" si="120"/>
        <v/>
      </c>
      <c r="CG51" s="18" t="str">
        <f t="shared" si="121"/>
        <v/>
      </c>
      <c r="CH51" s="18" t="str">
        <f t="shared" si="122"/>
        <v/>
      </c>
      <c r="CI51" s="18" t="str">
        <f t="shared" si="123"/>
        <v/>
      </c>
      <c r="CJ51" s="18" t="str">
        <f t="shared" si="124"/>
        <v/>
      </c>
      <c r="CK51" s="18" t="str">
        <f t="shared" si="125"/>
        <v/>
      </c>
      <c r="CL51" s="18" t="str">
        <f t="shared" si="126"/>
        <v/>
      </c>
      <c r="CM51" s="18" t="str">
        <f t="shared" si="127"/>
        <v/>
      </c>
      <c r="CN51" s="18" t="str">
        <f t="shared" si="128"/>
        <v/>
      </c>
      <c r="CO51" s="18" t="str">
        <f t="shared" si="129"/>
        <v/>
      </c>
      <c r="CP51" s="18" t="str">
        <f t="shared" si="130"/>
        <v/>
      </c>
      <c r="CQ51" s="18" t="str">
        <f t="shared" si="131"/>
        <v/>
      </c>
    </row>
    <row r="52" spans="1:95" hidden="1" x14ac:dyDescent="0.3">
      <c r="A52" s="18"/>
      <c r="B52" s="140"/>
      <c r="C52" s="140"/>
      <c r="D52" s="18"/>
      <c r="E52" s="137"/>
      <c r="F52" s="18"/>
      <c r="G52" s="18"/>
      <c r="H52" s="18"/>
      <c r="I52" s="18"/>
      <c r="J52" s="18"/>
      <c r="K52" s="228"/>
      <c r="L52" s="230"/>
      <c r="M52" s="230"/>
      <c r="N52" s="230"/>
      <c r="O52" s="230"/>
      <c r="P52" s="230"/>
      <c r="Q52" s="231"/>
      <c r="R52" s="231"/>
      <c r="S52" s="231"/>
      <c r="T52" s="231"/>
      <c r="U52" s="231"/>
      <c r="V52" s="230"/>
      <c r="W52" s="230"/>
      <c r="X52" s="230"/>
      <c r="Y52" s="230"/>
      <c r="Z52" s="230"/>
      <c r="AB52" s="18" t="str">
        <f t="shared" si="72"/>
        <v/>
      </c>
      <c r="AC52" s="18" t="str">
        <f t="shared" si="73"/>
        <v/>
      </c>
      <c r="AD52" s="18" t="str">
        <f t="shared" si="74"/>
        <v/>
      </c>
      <c r="AE52" s="18" t="str">
        <f t="shared" si="75"/>
        <v/>
      </c>
      <c r="AF52" s="18" t="str">
        <f t="shared" si="76"/>
        <v/>
      </c>
      <c r="AG52" s="18" t="str">
        <f t="shared" si="77"/>
        <v/>
      </c>
      <c r="AH52" s="18" t="str">
        <f t="shared" si="78"/>
        <v/>
      </c>
      <c r="AI52" s="18" t="str">
        <f t="shared" si="79"/>
        <v/>
      </c>
      <c r="AJ52" s="18" t="str">
        <f t="shared" si="80"/>
        <v/>
      </c>
      <c r="AK52" s="18" t="str">
        <f t="shared" si="81"/>
        <v/>
      </c>
      <c r="AL52" s="18" t="str">
        <f t="shared" si="82"/>
        <v/>
      </c>
      <c r="AM52" s="18" t="str">
        <f t="shared" si="83"/>
        <v/>
      </c>
      <c r="AN52" s="18" t="str">
        <f t="shared" si="84"/>
        <v/>
      </c>
      <c r="AO52" s="18" t="str">
        <f t="shared" si="85"/>
        <v/>
      </c>
      <c r="AP52" s="18" t="str">
        <f t="shared" si="86"/>
        <v/>
      </c>
      <c r="AR52" s="18" t="str">
        <f t="shared" si="87"/>
        <v/>
      </c>
      <c r="AS52" s="18" t="str">
        <f t="shared" si="88"/>
        <v/>
      </c>
      <c r="AT52" s="18" t="str">
        <f t="shared" si="89"/>
        <v/>
      </c>
      <c r="AU52" s="18" t="str">
        <f t="shared" si="90"/>
        <v/>
      </c>
      <c r="AV52" s="18" t="str">
        <f t="shared" si="91"/>
        <v/>
      </c>
      <c r="AW52" s="18" t="str">
        <f t="shared" si="92"/>
        <v/>
      </c>
      <c r="AX52" s="18" t="str">
        <f t="shared" si="93"/>
        <v/>
      </c>
      <c r="AY52" s="18" t="str">
        <f t="shared" si="94"/>
        <v/>
      </c>
      <c r="AZ52" s="18" t="str">
        <f t="shared" si="95"/>
        <v/>
      </c>
      <c r="BA52" s="18" t="str">
        <f t="shared" si="96"/>
        <v/>
      </c>
      <c r="BB52" s="18" t="str">
        <f t="shared" si="97"/>
        <v/>
      </c>
      <c r="BC52" s="18" t="str">
        <f t="shared" si="98"/>
        <v/>
      </c>
      <c r="BD52" s="18" t="str">
        <f t="shared" si="99"/>
        <v/>
      </c>
      <c r="BE52" s="18" t="str">
        <f t="shared" si="100"/>
        <v/>
      </c>
      <c r="BF52" s="18" t="str">
        <f t="shared" si="101"/>
        <v/>
      </c>
      <c r="BH52" s="18" t="str">
        <f t="shared" si="102"/>
        <v/>
      </c>
      <c r="BI52" s="18" t="str">
        <f t="shared" si="103"/>
        <v/>
      </c>
      <c r="BJ52" s="18" t="str">
        <f t="shared" si="104"/>
        <v/>
      </c>
      <c r="BK52" s="18" t="str">
        <f t="shared" si="105"/>
        <v/>
      </c>
      <c r="BL52" s="18" t="str">
        <f t="shared" si="106"/>
        <v/>
      </c>
      <c r="BM52" s="18" t="str">
        <f t="shared" si="107"/>
        <v/>
      </c>
      <c r="BN52" s="18" t="str">
        <f t="shared" si="108"/>
        <v/>
      </c>
      <c r="BO52" s="18" t="str">
        <f t="shared" si="109"/>
        <v/>
      </c>
      <c r="BP52" s="18" t="str">
        <f t="shared" si="110"/>
        <v/>
      </c>
      <c r="BQ52" s="18" t="str">
        <f t="shared" si="111"/>
        <v/>
      </c>
      <c r="BR52" s="18" t="str">
        <f t="shared" si="112"/>
        <v/>
      </c>
      <c r="BS52" s="18" t="str">
        <f t="shared" si="113"/>
        <v/>
      </c>
      <c r="BT52" s="18" t="str">
        <f t="shared" si="114"/>
        <v/>
      </c>
      <c r="BU52" s="18" t="str">
        <f t="shared" si="115"/>
        <v/>
      </c>
      <c r="BV52" s="18" t="str">
        <f t="shared" si="116"/>
        <v/>
      </c>
      <c r="CC52" s="18" t="str">
        <f t="shared" si="117"/>
        <v/>
      </c>
      <c r="CD52" s="18" t="str">
        <f t="shared" si="118"/>
        <v/>
      </c>
      <c r="CE52" s="18" t="str">
        <f t="shared" si="119"/>
        <v/>
      </c>
      <c r="CF52" s="18" t="str">
        <f t="shared" si="120"/>
        <v/>
      </c>
      <c r="CG52" s="18" t="str">
        <f t="shared" si="121"/>
        <v/>
      </c>
      <c r="CH52" s="18" t="str">
        <f t="shared" si="122"/>
        <v/>
      </c>
      <c r="CI52" s="18" t="str">
        <f t="shared" si="123"/>
        <v/>
      </c>
      <c r="CJ52" s="18" t="str">
        <f t="shared" si="124"/>
        <v/>
      </c>
      <c r="CK52" s="18" t="str">
        <f t="shared" si="125"/>
        <v/>
      </c>
      <c r="CL52" s="18" t="str">
        <f t="shared" si="126"/>
        <v/>
      </c>
      <c r="CM52" s="18" t="str">
        <f t="shared" si="127"/>
        <v/>
      </c>
      <c r="CN52" s="18" t="str">
        <f t="shared" si="128"/>
        <v/>
      </c>
      <c r="CO52" s="18" t="str">
        <f t="shared" si="129"/>
        <v/>
      </c>
      <c r="CP52" s="18" t="str">
        <f t="shared" si="130"/>
        <v/>
      </c>
      <c r="CQ52" s="18" t="str">
        <f t="shared" si="131"/>
        <v/>
      </c>
    </row>
    <row r="53" spans="1:95" hidden="1" x14ac:dyDescent="0.3">
      <c r="A53" s="18"/>
      <c r="B53" s="140"/>
      <c r="C53" s="140"/>
      <c r="D53" s="18"/>
      <c r="E53" s="137"/>
      <c r="F53" s="18"/>
      <c r="G53" s="18"/>
      <c r="H53" s="18"/>
      <c r="I53" s="18"/>
      <c r="J53" s="18"/>
      <c r="K53" s="228"/>
      <c r="L53" s="230"/>
      <c r="M53" s="230"/>
      <c r="N53" s="230"/>
      <c r="O53" s="230"/>
      <c r="P53" s="230"/>
      <c r="Q53" s="231"/>
      <c r="R53" s="231"/>
      <c r="S53" s="231"/>
      <c r="T53" s="231"/>
      <c r="U53" s="231"/>
      <c r="V53" s="230"/>
      <c r="W53" s="230"/>
      <c r="X53" s="230"/>
      <c r="Y53" s="230"/>
      <c r="Z53" s="230"/>
      <c r="AB53" s="18" t="str">
        <f t="shared" si="72"/>
        <v/>
      </c>
      <c r="AC53" s="18" t="str">
        <f t="shared" si="73"/>
        <v/>
      </c>
      <c r="AD53" s="18" t="str">
        <f t="shared" si="74"/>
        <v/>
      </c>
      <c r="AE53" s="18" t="str">
        <f t="shared" si="75"/>
        <v/>
      </c>
      <c r="AF53" s="18" t="str">
        <f t="shared" si="76"/>
        <v/>
      </c>
      <c r="AG53" s="18" t="str">
        <f t="shared" si="77"/>
        <v/>
      </c>
      <c r="AH53" s="18" t="str">
        <f t="shared" si="78"/>
        <v/>
      </c>
      <c r="AI53" s="18" t="str">
        <f t="shared" si="79"/>
        <v/>
      </c>
      <c r="AJ53" s="18" t="str">
        <f t="shared" si="80"/>
        <v/>
      </c>
      <c r="AK53" s="18" t="str">
        <f t="shared" si="81"/>
        <v/>
      </c>
      <c r="AL53" s="18" t="str">
        <f t="shared" si="82"/>
        <v/>
      </c>
      <c r="AM53" s="18" t="str">
        <f t="shared" si="83"/>
        <v/>
      </c>
      <c r="AN53" s="18" t="str">
        <f t="shared" si="84"/>
        <v/>
      </c>
      <c r="AO53" s="18" t="str">
        <f t="shared" si="85"/>
        <v/>
      </c>
      <c r="AP53" s="18" t="str">
        <f t="shared" si="86"/>
        <v/>
      </c>
      <c r="AR53" s="18" t="str">
        <f t="shared" si="87"/>
        <v/>
      </c>
      <c r="AS53" s="18" t="str">
        <f t="shared" si="88"/>
        <v/>
      </c>
      <c r="AT53" s="18" t="str">
        <f t="shared" si="89"/>
        <v/>
      </c>
      <c r="AU53" s="18" t="str">
        <f t="shared" si="90"/>
        <v/>
      </c>
      <c r="AV53" s="18" t="str">
        <f t="shared" si="91"/>
        <v/>
      </c>
      <c r="AW53" s="18" t="str">
        <f t="shared" si="92"/>
        <v/>
      </c>
      <c r="AX53" s="18" t="str">
        <f t="shared" si="93"/>
        <v/>
      </c>
      <c r="AY53" s="18" t="str">
        <f t="shared" si="94"/>
        <v/>
      </c>
      <c r="AZ53" s="18" t="str">
        <f t="shared" si="95"/>
        <v/>
      </c>
      <c r="BA53" s="18" t="str">
        <f t="shared" si="96"/>
        <v/>
      </c>
      <c r="BB53" s="18" t="str">
        <f t="shared" si="97"/>
        <v/>
      </c>
      <c r="BC53" s="18" t="str">
        <f t="shared" si="98"/>
        <v/>
      </c>
      <c r="BD53" s="18" t="str">
        <f t="shared" si="99"/>
        <v/>
      </c>
      <c r="BE53" s="18" t="str">
        <f t="shared" si="100"/>
        <v/>
      </c>
      <c r="BF53" s="18" t="str">
        <f t="shared" si="101"/>
        <v/>
      </c>
      <c r="BH53" s="18" t="str">
        <f t="shared" si="102"/>
        <v/>
      </c>
      <c r="BI53" s="18" t="str">
        <f t="shared" si="103"/>
        <v/>
      </c>
      <c r="BJ53" s="18" t="str">
        <f t="shared" si="104"/>
        <v/>
      </c>
      <c r="BK53" s="18" t="str">
        <f t="shared" si="105"/>
        <v/>
      </c>
      <c r="BL53" s="18" t="str">
        <f t="shared" si="106"/>
        <v/>
      </c>
      <c r="BM53" s="18" t="str">
        <f t="shared" si="107"/>
        <v/>
      </c>
      <c r="BN53" s="18" t="str">
        <f t="shared" si="108"/>
        <v/>
      </c>
      <c r="BO53" s="18" t="str">
        <f t="shared" si="109"/>
        <v/>
      </c>
      <c r="BP53" s="18" t="str">
        <f t="shared" si="110"/>
        <v/>
      </c>
      <c r="BQ53" s="18" t="str">
        <f t="shared" si="111"/>
        <v/>
      </c>
      <c r="BR53" s="18" t="str">
        <f t="shared" si="112"/>
        <v/>
      </c>
      <c r="BS53" s="18" t="str">
        <f t="shared" si="113"/>
        <v/>
      </c>
      <c r="BT53" s="18" t="str">
        <f t="shared" si="114"/>
        <v/>
      </c>
      <c r="BU53" s="18" t="str">
        <f t="shared" si="115"/>
        <v/>
      </c>
      <c r="BV53" s="18" t="str">
        <f t="shared" si="116"/>
        <v/>
      </c>
      <c r="CC53" s="18" t="str">
        <f t="shared" si="117"/>
        <v/>
      </c>
      <c r="CD53" s="18" t="str">
        <f t="shared" si="118"/>
        <v/>
      </c>
      <c r="CE53" s="18" t="str">
        <f t="shared" si="119"/>
        <v/>
      </c>
      <c r="CF53" s="18" t="str">
        <f t="shared" si="120"/>
        <v/>
      </c>
      <c r="CG53" s="18" t="str">
        <f t="shared" si="121"/>
        <v/>
      </c>
      <c r="CH53" s="18" t="str">
        <f t="shared" si="122"/>
        <v/>
      </c>
      <c r="CI53" s="18" t="str">
        <f t="shared" si="123"/>
        <v/>
      </c>
      <c r="CJ53" s="18" t="str">
        <f t="shared" si="124"/>
        <v/>
      </c>
      <c r="CK53" s="18" t="str">
        <f t="shared" si="125"/>
        <v/>
      </c>
      <c r="CL53" s="18" t="str">
        <f t="shared" si="126"/>
        <v/>
      </c>
      <c r="CM53" s="18" t="str">
        <f t="shared" si="127"/>
        <v/>
      </c>
      <c r="CN53" s="18" t="str">
        <f t="shared" si="128"/>
        <v/>
      </c>
      <c r="CO53" s="18" t="str">
        <f t="shared" si="129"/>
        <v/>
      </c>
      <c r="CP53" s="18" t="str">
        <f t="shared" si="130"/>
        <v/>
      </c>
      <c r="CQ53" s="18" t="str">
        <f t="shared" si="131"/>
        <v/>
      </c>
    </row>
    <row r="54" spans="1:95" hidden="1" x14ac:dyDescent="0.3">
      <c r="A54" s="18"/>
      <c r="B54" s="140"/>
      <c r="C54" s="140"/>
      <c r="D54" s="18"/>
      <c r="E54" s="137"/>
      <c r="F54" s="18"/>
      <c r="G54" s="18"/>
      <c r="H54" s="18"/>
      <c r="I54" s="18"/>
      <c r="J54" s="18"/>
      <c r="K54" s="228"/>
      <c r="L54" s="230"/>
      <c r="M54" s="230"/>
      <c r="N54" s="230"/>
      <c r="O54" s="230"/>
      <c r="P54" s="230"/>
      <c r="Q54" s="231"/>
      <c r="R54" s="231"/>
      <c r="S54" s="231"/>
      <c r="T54" s="231"/>
      <c r="U54" s="231"/>
      <c r="V54" s="230"/>
      <c r="W54" s="230"/>
      <c r="X54" s="230"/>
      <c r="Y54" s="230"/>
      <c r="Z54" s="230"/>
      <c r="AB54" s="18" t="str">
        <f t="shared" si="72"/>
        <v/>
      </c>
      <c r="AC54" s="18" t="str">
        <f t="shared" si="73"/>
        <v/>
      </c>
      <c r="AD54" s="18" t="str">
        <f t="shared" si="74"/>
        <v/>
      </c>
      <c r="AE54" s="18" t="str">
        <f t="shared" si="75"/>
        <v/>
      </c>
      <c r="AF54" s="18" t="str">
        <f t="shared" si="76"/>
        <v/>
      </c>
      <c r="AG54" s="18" t="str">
        <f t="shared" si="77"/>
        <v/>
      </c>
      <c r="AH54" s="18" t="str">
        <f t="shared" si="78"/>
        <v/>
      </c>
      <c r="AI54" s="18" t="str">
        <f t="shared" si="79"/>
        <v/>
      </c>
      <c r="AJ54" s="18" t="str">
        <f t="shared" si="80"/>
        <v/>
      </c>
      <c r="AK54" s="18" t="str">
        <f t="shared" si="81"/>
        <v/>
      </c>
      <c r="AL54" s="18" t="str">
        <f t="shared" si="82"/>
        <v/>
      </c>
      <c r="AM54" s="18" t="str">
        <f t="shared" si="83"/>
        <v/>
      </c>
      <c r="AN54" s="18" t="str">
        <f t="shared" si="84"/>
        <v/>
      </c>
      <c r="AO54" s="18" t="str">
        <f t="shared" si="85"/>
        <v/>
      </c>
      <c r="AP54" s="18" t="str">
        <f t="shared" si="86"/>
        <v/>
      </c>
      <c r="AR54" s="18" t="str">
        <f t="shared" si="87"/>
        <v/>
      </c>
      <c r="AS54" s="18" t="str">
        <f t="shared" si="88"/>
        <v/>
      </c>
      <c r="AT54" s="18" t="str">
        <f t="shared" si="89"/>
        <v/>
      </c>
      <c r="AU54" s="18" t="str">
        <f t="shared" si="90"/>
        <v/>
      </c>
      <c r="AV54" s="18" t="str">
        <f t="shared" si="91"/>
        <v/>
      </c>
      <c r="AW54" s="18" t="str">
        <f t="shared" si="92"/>
        <v/>
      </c>
      <c r="AX54" s="18" t="str">
        <f t="shared" si="93"/>
        <v/>
      </c>
      <c r="AY54" s="18" t="str">
        <f t="shared" si="94"/>
        <v/>
      </c>
      <c r="AZ54" s="18" t="str">
        <f t="shared" si="95"/>
        <v/>
      </c>
      <c r="BA54" s="18" t="str">
        <f t="shared" si="96"/>
        <v/>
      </c>
      <c r="BB54" s="18" t="str">
        <f t="shared" si="97"/>
        <v/>
      </c>
      <c r="BC54" s="18" t="str">
        <f t="shared" si="98"/>
        <v/>
      </c>
      <c r="BD54" s="18" t="str">
        <f t="shared" si="99"/>
        <v/>
      </c>
      <c r="BE54" s="18" t="str">
        <f t="shared" si="100"/>
        <v/>
      </c>
      <c r="BF54" s="18" t="str">
        <f t="shared" si="101"/>
        <v/>
      </c>
      <c r="BH54" s="18" t="str">
        <f t="shared" si="102"/>
        <v/>
      </c>
      <c r="BI54" s="18" t="str">
        <f t="shared" si="103"/>
        <v/>
      </c>
      <c r="BJ54" s="18" t="str">
        <f t="shared" si="104"/>
        <v/>
      </c>
      <c r="BK54" s="18" t="str">
        <f t="shared" si="105"/>
        <v/>
      </c>
      <c r="BL54" s="18" t="str">
        <f t="shared" si="106"/>
        <v/>
      </c>
      <c r="BM54" s="18" t="str">
        <f t="shared" si="107"/>
        <v/>
      </c>
      <c r="BN54" s="18" t="str">
        <f t="shared" si="108"/>
        <v/>
      </c>
      <c r="BO54" s="18" t="str">
        <f t="shared" si="109"/>
        <v/>
      </c>
      <c r="BP54" s="18" t="str">
        <f t="shared" si="110"/>
        <v/>
      </c>
      <c r="BQ54" s="18" t="str">
        <f t="shared" si="111"/>
        <v/>
      </c>
      <c r="BR54" s="18" t="str">
        <f t="shared" si="112"/>
        <v/>
      </c>
      <c r="BS54" s="18" t="str">
        <f t="shared" si="113"/>
        <v/>
      </c>
      <c r="BT54" s="18" t="str">
        <f t="shared" si="114"/>
        <v/>
      </c>
      <c r="BU54" s="18" t="str">
        <f t="shared" si="115"/>
        <v/>
      </c>
      <c r="BV54" s="18" t="str">
        <f t="shared" si="116"/>
        <v/>
      </c>
      <c r="CC54" s="18" t="str">
        <f t="shared" si="117"/>
        <v/>
      </c>
      <c r="CD54" s="18" t="str">
        <f t="shared" si="118"/>
        <v/>
      </c>
      <c r="CE54" s="18" t="str">
        <f t="shared" si="119"/>
        <v/>
      </c>
      <c r="CF54" s="18" t="str">
        <f t="shared" si="120"/>
        <v/>
      </c>
      <c r="CG54" s="18" t="str">
        <f t="shared" si="121"/>
        <v/>
      </c>
      <c r="CH54" s="18" t="str">
        <f t="shared" si="122"/>
        <v/>
      </c>
      <c r="CI54" s="18" t="str">
        <f t="shared" si="123"/>
        <v/>
      </c>
      <c r="CJ54" s="18" t="str">
        <f t="shared" si="124"/>
        <v/>
      </c>
      <c r="CK54" s="18" t="str">
        <f t="shared" si="125"/>
        <v/>
      </c>
      <c r="CL54" s="18" t="str">
        <f t="shared" si="126"/>
        <v/>
      </c>
      <c r="CM54" s="18" t="str">
        <f t="shared" si="127"/>
        <v/>
      </c>
      <c r="CN54" s="18" t="str">
        <f t="shared" si="128"/>
        <v/>
      </c>
      <c r="CO54" s="18" t="str">
        <f t="shared" si="129"/>
        <v/>
      </c>
      <c r="CP54" s="18" t="str">
        <f t="shared" si="130"/>
        <v/>
      </c>
      <c r="CQ54" s="18" t="str">
        <f t="shared" si="131"/>
        <v/>
      </c>
    </row>
    <row r="55" spans="1:95" hidden="1" x14ac:dyDescent="0.3">
      <c r="E55" s="136"/>
    </row>
    <row r="56" spans="1:95" hidden="1" x14ac:dyDescent="0.3">
      <c r="E56" s="136"/>
      <c r="L56" s="236" t="s">
        <v>194</v>
      </c>
      <c r="AB56" s="134" t="s">
        <v>195</v>
      </c>
      <c r="AR56" s="134" t="s">
        <v>196</v>
      </c>
      <c r="BH56" s="134"/>
      <c r="CC56" s="134"/>
    </row>
    <row r="57" spans="1:95" hidden="1" x14ac:dyDescent="0.3">
      <c r="E57" s="136"/>
      <c r="BH57" s="134"/>
      <c r="CC57" s="134"/>
    </row>
    <row r="58" spans="1:95" hidden="1" x14ac:dyDescent="0.3">
      <c r="E58" s="136"/>
      <c r="L58" s="163">
        <f t="shared" ref="L58:Z58" si="132">COUNTA(L6:L54)-1</f>
        <v>-1</v>
      </c>
      <c r="M58" s="163">
        <f t="shared" si="132"/>
        <v>0</v>
      </c>
      <c r="N58" s="163">
        <f t="shared" si="132"/>
        <v>0</v>
      </c>
      <c r="O58" s="163">
        <f t="shared" si="132"/>
        <v>0</v>
      </c>
      <c r="P58" s="163">
        <f t="shared" si="132"/>
        <v>0</v>
      </c>
      <c r="Q58" s="163">
        <f t="shared" si="132"/>
        <v>0</v>
      </c>
      <c r="R58" s="163">
        <f t="shared" si="132"/>
        <v>0</v>
      </c>
      <c r="S58" s="163">
        <f t="shared" si="132"/>
        <v>0</v>
      </c>
      <c r="T58" s="163">
        <f t="shared" si="132"/>
        <v>0</v>
      </c>
      <c r="U58" s="163">
        <f t="shared" si="132"/>
        <v>0</v>
      </c>
      <c r="V58" s="163">
        <f t="shared" si="132"/>
        <v>0</v>
      </c>
      <c r="W58" s="163">
        <f t="shared" si="132"/>
        <v>-1</v>
      </c>
      <c r="X58" s="163">
        <f t="shared" si="132"/>
        <v>-1</v>
      </c>
      <c r="Y58" s="163">
        <f t="shared" si="132"/>
        <v>-1</v>
      </c>
      <c r="Z58" s="163">
        <f t="shared" si="132"/>
        <v>-1</v>
      </c>
      <c r="AB58" s="137">
        <f t="shared" ref="AB58:AP58" si="133">SUM(AB6:AB54)</f>
        <v>0</v>
      </c>
      <c r="AC58" s="137">
        <f t="shared" si="133"/>
        <v>2.5000499999999999</v>
      </c>
      <c r="AD58" s="137">
        <f t="shared" si="133"/>
        <v>5.1000899999999998</v>
      </c>
      <c r="AE58" s="137">
        <f t="shared" si="133"/>
        <v>7.6998899999999999</v>
      </c>
      <c r="AF58" s="137">
        <f t="shared" si="133"/>
        <v>10.299930000000002</v>
      </c>
      <c r="AG58" s="137">
        <f t="shared" si="133"/>
        <v>12.89992</v>
      </c>
      <c r="AH58" s="137">
        <f t="shared" si="133"/>
        <v>14.999969999999999</v>
      </c>
      <c r="AI58" s="137">
        <f t="shared" si="133"/>
        <v>17.599920000000001</v>
      </c>
      <c r="AJ58" s="137">
        <f t="shared" si="133"/>
        <v>20.199909999999999</v>
      </c>
      <c r="AK58" s="137">
        <f t="shared" si="133"/>
        <v>22.799890000000001</v>
      </c>
      <c r="AL58" s="137">
        <f t="shared" si="133"/>
        <v>25.000080000000001</v>
      </c>
      <c r="AM58" s="137">
        <f t="shared" si="133"/>
        <v>0</v>
      </c>
      <c r="AN58" s="137">
        <f t="shared" si="133"/>
        <v>0</v>
      </c>
      <c r="AO58" s="137">
        <f t="shared" si="133"/>
        <v>0</v>
      </c>
      <c r="AP58" s="137">
        <f t="shared" si="133"/>
        <v>0</v>
      </c>
      <c r="AR58" s="138">
        <f t="shared" ref="AR58:BF58" si="134">SQRT(SUMSQ(AR6:AR54))</f>
        <v>0</v>
      </c>
      <c r="AS58" s="138">
        <f t="shared" si="134"/>
        <v>0.14000000000000001</v>
      </c>
      <c r="AT58" s="138">
        <f t="shared" si="134"/>
        <v>0.14000000000000001</v>
      </c>
      <c r="AU58" s="138">
        <f t="shared" si="134"/>
        <v>0.1</v>
      </c>
      <c r="AV58" s="138">
        <f t="shared" si="134"/>
        <v>0.11</v>
      </c>
      <c r="AW58" s="138">
        <f t="shared" si="134"/>
        <v>0.11</v>
      </c>
      <c r="AX58" s="138">
        <f t="shared" si="134"/>
        <v>0.11</v>
      </c>
      <c r="AY58" s="138">
        <f t="shared" si="134"/>
        <v>0.12</v>
      </c>
      <c r="AZ58" s="138">
        <f t="shared" si="134"/>
        <v>0.12</v>
      </c>
      <c r="BA58" s="138">
        <f t="shared" si="134"/>
        <v>0.12</v>
      </c>
      <c r="BB58" s="138">
        <f t="shared" si="134"/>
        <v>0.14000000000000001</v>
      </c>
      <c r="BC58" s="138">
        <f t="shared" si="134"/>
        <v>0</v>
      </c>
      <c r="BD58" s="138">
        <f t="shared" si="134"/>
        <v>0</v>
      </c>
      <c r="BE58" s="138">
        <f t="shared" si="134"/>
        <v>0</v>
      </c>
      <c r="BF58" s="138">
        <f t="shared" si="134"/>
        <v>0</v>
      </c>
      <c r="BH58" s="134"/>
      <c r="CC58" s="134"/>
    </row>
    <row r="59" spans="1:95" hidden="1" x14ac:dyDescent="0.3">
      <c r="E59" s="136"/>
      <c r="L59" s="369">
        <f>MAX(L58:Z58)</f>
        <v>0</v>
      </c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R59" s="371">
        <f>MAX(AR58:BF58)</f>
        <v>0.14000000000000001</v>
      </c>
      <c r="AS59" s="371"/>
      <c r="AT59" s="371"/>
      <c r="AU59" s="371"/>
      <c r="AV59" s="371"/>
      <c r="AW59" s="371"/>
      <c r="AX59" s="371"/>
      <c r="AY59" s="371"/>
      <c r="AZ59" s="371"/>
      <c r="BA59" s="371"/>
      <c r="BB59" s="371"/>
      <c r="BC59" s="371"/>
      <c r="BD59" s="371"/>
      <c r="BE59" s="371"/>
      <c r="BF59" s="371"/>
      <c r="BH59" s="134"/>
      <c r="CC59" s="134"/>
    </row>
    <row r="60" spans="1:95" hidden="1" x14ac:dyDescent="0.3">
      <c r="E60" s="136"/>
      <c r="AB60" s="134" t="s">
        <v>197</v>
      </c>
    </row>
    <row r="61" spans="1:95" hidden="1" x14ac:dyDescent="0.3">
      <c r="E61" s="136"/>
      <c r="AB61" s="137">
        <f>AB58</f>
        <v>0</v>
      </c>
      <c r="AC61" s="137">
        <f>AB61</f>
        <v>0</v>
      </c>
    </row>
    <row r="62" spans="1:95" hidden="1" x14ac:dyDescent="0.3">
      <c r="E62" s="136"/>
      <c r="AB62" s="137">
        <f>AC58</f>
        <v>2.5000499999999999</v>
      </c>
      <c r="AC62" s="18">
        <f t="shared" ref="AC62:AC75" si="135">IF(AB62=0,"",AB62)</f>
        <v>2.5000499999999999</v>
      </c>
    </row>
    <row r="63" spans="1:95" hidden="1" x14ac:dyDescent="0.3">
      <c r="E63" s="136"/>
      <c r="AB63" s="137">
        <f>AD58</f>
        <v>5.1000899999999998</v>
      </c>
      <c r="AC63" s="18">
        <f t="shared" si="135"/>
        <v>5.1000899999999998</v>
      </c>
    </row>
    <row r="64" spans="1:95" hidden="1" x14ac:dyDescent="0.3">
      <c r="E64" s="136"/>
      <c r="AB64" s="137">
        <f>AE58</f>
        <v>7.6998899999999999</v>
      </c>
      <c r="AC64" s="18">
        <f t="shared" si="135"/>
        <v>7.6998899999999999</v>
      </c>
      <c r="AS64" s="135"/>
      <c r="BI64" s="135"/>
      <c r="CD64" s="135"/>
    </row>
    <row r="65" spans="5:29" hidden="1" x14ac:dyDescent="0.3">
      <c r="E65" s="136"/>
      <c r="AB65" s="137">
        <f>AF58</f>
        <v>10.299930000000002</v>
      </c>
      <c r="AC65" s="18">
        <f t="shared" si="135"/>
        <v>10.299930000000002</v>
      </c>
    </row>
    <row r="66" spans="5:29" hidden="1" x14ac:dyDescent="0.3">
      <c r="E66" s="136"/>
      <c r="AB66" s="137">
        <f>AG58</f>
        <v>12.89992</v>
      </c>
      <c r="AC66" s="18">
        <f t="shared" si="135"/>
        <v>12.89992</v>
      </c>
    </row>
    <row r="67" spans="5:29" hidden="1" x14ac:dyDescent="0.3">
      <c r="E67" s="136"/>
      <c r="AB67" s="137">
        <f>AH58</f>
        <v>14.999969999999999</v>
      </c>
      <c r="AC67" s="18">
        <f t="shared" si="135"/>
        <v>14.999969999999999</v>
      </c>
    </row>
    <row r="68" spans="5:29" hidden="1" x14ac:dyDescent="0.3">
      <c r="E68" s="136"/>
      <c r="AB68" s="137">
        <f>AI58</f>
        <v>17.599920000000001</v>
      </c>
      <c r="AC68" s="18">
        <f t="shared" si="135"/>
        <v>17.599920000000001</v>
      </c>
    </row>
    <row r="69" spans="5:29" hidden="1" x14ac:dyDescent="0.3">
      <c r="E69" s="136"/>
      <c r="AB69" s="137">
        <f>AJ58</f>
        <v>20.199909999999999</v>
      </c>
      <c r="AC69" s="18">
        <f t="shared" si="135"/>
        <v>20.199909999999999</v>
      </c>
    </row>
    <row r="70" spans="5:29" hidden="1" x14ac:dyDescent="0.3">
      <c r="E70" s="136"/>
      <c r="AB70" s="137">
        <f>AK58</f>
        <v>22.799890000000001</v>
      </c>
      <c r="AC70" s="18">
        <f t="shared" si="135"/>
        <v>22.799890000000001</v>
      </c>
    </row>
    <row r="71" spans="5:29" hidden="1" x14ac:dyDescent="0.3">
      <c r="E71" s="136"/>
      <c r="AB71" s="137">
        <f>AL58</f>
        <v>25.000080000000001</v>
      </c>
      <c r="AC71" s="18">
        <f t="shared" si="135"/>
        <v>25.000080000000001</v>
      </c>
    </row>
    <row r="72" spans="5:29" hidden="1" x14ac:dyDescent="0.3">
      <c r="E72" s="136"/>
      <c r="AB72" s="137">
        <f>AM58</f>
        <v>0</v>
      </c>
      <c r="AC72" s="18" t="str">
        <f t="shared" si="135"/>
        <v/>
      </c>
    </row>
    <row r="73" spans="5:29" hidden="1" x14ac:dyDescent="0.3">
      <c r="E73" s="136"/>
      <c r="AB73" s="137">
        <f>AN58</f>
        <v>0</v>
      </c>
      <c r="AC73" s="18" t="str">
        <f t="shared" si="135"/>
        <v/>
      </c>
    </row>
    <row r="74" spans="5:29" hidden="1" x14ac:dyDescent="0.3">
      <c r="E74" s="136"/>
      <c r="AB74" s="137">
        <f>AO58</f>
        <v>0</v>
      </c>
      <c r="AC74" s="18" t="str">
        <f t="shared" si="135"/>
        <v/>
      </c>
    </row>
    <row r="75" spans="5:29" hidden="1" x14ac:dyDescent="0.3">
      <c r="E75" s="136"/>
      <c r="AB75" s="137">
        <f>AP58</f>
        <v>0</v>
      </c>
      <c r="AC75" s="18" t="str">
        <f t="shared" si="135"/>
        <v/>
      </c>
    </row>
    <row r="76" spans="5:29" hidden="1" x14ac:dyDescent="0.3">
      <c r="E76" s="136"/>
    </row>
    <row r="77" spans="5:29" hidden="1" x14ac:dyDescent="0.3">
      <c r="E77" s="136"/>
    </row>
    <row r="78" spans="5:29" hidden="1" x14ac:dyDescent="0.3">
      <c r="E78" s="136"/>
    </row>
    <row r="79" spans="5:29" hidden="1" x14ac:dyDescent="0.3">
      <c r="E79" s="136"/>
    </row>
    <row r="80" spans="5:29" hidden="1" x14ac:dyDescent="0.3">
      <c r="E80" s="136"/>
    </row>
    <row r="81" spans="5:5" hidden="1" x14ac:dyDescent="0.3">
      <c r="E81" s="136"/>
    </row>
    <row r="82" spans="5:5" hidden="1" x14ac:dyDescent="0.3">
      <c r="E82" s="136"/>
    </row>
    <row r="83" spans="5:5" hidden="1" x14ac:dyDescent="0.3">
      <c r="E83" s="136"/>
    </row>
    <row r="84" spans="5:5" hidden="1" x14ac:dyDescent="0.3">
      <c r="E84" s="136"/>
    </row>
    <row r="85" spans="5:5" hidden="1" x14ac:dyDescent="0.3">
      <c r="E85" s="136"/>
    </row>
    <row r="86" spans="5:5" hidden="1" x14ac:dyDescent="0.3">
      <c r="E86" s="136"/>
    </row>
    <row r="87" spans="5:5" hidden="1" x14ac:dyDescent="0.3">
      <c r="E87" s="136"/>
    </row>
    <row r="88" spans="5:5" hidden="1" x14ac:dyDescent="0.3">
      <c r="E88" s="136"/>
    </row>
    <row r="89" spans="5:5" hidden="1" x14ac:dyDescent="0.3">
      <c r="E89" s="136"/>
    </row>
    <row r="90" spans="5:5" hidden="1" x14ac:dyDescent="0.3">
      <c r="E90" s="136"/>
    </row>
    <row r="91" spans="5:5" hidden="1" x14ac:dyDescent="0.3">
      <c r="E91" s="136"/>
    </row>
    <row r="92" spans="5:5" hidden="1" x14ac:dyDescent="0.3">
      <c r="E92" s="136"/>
    </row>
    <row r="93" spans="5:5" hidden="1" x14ac:dyDescent="0.3">
      <c r="E93" s="136"/>
    </row>
    <row r="94" spans="5:5" hidden="1" x14ac:dyDescent="0.3">
      <c r="E94" s="136"/>
    </row>
    <row r="95" spans="5:5" hidden="1" x14ac:dyDescent="0.3">
      <c r="E95" s="136"/>
    </row>
    <row r="96" spans="5:5" hidden="1" x14ac:dyDescent="0.3">
      <c r="E96" s="136"/>
    </row>
    <row r="97" spans="5:5" hidden="1" x14ac:dyDescent="0.3">
      <c r="E97" s="136"/>
    </row>
    <row r="98" spans="5:5" hidden="1" x14ac:dyDescent="0.3">
      <c r="E98" s="136"/>
    </row>
    <row r="99" spans="5:5" hidden="1" x14ac:dyDescent="0.3">
      <c r="E99" s="136"/>
    </row>
    <row r="100" spans="5:5" hidden="1" x14ac:dyDescent="0.3">
      <c r="E100" s="136"/>
    </row>
    <row r="101" spans="5:5" hidden="1" x14ac:dyDescent="0.3">
      <c r="E101" s="136"/>
    </row>
    <row r="102" spans="5:5" hidden="1" x14ac:dyDescent="0.3">
      <c r="E102" s="136"/>
    </row>
    <row r="103" spans="5:5" hidden="1" x14ac:dyDescent="0.3">
      <c r="E103" s="136"/>
    </row>
    <row r="104" spans="5:5" hidden="1" x14ac:dyDescent="0.3">
      <c r="E104" s="136"/>
    </row>
    <row r="105" spans="5:5" hidden="1" x14ac:dyDescent="0.3">
      <c r="E105" s="136"/>
    </row>
    <row r="106" spans="5:5" hidden="1" x14ac:dyDescent="0.3">
      <c r="E106" s="136"/>
    </row>
    <row r="107" spans="5:5" hidden="1" x14ac:dyDescent="0.3">
      <c r="E107" s="136"/>
    </row>
    <row r="108" spans="5:5" hidden="1" x14ac:dyDescent="0.3">
      <c r="E108" s="136"/>
    </row>
    <row r="109" spans="5:5" hidden="1" x14ac:dyDescent="0.3">
      <c r="E109" s="136"/>
    </row>
    <row r="110" spans="5:5" hidden="1" x14ac:dyDescent="0.3">
      <c r="E110" s="136"/>
    </row>
    <row r="111" spans="5:5" hidden="1" x14ac:dyDescent="0.3">
      <c r="E111" s="136"/>
    </row>
    <row r="112" spans="5:5" hidden="1" x14ac:dyDescent="0.3">
      <c r="E112" s="136"/>
    </row>
    <row r="113" spans="5:5" hidden="1" x14ac:dyDescent="0.3">
      <c r="E113" s="136"/>
    </row>
    <row r="114" spans="5:5" hidden="1" x14ac:dyDescent="0.3">
      <c r="E114" s="136"/>
    </row>
  </sheetData>
  <mergeCells count="5">
    <mergeCell ref="L59:Z59"/>
    <mergeCell ref="AR59:BF59"/>
    <mergeCell ref="A4:A5"/>
    <mergeCell ref="B4:B5"/>
    <mergeCell ref="C4:C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42"/>
  <sheetViews>
    <sheetView topLeftCell="D24" workbookViewId="0">
      <selection activeCell="S18" sqref="S18"/>
    </sheetView>
  </sheetViews>
  <sheetFormatPr defaultRowHeight="13.2" x14ac:dyDescent="0.25"/>
  <cols>
    <col min="1" max="1" width="34.6640625" customWidth="1"/>
    <col min="2" max="2" width="2.109375" customWidth="1"/>
    <col min="5" max="5" width="12.44140625" customWidth="1"/>
    <col min="9" max="9" width="9.5546875" customWidth="1"/>
    <col min="12" max="12" width="11.33203125" customWidth="1"/>
  </cols>
  <sheetData>
    <row r="1" spans="1:19" s="5" customFormat="1" x14ac:dyDescent="0.25">
      <c r="C1" s="5" t="s">
        <v>198</v>
      </c>
      <c r="K1" s="5" t="s">
        <v>199</v>
      </c>
    </row>
    <row r="2" spans="1:19" s="5" customFormat="1" x14ac:dyDescent="0.25">
      <c r="C2" s="5" t="s">
        <v>200</v>
      </c>
    </row>
    <row r="3" spans="1:19" s="5" customFormat="1" x14ac:dyDescent="0.25">
      <c r="C3" s="5" t="s">
        <v>201</v>
      </c>
    </row>
    <row r="4" spans="1:19" s="5" customFormat="1" x14ac:dyDescent="0.25">
      <c r="C4" s="5" t="s">
        <v>202</v>
      </c>
    </row>
    <row r="5" spans="1:19" s="5" customFormat="1" x14ac:dyDescent="0.25">
      <c r="A5" s="6" t="s">
        <v>203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9" s="5" customFormat="1" x14ac:dyDescent="0.25">
      <c r="A6" s="7" t="s">
        <v>204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9" s="5" customFormat="1" x14ac:dyDescent="0.25">
      <c r="A7" s="5" t="s">
        <v>205</v>
      </c>
      <c r="B7" s="5" t="s">
        <v>46</v>
      </c>
      <c r="C7" s="5" t="s">
        <v>206</v>
      </c>
    </row>
    <row r="8" spans="1:19" s="5" customFormat="1" x14ac:dyDescent="0.25">
      <c r="A8" s="5" t="s">
        <v>137</v>
      </c>
      <c r="B8" s="5" t="s">
        <v>46</v>
      </c>
      <c r="C8" s="5" t="s">
        <v>207</v>
      </c>
    </row>
    <row r="9" spans="1:19" s="5" customFormat="1" x14ac:dyDescent="0.25">
      <c r="C9" s="5" t="s">
        <v>208</v>
      </c>
      <c r="N9" s="378" t="s">
        <v>209</v>
      </c>
      <c r="O9" s="378"/>
      <c r="P9" s="215"/>
    </row>
    <row r="10" spans="1:19" s="5" customFormat="1" x14ac:dyDescent="0.25">
      <c r="A10" s="8" t="s">
        <v>210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N10" s="12" t="s">
        <v>183</v>
      </c>
      <c r="O10" s="12" t="s">
        <v>211</v>
      </c>
      <c r="P10" s="12" t="s">
        <v>183</v>
      </c>
      <c r="Q10" s="12" t="s">
        <v>212</v>
      </c>
      <c r="R10" s="12" t="s">
        <v>183</v>
      </c>
      <c r="S10" s="12" t="s">
        <v>213</v>
      </c>
    </row>
    <row r="11" spans="1:19" s="5" customFormat="1" x14ac:dyDescent="0.25">
      <c r="A11" s="5" t="s">
        <v>214</v>
      </c>
      <c r="B11" s="5" t="s">
        <v>46</v>
      </c>
      <c r="C11" s="5" t="s">
        <v>215</v>
      </c>
      <c r="N11" s="163">
        <v>0</v>
      </c>
      <c r="O11" s="16">
        <v>0.93</v>
      </c>
      <c r="P11" s="16">
        <v>5</v>
      </c>
      <c r="Q11" s="16">
        <v>0.97</v>
      </c>
      <c r="R11" s="163">
        <v>0</v>
      </c>
      <c r="S11" s="16">
        <v>0.93</v>
      </c>
    </row>
    <row r="12" spans="1:19" s="5" customFormat="1" x14ac:dyDescent="0.25">
      <c r="A12" s="5" t="s">
        <v>216</v>
      </c>
      <c r="B12" s="5" t="s">
        <v>46</v>
      </c>
      <c r="C12" s="5" t="s">
        <v>217</v>
      </c>
      <c r="J12" s="5" t="s">
        <v>218</v>
      </c>
      <c r="K12" s="5">
        <f>11.5*10^-6</f>
        <v>1.15E-5</v>
      </c>
      <c r="L12" s="5" t="s">
        <v>219</v>
      </c>
      <c r="N12" s="163">
        <v>25.001000000000001</v>
      </c>
      <c r="O12" s="264">
        <v>1</v>
      </c>
      <c r="P12" s="163">
        <v>30.001000000000001</v>
      </c>
      <c r="Q12" s="16">
        <v>1</v>
      </c>
      <c r="R12" s="163">
        <v>25.001000000000001</v>
      </c>
      <c r="S12" s="19">
        <v>1</v>
      </c>
    </row>
    <row r="13" spans="1:19" s="5" customFormat="1" x14ac:dyDescent="0.25">
      <c r="A13" s="5" t="s">
        <v>220</v>
      </c>
      <c r="B13" s="5" t="s">
        <v>46</v>
      </c>
      <c r="C13" s="5" t="s">
        <v>221</v>
      </c>
      <c r="N13" s="163">
        <v>50.000999999999998</v>
      </c>
      <c r="O13" s="264">
        <v>1</v>
      </c>
      <c r="P13" s="163">
        <v>50.000999999999998</v>
      </c>
      <c r="Q13" s="19">
        <v>1.2</v>
      </c>
      <c r="R13" s="163">
        <v>50.000999999999998</v>
      </c>
      <c r="S13" s="19">
        <v>1.2</v>
      </c>
    </row>
    <row r="14" spans="1:19" s="5" customFormat="1" x14ac:dyDescent="0.25">
      <c r="A14" s="5" t="s">
        <v>222</v>
      </c>
      <c r="B14" s="5" t="s">
        <v>46</v>
      </c>
      <c r="C14" s="5" t="s">
        <v>223</v>
      </c>
      <c r="N14" s="163">
        <v>75.001000000000005</v>
      </c>
      <c r="O14" s="19">
        <v>1.3</v>
      </c>
      <c r="P14" s="163">
        <v>75.001000000000005</v>
      </c>
      <c r="Q14" s="19">
        <v>1.3</v>
      </c>
      <c r="R14" s="163">
        <v>75.001000000000005</v>
      </c>
      <c r="S14" s="19">
        <v>1.5</v>
      </c>
    </row>
    <row r="15" spans="1:19" s="5" customFormat="1" x14ac:dyDescent="0.25">
      <c r="A15" s="5" t="s">
        <v>224</v>
      </c>
      <c r="B15" s="5" t="s">
        <v>46</v>
      </c>
      <c r="C15" s="17">
        <f>'INPUT DATA'!E26*'TABEL DATA'!M5</f>
        <v>212</v>
      </c>
      <c r="D15" s="5" t="s">
        <v>98</v>
      </c>
      <c r="N15" s="163">
        <v>100.001</v>
      </c>
      <c r="O15" s="19">
        <v>1.3</v>
      </c>
      <c r="P15" s="163">
        <v>100.001</v>
      </c>
      <c r="Q15" s="19">
        <v>1.5</v>
      </c>
      <c r="R15" s="163">
        <v>100.001</v>
      </c>
      <c r="S15" s="19">
        <v>1.5</v>
      </c>
    </row>
    <row r="16" spans="1:19" s="5" customFormat="1" ht="15.6" customHeight="1" x14ac:dyDescent="0.25">
      <c r="A16" s="376" t="s">
        <v>225</v>
      </c>
      <c r="B16" s="376"/>
      <c r="C16" s="10" t="s">
        <v>226</v>
      </c>
      <c r="D16" s="10" t="s">
        <v>227</v>
      </c>
      <c r="E16" s="10" t="s">
        <v>228</v>
      </c>
      <c r="F16" s="10" t="s">
        <v>229</v>
      </c>
      <c r="G16" s="205" t="s">
        <v>230</v>
      </c>
      <c r="H16" s="10" t="s">
        <v>231</v>
      </c>
      <c r="I16" s="10" t="s">
        <v>232</v>
      </c>
      <c r="J16" s="10" t="s">
        <v>233</v>
      </c>
      <c r="K16" s="10" t="s">
        <v>234</v>
      </c>
      <c r="L16" s="10" t="s">
        <v>235</v>
      </c>
      <c r="N16" s="163">
        <v>125.001</v>
      </c>
      <c r="O16" s="19">
        <v>1.5</v>
      </c>
      <c r="P16" s="163">
        <v>125.001</v>
      </c>
      <c r="Q16" s="19">
        <v>1.7</v>
      </c>
    </row>
    <row r="17" spans="1:17" s="5" customFormat="1" x14ac:dyDescent="0.25">
      <c r="A17" s="377" t="s">
        <v>236</v>
      </c>
      <c r="B17" s="377"/>
      <c r="C17" s="11" t="s">
        <v>237</v>
      </c>
      <c r="D17" s="11" t="s">
        <v>238</v>
      </c>
      <c r="E17" s="11" t="s">
        <v>239</v>
      </c>
      <c r="F17" s="11" t="s">
        <v>240</v>
      </c>
      <c r="G17" s="11" t="s">
        <v>241</v>
      </c>
      <c r="H17" s="11" t="s">
        <v>242</v>
      </c>
      <c r="I17" s="11" t="s">
        <v>243</v>
      </c>
      <c r="J17" s="11" t="s">
        <v>244</v>
      </c>
      <c r="K17" s="11" t="s">
        <v>245</v>
      </c>
      <c r="L17" s="11" t="s">
        <v>246</v>
      </c>
      <c r="N17" s="163">
        <v>150.001</v>
      </c>
      <c r="O17" s="19">
        <v>1.7</v>
      </c>
      <c r="P17" s="163">
        <v>150.001</v>
      </c>
      <c r="Q17" s="19">
        <v>1.9</v>
      </c>
    </row>
    <row r="18" spans="1:17" s="5" customFormat="1" x14ac:dyDescent="0.25">
      <c r="A18" s="379" t="s">
        <v>247</v>
      </c>
      <c r="B18" s="380"/>
      <c r="C18" s="206" t="s">
        <v>248</v>
      </c>
      <c r="D18" s="206" t="s">
        <v>249</v>
      </c>
      <c r="E18" s="207" t="e">
        <f ca="1">'INPUT DATA'!O75*1000</f>
        <v>#NAME?</v>
      </c>
      <c r="F18" s="207">
        <f>SQRT(5)</f>
        <v>2.2360679774997898</v>
      </c>
      <c r="G18" s="206">
        <f>5-1</f>
        <v>4</v>
      </c>
      <c r="H18" s="208" t="e">
        <f t="shared" ref="H18:H26" ca="1" si="0">E18/F18</f>
        <v>#NAME?</v>
      </c>
      <c r="I18" s="206">
        <v>1</v>
      </c>
      <c r="J18" s="208" t="e">
        <f t="shared" ref="J18:J26" ca="1" si="1">H18*I18</f>
        <v>#NAME?</v>
      </c>
      <c r="K18" s="208" t="e">
        <f t="shared" ref="K18:K26" ca="1" si="2">J18^2</f>
        <v>#NAME?</v>
      </c>
      <c r="L18" s="212" t="e">
        <f t="shared" ref="L18:L26" ca="1" si="3">J18^4/G18</f>
        <v>#NAME?</v>
      </c>
      <c r="N18" s="163">
        <v>175.001</v>
      </c>
      <c r="O18" s="16">
        <v>1.9</v>
      </c>
      <c r="P18" s="163">
        <v>175.001</v>
      </c>
      <c r="Q18" s="16">
        <v>2.1</v>
      </c>
    </row>
    <row r="19" spans="1:17" s="5" customFormat="1" x14ac:dyDescent="0.25">
      <c r="A19" s="379" t="s">
        <v>250</v>
      </c>
      <c r="B19" s="380"/>
      <c r="C19" s="206" t="s">
        <v>248</v>
      </c>
      <c r="D19" s="206" t="s">
        <v>251</v>
      </c>
      <c r="E19" s="206">
        <f>'INPUT DATA'!S27*'TABEL DATA'!M5/2*1000</f>
        <v>100</v>
      </c>
      <c r="F19" s="207">
        <f>SQRT(3)</f>
        <v>1.7320508075688772</v>
      </c>
      <c r="G19" s="206">
        <v>200</v>
      </c>
      <c r="H19" s="208">
        <f t="shared" si="0"/>
        <v>57.735026918962582</v>
      </c>
      <c r="I19" s="206">
        <v>1</v>
      </c>
      <c r="J19" s="208">
        <f t="shared" si="1"/>
        <v>57.735026918962582</v>
      </c>
      <c r="K19" s="208">
        <f t="shared" si="2"/>
        <v>3333.3333333333339</v>
      </c>
      <c r="L19" s="212">
        <f t="shared" si="3"/>
        <v>55555.555555555577</v>
      </c>
      <c r="N19" s="163">
        <v>200.001</v>
      </c>
      <c r="O19" s="16">
        <v>1.9</v>
      </c>
      <c r="P19" s="163">
        <v>200.001</v>
      </c>
      <c r="Q19" s="16">
        <v>2.2999999999999998</v>
      </c>
    </row>
    <row r="20" spans="1:17" s="5" customFormat="1" x14ac:dyDescent="0.25">
      <c r="A20" s="379" t="s">
        <v>252</v>
      </c>
      <c r="B20" s="380"/>
      <c r="C20" s="206" t="s">
        <v>248</v>
      </c>
      <c r="D20" s="206" t="s">
        <v>249</v>
      </c>
      <c r="E20" s="207">
        <f>'Pilih Standar'!AR59</f>
        <v>0.14000000000000001</v>
      </c>
      <c r="F20" s="207">
        <v>2</v>
      </c>
      <c r="G20" s="206">
        <v>60</v>
      </c>
      <c r="H20" s="208">
        <f t="shared" si="0"/>
        <v>7.0000000000000007E-2</v>
      </c>
      <c r="I20" s="206">
        <v>1</v>
      </c>
      <c r="J20" s="208">
        <f t="shared" si="1"/>
        <v>7.0000000000000007E-2</v>
      </c>
      <c r="K20" s="208">
        <f t="shared" si="2"/>
        <v>4.9000000000000007E-3</v>
      </c>
      <c r="L20" s="212">
        <f t="shared" si="3"/>
        <v>4.0016666666666675E-7</v>
      </c>
      <c r="N20" s="163">
        <v>225.001</v>
      </c>
      <c r="O20" s="16">
        <v>2.2000000000000002</v>
      </c>
      <c r="P20" s="163">
        <v>225.001</v>
      </c>
      <c r="Q20" s="16">
        <v>2.4</v>
      </c>
    </row>
    <row r="21" spans="1:17" s="5" customFormat="1" ht="13.8" customHeight="1" x14ac:dyDescent="0.3">
      <c r="A21" s="379" t="s">
        <v>253</v>
      </c>
      <c r="B21" s="380"/>
      <c r="C21" s="206" t="s">
        <v>254</v>
      </c>
      <c r="D21" s="206" t="s">
        <v>251</v>
      </c>
      <c r="E21" s="207" t="e">
        <f ca="1">ABS(20-'INPUT DATA'!H42)</f>
        <v>#N/A</v>
      </c>
      <c r="F21" s="207">
        <v>1.73</v>
      </c>
      <c r="G21" s="206">
        <v>200</v>
      </c>
      <c r="H21" s="208" t="e">
        <f t="shared" ca="1" si="0"/>
        <v>#N/A</v>
      </c>
      <c r="I21" s="207">
        <f>C15*1000*K12</f>
        <v>2.4380000000000002</v>
      </c>
      <c r="J21" s="208" t="e">
        <f t="shared" ca="1" si="1"/>
        <v>#N/A</v>
      </c>
      <c r="K21" s="208" t="e">
        <f t="shared" ca="1" si="2"/>
        <v>#N/A</v>
      </c>
      <c r="L21" s="212" t="e">
        <f t="shared" ca="1" si="3"/>
        <v>#N/A</v>
      </c>
      <c r="N21" s="163">
        <v>250.001</v>
      </c>
      <c r="O21" s="16">
        <v>2.2999999999999998</v>
      </c>
      <c r="P21" s="163">
        <v>250.001</v>
      </c>
      <c r="Q21" s="16">
        <v>2.7</v>
      </c>
    </row>
    <row r="22" spans="1:17" s="5" customFormat="1" ht="13.8" customHeight="1" x14ac:dyDescent="0.3">
      <c r="A22" s="379" t="s">
        <v>255</v>
      </c>
      <c r="B22" s="380"/>
      <c r="C22" s="206" t="s">
        <v>254</v>
      </c>
      <c r="D22" s="206" t="s">
        <v>251</v>
      </c>
      <c r="E22" s="206">
        <v>0.1</v>
      </c>
      <c r="F22" s="207">
        <f>SQRT(3)</f>
        <v>1.7320508075688772</v>
      </c>
      <c r="G22" s="206">
        <v>200</v>
      </c>
      <c r="H22" s="208">
        <f t="shared" si="0"/>
        <v>5.7735026918962581E-2</v>
      </c>
      <c r="I22" s="207">
        <f>C15*K12*1000</f>
        <v>2.4380000000000002</v>
      </c>
      <c r="J22" s="208">
        <f t="shared" si="1"/>
        <v>0.14075799562843078</v>
      </c>
      <c r="K22" s="208">
        <f t="shared" si="2"/>
        <v>1.9812813333333339E-2</v>
      </c>
      <c r="L22" s="212">
        <f t="shared" si="3"/>
        <v>1.9627378609075564E-6</v>
      </c>
      <c r="N22" s="163">
        <v>275.00099999999998</v>
      </c>
      <c r="O22" s="16">
        <v>2.5</v>
      </c>
      <c r="P22" s="163">
        <v>275.00099999999998</v>
      </c>
      <c r="Q22" s="16">
        <v>2.8</v>
      </c>
    </row>
    <row r="23" spans="1:17" s="5" customFormat="1" ht="13.8" customHeight="1" x14ac:dyDescent="0.3">
      <c r="A23" s="379" t="s">
        <v>256</v>
      </c>
      <c r="B23" s="380"/>
      <c r="C23" s="206" t="s">
        <v>257</v>
      </c>
      <c r="D23" s="206" t="s">
        <v>251</v>
      </c>
      <c r="E23" s="213">
        <f>K12/10</f>
        <v>1.15E-6</v>
      </c>
      <c r="F23" s="207">
        <f>SQRT(3)</f>
        <v>1.7320508075688772</v>
      </c>
      <c r="G23" s="206">
        <v>200</v>
      </c>
      <c r="H23" s="208">
        <f t="shared" si="0"/>
        <v>6.6395280956806967E-7</v>
      </c>
      <c r="I23" s="214">
        <f>C15*4*1000</f>
        <v>848000</v>
      </c>
      <c r="J23" s="208">
        <f t="shared" si="1"/>
        <v>0.56303198251372311</v>
      </c>
      <c r="K23" s="208">
        <f t="shared" si="2"/>
        <v>0.31700501333333342</v>
      </c>
      <c r="L23" s="212">
        <f t="shared" si="3"/>
        <v>5.0246089239233444E-4</v>
      </c>
      <c r="N23" s="163">
        <v>300.00099999999998</v>
      </c>
      <c r="O23" s="16">
        <v>2.7</v>
      </c>
      <c r="P23" s="163">
        <v>300.00099999999998</v>
      </c>
      <c r="Q23" s="16">
        <v>3.1</v>
      </c>
    </row>
    <row r="24" spans="1:17" s="5" customFormat="1" x14ac:dyDescent="0.25">
      <c r="A24" s="379" t="s">
        <v>258</v>
      </c>
      <c r="B24" s="380"/>
      <c r="C24" s="206" t="s">
        <v>248</v>
      </c>
      <c r="D24" s="206" t="s">
        <v>251</v>
      </c>
      <c r="E24" s="208">
        <f>3*(0.02+0.00025*C15)</f>
        <v>0.21899999999999997</v>
      </c>
      <c r="F24" s="207">
        <f>SQRT(3)</f>
        <v>1.7320508075688772</v>
      </c>
      <c r="G24" s="206">
        <v>200</v>
      </c>
      <c r="H24" s="208">
        <f t="shared" si="0"/>
        <v>0.12643970895252804</v>
      </c>
      <c r="I24" s="206">
        <v>1</v>
      </c>
      <c r="J24" s="208">
        <f t="shared" si="1"/>
        <v>0.12643970895252804</v>
      </c>
      <c r="K24" s="208">
        <f t="shared" si="2"/>
        <v>1.5987000000000001E-2</v>
      </c>
      <c r="L24" s="212">
        <f t="shared" si="3"/>
        <v>1.2779208450000002E-6</v>
      </c>
      <c r="N24" s="163">
        <v>325.00099999999998</v>
      </c>
      <c r="O24" s="16">
        <v>2.8</v>
      </c>
      <c r="P24" s="12">
        <v>325</v>
      </c>
      <c r="Q24" s="12">
        <v>3.2</v>
      </c>
    </row>
    <row r="25" spans="1:17" s="5" customFormat="1" x14ac:dyDescent="0.25">
      <c r="A25" s="379" t="s">
        <v>259</v>
      </c>
      <c r="B25" s="380"/>
      <c r="C25" s="206" t="s">
        <v>248</v>
      </c>
      <c r="D25" s="206" t="s">
        <v>251</v>
      </c>
      <c r="E25" s="207">
        <f>SQRT('Pilih Standar'!L59*0.05^2)</f>
        <v>0</v>
      </c>
      <c r="F25" s="207">
        <f>SQRT(3)</f>
        <v>1.7320508075688772</v>
      </c>
      <c r="G25" s="206">
        <v>201</v>
      </c>
      <c r="H25" s="208">
        <f t="shared" si="0"/>
        <v>0</v>
      </c>
      <c r="I25" s="206">
        <v>1</v>
      </c>
      <c r="J25" s="208">
        <f t="shared" si="1"/>
        <v>0</v>
      </c>
      <c r="K25" s="208">
        <f t="shared" si="2"/>
        <v>0</v>
      </c>
      <c r="L25" s="212">
        <f t="shared" si="3"/>
        <v>0</v>
      </c>
      <c r="N25" s="163">
        <v>350.00099999999998</v>
      </c>
      <c r="O25" s="16">
        <v>2.9</v>
      </c>
      <c r="P25" s="12">
        <v>350</v>
      </c>
      <c r="Q25" s="12">
        <v>3.4</v>
      </c>
    </row>
    <row r="26" spans="1:17" s="5" customFormat="1" x14ac:dyDescent="0.25">
      <c r="A26" s="379" t="s">
        <v>260</v>
      </c>
      <c r="B26" s="380"/>
      <c r="C26" s="206" t="s">
        <v>248</v>
      </c>
      <c r="D26" s="206" t="s">
        <v>251</v>
      </c>
      <c r="E26" s="206">
        <f>0.5</f>
        <v>0.5</v>
      </c>
      <c r="F26" s="207">
        <f>SQRT(3)</f>
        <v>1.7320508075688772</v>
      </c>
      <c r="G26" s="206">
        <v>200</v>
      </c>
      <c r="H26" s="208">
        <f t="shared" si="0"/>
        <v>0.28867513459481292</v>
      </c>
      <c r="I26" s="206">
        <v>1</v>
      </c>
      <c r="J26" s="208">
        <f t="shared" si="1"/>
        <v>0.28867513459481292</v>
      </c>
      <c r="K26" s="208">
        <f t="shared" si="2"/>
        <v>8.3333333333333356E-2</v>
      </c>
      <c r="L26" s="212">
        <f t="shared" si="3"/>
        <v>3.4722222222222243E-5</v>
      </c>
      <c r="N26" s="163">
        <v>375.00099999999998</v>
      </c>
      <c r="O26" s="211">
        <v>3</v>
      </c>
      <c r="P26" s="12">
        <v>363</v>
      </c>
      <c r="Q26" s="12">
        <v>3.4</v>
      </c>
    </row>
    <row r="27" spans="1:17" s="5" customFormat="1" x14ac:dyDescent="0.25">
      <c r="A27" s="13" t="s">
        <v>261</v>
      </c>
      <c r="B27" s="14"/>
      <c r="C27" s="14"/>
      <c r="D27" s="14"/>
      <c r="E27" s="14"/>
      <c r="F27" s="14"/>
      <c r="G27" s="14"/>
      <c r="H27" s="14"/>
      <c r="I27" s="15"/>
      <c r="J27" s="202" t="e">
        <f ca="1">SUM(K18:K26)</f>
        <v>#NAME?</v>
      </c>
      <c r="K27" s="203"/>
      <c r="L27" s="200" t="e">
        <f ca="1">SUM(L18:L26)</f>
        <v>#NAME?</v>
      </c>
      <c r="N27" s="163">
        <v>400.00099999999998</v>
      </c>
      <c r="O27" s="16">
        <v>3.1</v>
      </c>
    </row>
    <row r="28" spans="1:17" s="5" customFormat="1" x14ac:dyDescent="0.25">
      <c r="A28" s="13" t="s">
        <v>262</v>
      </c>
      <c r="B28" s="14"/>
      <c r="C28" s="14"/>
      <c r="D28" s="14"/>
      <c r="E28" s="14"/>
      <c r="F28" s="14"/>
      <c r="G28" s="14"/>
      <c r="H28" s="14"/>
      <c r="I28" s="15"/>
      <c r="J28" s="202" t="e">
        <f ca="1">SQRT(J27)</f>
        <v>#NAME?</v>
      </c>
      <c r="K28" s="203"/>
      <c r="L28" s="203"/>
      <c r="N28" s="163">
        <v>425.00099999999998</v>
      </c>
      <c r="O28" s="16">
        <v>3.3</v>
      </c>
    </row>
    <row r="29" spans="1:17" s="5" customFormat="1" x14ac:dyDescent="0.25">
      <c r="A29" s="13" t="s">
        <v>263</v>
      </c>
      <c r="B29" s="14"/>
      <c r="C29" s="14"/>
      <c r="D29" s="14"/>
      <c r="E29" s="14"/>
      <c r="F29" s="14"/>
      <c r="G29" s="14"/>
      <c r="H29" s="14"/>
      <c r="I29" s="15"/>
      <c r="J29" s="216" t="e">
        <f ca="1">J28^4/L27</f>
        <v>#NAME?</v>
      </c>
      <c r="K29" s="203"/>
      <c r="L29" s="203"/>
      <c r="N29" s="163">
        <v>450.00099999999998</v>
      </c>
      <c r="O29" s="16">
        <v>3.5</v>
      </c>
    </row>
    <row r="30" spans="1:17" s="5" customFormat="1" x14ac:dyDescent="0.25">
      <c r="A30" s="13" t="s">
        <v>264</v>
      </c>
      <c r="B30" s="14"/>
      <c r="C30" s="14"/>
      <c r="D30" s="14"/>
      <c r="E30" s="14"/>
      <c r="F30" s="14"/>
      <c r="G30" s="14"/>
      <c r="H30" s="14"/>
      <c r="I30" s="15"/>
      <c r="J30" s="201" t="e">
        <f ca="1">TINV(0.05,J29)</f>
        <v>#NAME?</v>
      </c>
      <c r="K30" s="203"/>
      <c r="L30" s="203"/>
      <c r="N30" s="163">
        <v>475.00099999999998</v>
      </c>
      <c r="O30" s="16">
        <v>3.7</v>
      </c>
    </row>
    <row r="31" spans="1:17" s="5" customFormat="1" x14ac:dyDescent="0.25">
      <c r="A31" s="13" t="s">
        <v>265</v>
      </c>
      <c r="B31" s="14"/>
      <c r="C31" s="14"/>
      <c r="D31" s="14"/>
      <c r="E31" s="14"/>
      <c r="F31" s="14"/>
      <c r="G31" s="14"/>
      <c r="H31" s="14"/>
      <c r="I31" s="15"/>
      <c r="J31" s="201" t="e">
        <f ca="1">J28*J30</f>
        <v>#NAME?</v>
      </c>
      <c r="K31" s="203"/>
      <c r="L31" s="203"/>
      <c r="N31" s="163">
        <v>500.00099999999998</v>
      </c>
      <c r="O31" s="16">
        <v>3.7</v>
      </c>
    </row>
    <row r="32" spans="1:17" x14ac:dyDescent="0.25">
      <c r="K32" s="204"/>
      <c r="L32" s="204"/>
    </row>
    <row r="33" spans="14:19" x14ac:dyDescent="0.25">
      <c r="N33" s="217">
        <f>C15</f>
        <v>212</v>
      </c>
      <c r="O33" s="138">
        <f>VLOOKUP(N33,N11:O31,2)</f>
        <v>1.9</v>
      </c>
      <c r="P33" s="217">
        <f>C15</f>
        <v>212</v>
      </c>
      <c r="Q33" s="138">
        <f>VLOOKUP(P33,P11:Q23,2)</f>
        <v>2.2999999999999998</v>
      </c>
      <c r="R33" s="217">
        <f>C15</f>
        <v>212</v>
      </c>
      <c r="S33" s="138">
        <f>VLOOKUP(R33,R11:S15,2)</f>
        <v>1.5</v>
      </c>
    </row>
    <row r="35" spans="14:19" x14ac:dyDescent="0.25">
      <c r="N35" s="18" t="s">
        <v>211</v>
      </c>
      <c r="O35" s="138">
        <f>O33</f>
        <v>1.9</v>
      </c>
    </row>
    <row r="36" spans="14:19" x14ac:dyDescent="0.25">
      <c r="N36" s="18" t="s">
        <v>212</v>
      </c>
      <c r="O36" s="138">
        <f>Q33</f>
        <v>2.2999999999999998</v>
      </c>
    </row>
    <row r="37" spans="14:19" x14ac:dyDescent="0.25">
      <c r="N37" s="18" t="s">
        <v>213</v>
      </c>
      <c r="O37" s="138">
        <f>S33</f>
        <v>1.5</v>
      </c>
    </row>
    <row r="39" spans="14:19" x14ac:dyDescent="0.25">
      <c r="N39" s="218">
        <f>'TABEL DATA'!P6</f>
        <v>1</v>
      </c>
    </row>
    <row r="40" spans="14:19" x14ac:dyDescent="0.25">
      <c r="N40" s="18" t="str">
        <f>INDEX(N35:N37,N39)</f>
        <v>Outside</v>
      </c>
      <c r="O40" s="18">
        <f>INDEX(O35:O37,N39)</f>
        <v>1.9</v>
      </c>
    </row>
    <row r="42" spans="14:19" x14ac:dyDescent="0.25">
      <c r="N42" s="219" t="s">
        <v>266</v>
      </c>
      <c r="O42" s="219" t="e">
        <f ca="1">IF(J31&lt;O40,O40,J31)</f>
        <v>#NAME?</v>
      </c>
    </row>
  </sheetData>
  <mergeCells count="12">
    <mergeCell ref="A26:B26"/>
    <mergeCell ref="A22:B22"/>
    <mergeCell ref="A20:B20"/>
    <mergeCell ref="A21:B21"/>
    <mergeCell ref="A23:B23"/>
    <mergeCell ref="A24:B24"/>
    <mergeCell ref="A25:B25"/>
    <mergeCell ref="A16:B16"/>
    <mergeCell ref="A17:B17"/>
    <mergeCell ref="N9:O9"/>
    <mergeCell ref="A18:B18"/>
    <mergeCell ref="A19:B1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92D050"/>
  </sheetPr>
  <dimension ref="A1:AL63"/>
  <sheetViews>
    <sheetView showGridLines="0" tabSelected="1" view="pageBreakPreview" topLeftCell="A22" zoomScale="115" zoomScaleSheetLayoutView="115" workbookViewId="0">
      <selection activeCell="J50" sqref="J50"/>
    </sheetView>
  </sheetViews>
  <sheetFormatPr defaultColWidth="3.6640625" defaultRowHeight="13.95" customHeight="1" x14ac:dyDescent="0.25"/>
  <cols>
    <col min="1" max="21" width="4.33203125" style="45" customWidth="1"/>
    <col min="22" max="23" width="3.6640625" style="45"/>
    <col min="24" max="24" width="7" style="45" customWidth="1"/>
    <col min="25" max="25" width="5.6640625" style="45" customWidth="1"/>
    <col min="26" max="26" width="3.6640625" style="45"/>
    <col min="27" max="27" width="4.6640625" style="45" customWidth="1"/>
    <col min="28" max="29" width="3.6640625" style="45"/>
    <col min="30" max="30" width="9.44140625" style="45" customWidth="1"/>
    <col min="31" max="31" width="3.6640625" style="45"/>
  </cols>
  <sheetData>
    <row r="1" spans="1:29" ht="30" customHeight="1" x14ac:dyDescent="0.25">
      <c r="A1" s="366" t="s">
        <v>114</v>
      </c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</row>
    <row r="2" spans="1:29" ht="13.95" customHeight="1" x14ac:dyDescent="0.25">
      <c r="A2" s="357" t="s">
        <v>267</v>
      </c>
      <c r="B2" s="357"/>
      <c r="C2" s="357"/>
      <c r="D2" s="357"/>
      <c r="E2" s="53" t="s">
        <v>46</v>
      </c>
      <c r="F2" s="363" t="str">
        <f>SERTIFIKAT!C2</f>
        <v>PAS-K25-999999</v>
      </c>
      <c r="G2" s="363"/>
      <c r="H2" s="363"/>
      <c r="I2" s="363"/>
      <c r="J2" s="363"/>
      <c r="K2" s="363"/>
      <c r="L2" s="363"/>
      <c r="M2" s="363"/>
      <c r="N2" s="363"/>
      <c r="O2" s="408" t="s">
        <v>116</v>
      </c>
      <c r="P2" s="408"/>
      <c r="Q2" s="367" t="s">
        <v>46</v>
      </c>
      <c r="R2" s="364">
        <v>2</v>
      </c>
      <c r="S2" s="367" t="s">
        <v>117</v>
      </c>
      <c r="T2" s="367"/>
      <c r="U2" s="364">
        <v>2</v>
      </c>
      <c r="W2" s="45">
        <v>0</v>
      </c>
    </row>
    <row r="3" spans="1:29" ht="13.95" customHeight="1" x14ac:dyDescent="0.25">
      <c r="A3" s="357" t="s">
        <v>268</v>
      </c>
      <c r="B3" s="357"/>
      <c r="C3" s="357"/>
      <c r="D3" s="357"/>
      <c r="E3" s="53" t="s">
        <v>46</v>
      </c>
      <c r="F3" s="45" t="str">
        <f>IF('INPUT DATA'!E39="Lab. Kalibrasi PT Pananjung Anugrah Solution.",CONCATENATE('INPUT DATA'!E37," ",'INPUT DATA'!F37," ",'INPUT DATA'!H37),LAMPIRAN!F5)</f>
        <v>13 2 433</v>
      </c>
      <c r="O3" s="409" t="s">
        <v>119</v>
      </c>
      <c r="P3" s="409"/>
      <c r="Q3" s="367"/>
      <c r="R3" s="364"/>
      <c r="S3" s="368" t="s">
        <v>120</v>
      </c>
      <c r="T3" s="368"/>
      <c r="U3" s="364"/>
      <c r="W3" s="45">
        <v>0</v>
      </c>
    </row>
    <row r="4" spans="1:29" ht="7.95" customHeight="1" x14ac:dyDescent="0.25">
      <c r="A4" s="52"/>
      <c r="B4" s="52"/>
      <c r="C4" s="52"/>
      <c r="D4" s="52"/>
      <c r="E4" s="53"/>
      <c r="F4" s="52"/>
      <c r="G4" s="52"/>
      <c r="H4" s="52"/>
      <c r="I4" s="52"/>
      <c r="J4" s="52"/>
      <c r="K4" s="52"/>
      <c r="L4" s="52"/>
      <c r="M4" s="52"/>
      <c r="N4" s="49"/>
      <c r="O4" s="49"/>
      <c r="P4" s="49"/>
      <c r="Q4" s="54"/>
      <c r="R4" s="53"/>
      <c r="S4" s="55"/>
      <c r="T4" s="55"/>
      <c r="U4" s="53"/>
      <c r="W4" s="45">
        <v>0</v>
      </c>
    </row>
    <row r="5" spans="1:29" ht="13.95" customHeight="1" x14ac:dyDescent="0.25">
      <c r="A5" s="357" t="s">
        <v>269</v>
      </c>
      <c r="B5" s="357"/>
      <c r="C5" s="357"/>
      <c r="D5" s="357"/>
      <c r="E5" s="53" t="s">
        <v>46</v>
      </c>
      <c r="F5" s="45" t="str">
        <f>CONCATENATE('INPUT DATA'!E38," ",'INPUT DATA'!F38," ",'INPUT DATA'!H38)</f>
        <v>13 2 433</v>
      </c>
      <c r="O5" s="59"/>
      <c r="P5" s="397" t="s">
        <v>270</v>
      </c>
      <c r="Q5" s="398"/>
      <c r="R5" s="398"/>
      <c r="S5" s="398"/>
      <c r="T5" s="398"/>
      <c r="U5" s="399"/>
      <c r="W5" s="45">
        <v>0</v>
      </c>
    </row>
    <row r="6" spans="1:29" ht="13.95" customHeight="1" x14ac:dyDescent="0.25">
      <c r="A6" s="357" t="s">
        <v>271</v>
      </c>
      <c r="B6" s="357"/>
      <c r="C6" s="357"/>
      <c r="D6" s="357"/>
      <c r="E6" s="53" t="s">
        <v>46</v>
      </c>
      <c r="F6" s="360" t="str">
        <f>'INPUT DATA'!E39</f>
        <v>lab</v>
      </c>
      <c r="G6" s="360"/>
      <c r="H6" s="360"/>
      <c r="I6" s="360"/>
      <c r="J6" s="360"/>
      <c r="K6" s="360"/>
      <c r="L6" s="360"/>
      <c r="M6" s="360"/>
      <c r="N6" s="360"/>
      <c r="O6" s="411"/>
      <c r="P6" s="56" t="s">
        <v>272</v>
      </c>
      <c r="Q6" s="54" t="s">
        <v>46</v>
      </c>
      <c r="R6" s="57" t="e">
        <f ca="1">"("&amp;FIXED('INPUT DATA'!H42,1)</f>
        <v>#N/A</v>
      </c>
      <c r="S6" s="57" t="s">
        <v>84</v>
      </c>
      <c r="T6" s="58" t="str">
        <f>FIXED('INPUT DATA'!J42,1)&amp;")"</f>
        <v>0.6)</v>
      </c>
      <c r="U6" s="59" t="s">
        <v>273</v>
      </c>
      <c r="W6" s="45">
        <v>0</v>
      </c>
    </row>
    <row r="7" spans="1:29" ht="13.95" customHeight="1" x14ac:dyDescent="0.25">
      <c r="A7" s="357"/>
      <c r="B7" s="357"/>
      <c r="C7" s="357"/>
      <c r="D7" s="357"/>
      <c r="E7" s="53"/>
      <c r="F7" s="360"/>
      <c r="G7" s="360"/>
      <c r="H7" s="360"/>
      <c r="I7" s="360"/>
      <c r="J7" s="360"/>
      <c r="K7" s="360"/>
      <c r="L7" s="360"/>
      <c r="M7" s="360"/>
      <c r="N7" s="360"/>
      <c r="O7" s="411"/>
      <c r="P7" s="60" t="s">
        <v>274</v>
      </c>
      <c r="Q7" s="61" t="s">
        <v>46</v>
      </c>
      <c r="R7" s="62" t="e">
        <f ca="1">"("&amp;FIXED('INPUT DATA'!H43,1)</f>
        <v>#N/A</v>
      </c>
      <c r="S7" s="62" t="s">
        <v>84</v>
      </c>
      <c r="T7" s="63" t="str">
        <f>FIXED('INPUT DATA'!J43,1)&amp;")"</f>
        <v>3.1)</v>
      </c>
      <c r="U7" s="64" t="s">
        <v>87</v>
      </c>
      <c r="W7" s="45">
        <v>0</v>
      </c>
    </row>
    <row r="8" spans="1:29" ht="13.95" customHeight="1" x14ac:dyDescent="0.25">
      <c r="A8" s="357"/>
      <c r="B8" s="357"/>
      <c r="C8" s="357"/>
      <c r="D8" s="357"/>
      <c r="E8" s="53"/>
      <c r="F8" s="120"/>
      <c r="W8" s="45">
        <v>0</v>
      </c>
    </row>
    <row r="9" spans="1:29" ht="13.95" customHeight="1" x14ac:dyDescent="0.25">
      <c r="A9" s="358" t="s">
        <v>275</v>
      </c>
      <c r="B9" s="358"/>
      <c r="C9" s="358"/>
      <c r="D9" s="358"/>
      <c r="E9" s="358"/>
      <c r="F9" s="358"/>
      <c r="G9" s="358"/>
      <c r="H9" s="358"/>
      <c r="I9" s="358"/>
      <c r="J9" s="358"/>
      <c r="K9" s="358"/>
      <c r="L9" s="358"/>
      <c r="M9" s="358"/>
      <c r="N9" s="358"/>
      <c r="O9" s="358"/>
      <c r="P9" s="358"/>
      <c r="Q9" s="358"/>
      <c r="R9" s="358"/>
      <c r="S9" s="358"/>
      <c r="T9" s="358"/>
      <c r="U9" s="358"/>
      <c r="W9" s="45">
        <v>0</v>
      </c>
    </row>
    <row r="10" spans="1:29" ht="13.95" customHeight="1" x14ac:dyDescent="0.25">
      <c r="A10" s="410" t="s">
        <v>276</v>
      </c>
      <c r="B10" s="410"/>
      <c r="C10" s="410"/>
      <c r="D10" s="410"/>
      <c r="E10" s="410"/>
      <c r="F10" s="410"/>
      <c r="G10" s="410"/>
      <c r="H10" s="410"/>
      <c r="I10" s="410"/>
      <c r="J10" s="410"/>
      <c r="K10" s="410"/>
      <c r="L10" s="410"/>
      <c r="M10" s="410"/>
      <c r="N10" s="410"/>
      <c r="O10" s="410"/>
      <c r="P10" s="410"/>
      <c r="Q10" s="410"/>
      <c r="R10" s="410"/>
      <c r="S10" s="410"/>
      <c r="T10" s="410"/>
      <c r="U10" s="410"/>
      <c r="W10" s="45">
        <v>0</v>
      </c>
    </row>
    <row r="11" spans="1:29" ht="13.95" customHeight="1" x14ac:dyDescent="0.25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W11" s="45" t="s">
        <v>277</v>
      </c>
    </row>
    <row r="12" spans="1:29" ht="13.95" customHeight="1" x14ac:dyDescent="0.25">
      <c r="A12" s="65"/>
      <c r="B12" s="65"/>
      <c r="C12" s="65"/>
      <c r="D12" s="403" t="s">
        <v>278</v>
      </c>
      <c r="E12" s="404"/>
      <c r="F12" s="404"/>
      <c r="G12" s="404"/>
      <c r="H12" s="404"/>
      <c r="I12" s="404"/>
      <c r="J12" s="404"/>
      <c r="K12" s="404"/>
      <c r="L12" s="404"/>
      <c r="M12" s="404"/>
      <c r="N12" s="404"/>
      <c r="O12" s="404"/>
      <c r="P12" s="404"/>
      <c r="Q12" s="404"/>
      <c r="R12" s="405"/>
      <c r="S12" s="65"/>
      <c r="T12" s="65"/>
      <c r="U12" s="65"/>
      <c r="W12" s="45" t="s">
        <v>277</v>
      </c>
      <c r="Y12" s="248" t="s">
        <v>278</v>
      </c>
      <c r="Z12" s="249"/>
      <c r="AA12" s="249"/>
      <c r="AB12" s="249"/>
      <c r="AC12" s="250"/>
    </row>
    <row r="13" spans="1:29" ht="13.95" customHeight="1" x14ac:dyDescent="0.35">
      <c r="A13" s="71"/>
      <c r="B13" s="71"/>
      <c r="C13" s="71"/>
      <c r="D13" s="388" t="s">
        <v>95</v>
      </c>
      <c r="E13" s="389"/>
      <c r="F13" s="389"/>
      <c r="G13" s="389"/>
      <c r="H13" s="390"/>
      <c r="I13" s="388" t="s">
        <v>91</v>
      </c>
      <c r="J13" s="389"/>
      <c r="K13" s="389"/>
      <c r="L13" s="389"/>
      <c r="M13" s="390"/>
      <c r="N13" s="388" t="s">
        <v>92</v>
      </c>
      <c r="O13" s="389"/>
      <c r="P13" s="389"/>
      <c r="Q13" s="389"/>
      <c r="R13" s="390"/>
      <c r="S13" s="71"/>
      <c r="T13" s="71"/>
      <c r="U13" s="71"/>
      <c r="W13" s="45" t="s">
        <v>277</v>
      </c>
      <c r="Y13" s="221" t="s">
        <v>279</v>
      </c>
      <c r="Z13" s="222"/>
      <c r="AB13" s="222" t="s">
        <v>280</v>
      </c>
      <c r="AC13" s="223">
        <f>'TABEL DATA'!K4</f>
        <v>1</v>
      </c>
    </row>
    <row r="14" spans="1:29" ht="13.95" customHeight="1" x14ac:dyDescent="0.35">
      <c r="A14" s="71"/>
      <c r="B14" s="71"/>
      <c r="C14" s="71"/>
      <c r="D14" s="394" t="str">
        <f>"( "&amp;'TABEL DATA'!K5&amp;" )"</f>
        <v>( mm )</v>
      </c>
      <c r="E14" s="395"/>
      <c r="F14" s="395"/>
      <c r="G14" s="395"/>
      <c r="H14" s="396"/>
      <c r="I14" s="394" t="str">
        <f>"( "&amp;'TABEL DATA'!L5&amp;" )"</f>
        <v>( μm )</v>
      </c>
      <c r="J14" s="395"/>
      <c r="K14" s="395"/>
      <c r="L14" s="395"/>
      <c r="M14" s="396"/>
      <c r="N14" s="394" t="str">
        <f>I14</f>
        <v>( μm )</v>
      </c>
      <c r="O14" s="395"/>
      <c r="P14" s="395"/>
      <c r="Q14" s="395"/>
      <c r="R14" s="396"/>
      <c r="S14" s="71"/>
      <c r="T14" s="71"/>
      <c r="U14" s="71"/>
      <c r="V14" s="66"/>
      <c r="W14" s="45" t="s">
        <v>277</v>
      </c>
      <c r="X14" s="66"/>
      <c r="Y14" s="240" t="s">
        <v>98</v>
      </c>
      <c r="Z14" s="240">
        <v>2</v>
      </c>
      <c r="AA14" s="381">
        <f>INDEX(Z14:Z15,AC13)</f>
        <v>2</v>
      </c>
      <c r="AB14" s="222"/>
    </row>
    <row r="15" spans="1:29" s="68" customFormat="1" ht="18" customHeight="1" x14ac:dyDescent="0.25">
      <c r="A15" s="45"/>
      <c r="B15" s="45"/>
      <c r="C15" s="45"/>
      <c r="D15" s="406" t="str">
        <f>FIXED('INPUT DATA'!Q52,AA14)</f>
        <v>0.00</v>
      </c>
      <c r="E15" s="406"/>
      <c r="F15" s="406"/>
      <c r="G15" s="406"/>
      <c r="H15" s="406"/>
      <c r="I15" s="406" t="str">
        <f>FIXED('INPUT DATA'!R52,AA14)</f>
        <v>0.00</v>
      </c>
      <c r="J15" s="406"/>
      <c r="K15" s="406"/>
      <c r="L15" s="406"/>
      <c r="M15" s="406"/>
      <c r="N15" s="406" t="str">
        <f>FIXED('INPUT DATA'!S52,AA14)</f>
        <v>0.00</v>
      </c>
      <c r="O15" s="406"/>
      <c r="P15" s="406"/>
      <c r="Q15" s="406"/>
      <c r="R15" s="406"/>
      <c r="S15" s="45"/>
      <c r="T15" s="45"/>
      <c r="U15" s="45"/>
      <c r="V15" s="109"/>
      <c r="W15" s="45" t="s">
        <v>277</v>
      </c>
      <c r="X15" s="109"/>
      <c r="Y15" s="240" t="s">
        <v>108</v>
      </c>
      <c r="Z15" s="240">
        <v>3</v>
      </c>
      <c r="AA15" s="382"/>
    </row>
    <row r="16" spans="1:29" s="48" customFormat="1" ht="13.95" customHeight="1" x14ac:dyDescent="0.35">
      <c r="A16" s="71"/>
      <c r="B16" s="71"/>
      <c r="C16" s="71"/>
      <c r="D16" s="407"/>
      <c r="E16" s="407"/>
      <c r="F16" s="407"/>
      <c r="G16" s="407"/>
      <c r="H16" s="407"/>
      <c r="I16" s="407"/>
      <c r="J16" s="407"/>
      <c r="K16" s="407"/>
      <c r="L16" s="407"/>
      <c r="M16" s="407"/>
      <c r="N16" s="407"/>
      <c r="O16" s="407"/>
      <c r="P16" s="407"/>
      <c r="Q16" s="407"/>
      <c r="R16" s="407"/>
      <c r="S16" s="71"/>
      <c r="T16" s="71"/>
      <c r="U16" s="71"/>
      <c r="V16" s="66"/>
      <c r="W16" s="45">
        <v>0</v>
      </c>
      <c r="X16" s="66"/>
    </row>
    <row r="17" spans="1:29" s="69" customFormat="1" ht="15" customHeight="1" x14ac:dyDescent="0.35">
      <c r="A17" s="71"/>
      <c r="B17" s="71"/>
      <c r="C17" s="71"/>
      <c r="D17" s="400" t="s">
        <v>281</v>
      </c>
      <c r="E17" s="401"/>
      <c r="F17" s="401"/>
      <c r="G17" s="401"/>
      <c r="H17" s="401"/>
      <c r="I17" s="401"/>
      <c r="J17" s="401"/>
      <c r="K17" s="401"/>
      <c r="L17" s="401"/>
      <c r="M17" s="401"/>
      <c r="N17" s="401"/>
      <c r="O17" s="401"/>
      <c r="P17" s="401"/>
      <c r="Q17" s="401"/>
      <c r="R17" s="402"/>
      <c r="S17" s="71"/>
      <c r="T17" s="71"/>
      <c r="U17" s="71"/>
      <c r="V17" s="66"/>
      <c r="W17" s="45">
        <v>0</v>
      </c>
      <c r="X17" s="66"/>
    </row>
    <row r="18" spans="1:29" ht="15" customHeight="1" x14ac:dyDescent="0.35">
      <c r="A18" s="71"/>
      <c r="B18" s="71"/>
      <c r="C18" s="71"/>
      <c r="D18" s="388" t="s">
        <v>282</v>
      </c>
      <c r="E18" s="389"/>
      <c r="F18" s="389"/>
      <c r="G18" s="389"/>
      <c r="H18" s="390"/>
      <c r="I18" s="388" t="s">
        <v>102</v>
      </c>
      <c r="J18" s="389"/>
      <c r="K18" s="389"/>
      <c r="L18" s="389"/>
      <c r="M18" s="390"/>
      <c r="N18" s="388" t="s">
        <v>283</v>
      </c>
      <c r="O18" s="389"/>
      <c r="P18" s="389"/>
      <c r="Q18" s="389"/>
      <c r="R18" s="390"/>
      <c r="S18" s="71"/>
      <c r="T18" s="71"/>
      <c r="U18" s="71"/>
      <c r="V18" s="66"/>
      <c r="W18" s="45">
        <v>0</v>
      </c>
      <c r="X18" s="66"/>
    </row>
    <row r="19" spans="1:29" s="68" customFormat="1" ht="13.95" customHeight="1" x14ac:dyDescent="0.3">
      <c r="A19" s="72"/>
      <c r="B19" s="72"/>
      <c r="C19" s="72"/>
      <c r="D19" s="391" t="s">
        <v>284</v>
      </c>
      <c r="E19" s="392"/>
      <c r="F19" s="392"/>
      <c r="G19" s="392"/>
      <c r="H19" s="393"/>
      <c r="I19" s="391" t="s">
        <v>285</v>
      </c>
      <c r="J19" s="392"/>
      <c r="K19" s="392"/>
      <c r="L19" s="392"/>
      <c r="M19" s="393"/>
      <c r="N19" s="391" t="s">
        <v>286</v>
      </c>
      <c r="O19" s="392"/>
      <c r="P19" s="392"/>
      <c r="Q19" s="392"/>
      <c r="R19" s="393"/>
      <c r="S19" s="72"/>
      <c r="T19" s="72"/>
      <c r="U19" s="72"/>
      <c r="V19" s="67"/>
      <c r="W19" s="45">
        <v>0</v>
      </c>
      <c r="X19" s="67"/>
    </row>
    <row r="20" spans="1:29" s="48" customFormat="1" ht="15" customHeight="1" x14ac:dyDescent="0.35">
      <c r="A20" s="71"/>
      <c r="B20" s="71"/>
      <c r="C20" s="71"/>
      <c r="D20" s="394" t="str">
        <f>"( "&amp;'TABEL DATA'!K5&amp;" )"</f>
        <v>( mm )</v>
      </c>
      <c r="E20" s="395"/>
      <c r="F20" s="395"/>
      <c r="G20" s="395"/>
      <c r="H20" s="396"/>
      <c r="I20" s="394" t="str">
        <f>D20</f>
        <v>( mm )</v>
      </c>
      <c r="J20" s="395"/>
      <c r="K20" s="395"/>
      <c r="L20" s="395"/>
      <c r="M20" s="396"/>
      <c r="N20" s="394" t="str">
        <f>D20</f>
        <v>( mm )</v>
      </c>
      <c r="O20" s="395"/>
      <c r="P20" s="395"/>
      <c r="Q20" s="395"/>
      <c r="R20" s="396"/>
      <c r="S20" s="71"/>
      <c r="T20" s="71"/>
      <c r="U20" s="71"/>
      <c r="V20" s="66"/>
      <c r="W20" s="45">
        <v>0</v>
      </c>
      <c r="X20" s="66"/>
      <c r="Y20" s="248" t="s">
        <v>281</v>
      </c>
      <c r="Z20" s="246"/>
      <c r="AA20" s="246"/>
      <c r="AB20" s="246"/>
      <c r="AC20" s="246"/>
    </row>
    <row r="21" spans="1:29" s="55" customFormat="1" ht="18" customHeight="1" x14ac:dyDescent="0.25">
      <c r="A21" s="54"/>
      <c r="B21" s="54"/>
      <c r="C21" s="54"/>
      <c r="D21" s="383" t="str">
        <f>IF('INPUT DATA'!Q58="","",FIXED('INPUT DATA'!Q58,$AA$22))</f>
        <v>0.000</v>
      </c>
      <c r="E21" s="383"/>
      <c r="F21" s="383"/>
      <c r="G21" s="383"/>
      <c r="H21" s="383"/>
      <c r="I21" s="383" t="str">
        <f>IF(D21="","",FIXED('INPUT DATA'!R58,$AA$22))</f>
        <v>18.000</v>
      </c>
      <c r="J21" s="383"/>
      <c r="K21" s="383"/>
      <c r="L21" s="383"/>
      <c r="M21" s="383"/>
      <c r="N21" s="383" t="str">
        <f>IF(D21="","",FIXED('INPUT DATA'!S58,$AA$22))</f>
        <v>-18.000</v>
      </c>
      <c r="O21" s="383"/>
      <c r="P21" s="383"/>
      <c r="Q21" s="383"/>
      <c r="R21" s="383"/>
      <c r="S21" s="54"/>
      <c r="T21" s="54"/>
      <c r="U21" s="54"/>
      <c r="V21" s="74"/>
      <c r="W21" s="45">
        <v>1</v>
      </c>
      <c r="X21" s="220"/>
      <c r="Y21" s="221" t="s">
        <v>279</v>
      </c>
      <c r="Z21" s="222"/>
      <c r="AA21" s="222"/>
      <c r="AB21" s="222" t="s">
        <v>280</v>
      </c>
      <c r="AC21" s="223">
        <f>'TABEL DATA'!K4</f>
        <v>1</v>
      </c>
    </row>
    <row r="22" spans="1:29" s="55" customFormat="1" ht="18" customHeight="1" x14ac:dyDescent="0.25">
      <c r="A22" s="54"/>
      <c r="B22" s="54"/>
      <c r="C22" s="54"/>
      <c r="D22" s="383" t="str">
        <f>IF('INPUT DATA'!Q59="","",FIXED('INPUT DATA'!Q59,$AA$22))</f>
        <v>2.500</v>
      </c>
      <c r="E22" s="383"/>
      <c r="F22" s="383"/>
      <c r="G22" s="383"/>
      <c r="H22" s="383"/>
      <c r="I22" s="383" t="str">
        <f>IF(D22="","",FIXED('INPUT DATA'!R59,$AA$22))</f>
        <v>6.000</v>
      </c>
      <c r="J22" s="383"/>
      <c r="K22" s="383"/>
      <c r="L22" s="383"/>
      <c r="M22" s="383"/>
      <c r="N22" s="383" t="str">
        <f>IF(D22="","",FIXED('INPUT DATA'!S59,$AA$22))</f>
        <v>-3.500</v>
      </c>
      <c r="O22" s="383"/>
      <c r="P22" s="383"/>
      <c r="Q22" s="383"/>
      <c r="R22" s="383"/>
      <c r="S22" s="54"/>
      <c r="T22" s="54"/>
      <c r="U22" s="54"/>
      <c r="V22" s="74"/>
      <c r="W22" s="45">
        <v>2</v>
      </c>
      <c r="X22" s="74"/>
      <c r="Y22" s="240" t="s">
        <v>98</v>
      </c>
      <c r="Z22" s="240">
        <v>3</v>
      </c>
      <c r="AA22" s="381">
        <f>INDEX(Z22:Z23,AC21)</f>
        <v>3</v>
      </c>
      <c r="AB22" s="222"/>
    </row>
    <row r="23" spans="1:29" s="55" customFormat="1" ht="18" customHeight="1" x14ac:dyDescent="0.25">
      <c r="A23" s="54"/>
      <c r="B23" s="54"/>
      <c r="C23" s="54"/>
      <c r="D23" s="383" t="str">
        <f>IF('INPUT DATA'!Q60="","",FIXED('INPUT DATA'!Q60,$AA$22))</f>
        <v>5.100</v>
      </c>
      <c r="E23" s="383"/>
      <c r="F23" s="383"/>
      <c r="G23" s="383"/>
      <c r="H23" s="383"/>
      <c r="I23" s="383" t="str">
        <f>IF(D23="","",FIXED('INPUT DATA'!R60,$AA$22))</f>
        <v>18.000</v>
      </c>
      <c r="J23" s="383"/>
      <c r="K23" s="383"/>
      <c r="L23" s="383"/>
      <c r="M23" s="383"/>
      <c r="N23" s="383" t="str">
        <f>IF(D23="","",FIXED('INPUT DATA'!S60,$AA$22))</f>
        <v>-12.900</v>
      </c>
      <c r="O23" s="383"/>
      <c r="P23" s="383"/>
      <c r="Q23" s="383"/>
      <c r="R23" s="383"/>
      <c r="S23" s="54"/>
      <c r="T23" s="54"/>
      <c r="U23" s="54"/>
      <c r="V23" s="74"/>
      <c r="W23" s="45">
        <v>3</v>
      </c>
      <c r="X23" s="74"/>
      <c r="Y23" s="240" t="s">
        <v>108</v>
      </c>
      <c r="Z23" s="240">
        <v>5</v>
      </c>
      <c r="AA23" s="382"/>
      <c r="AB23" s="222"/>
    </row>
    <row r="24" spans="1:29" s="55" customFormat="1" ht="18" customHeight="1" x14ac:dyDescent="0.25">
      <c r="A24" s="54"/>
      <c r="B24" s="54"/>
      <c r="C24" s="54"/>
      <c r="D24" s="383" t="str">
        <f>IF('INPUT DATA'!Q61="","",FIXED('INPUT DATA'!Q61,$AA$22))</f>
        <v>7.700</v>
      </c>
      <c r="E24" s="383"/>
      <c r="F24" s="383"/>
      <c r="G24" s="383"/>
      <c r="H24" s="383"/>
      <c r="I24" s="383" t="str">
        <f>IF(D24="","",FIXED('INPUT DATA'!R61,$AA$22))</f>
        <v>24.600</v>
      </c>
      <c r="J24" s="383"/>
      <c r="K24" s="383"/>
      <c r="L24" s="383"/>
      <c r="M24" s="383"/>
      <c r="N24" s="383" t="str">
        <f>IF(D24="","",FIXED('INPUT DATA'!S61,$AA$22))</f>
        <v>-16.900</v>
      </c>
      <c r="O24" s="383"/>
      <c r="P24" s="383"/>
      <c r="Q24" s="383"/>
      <c r="R24" s="383"/>
      <c r="S24" s="54"/>
      <c r="T24" s="54"/>
      <c r="U24" s="54"/>
      <c r="V24" s="74"/>
      <c r="W24" s="45">
        <v>4</v>
      </c>
      <c r="X24" s="74"/>
      <c r="AA24" s="52"/>
    </row>
    <row r="25" spans="1:29" s="55" customFormat="1" ht="18" customHeight="1" x14ac:dyDescent="0.25">
      <c r="A25" s="54"/>
      <c r="B25" s="54"/>
      <c r="C25" s="54"/>
      <c r="D25" s="383" t="str">
        <f>IF('INPUT DATA'!Q62="","",FIXED('INPUT DATA'!Q62,$AA$22))</f>
        <v>10.300</v>
      </c>
      <c r="E25" s="383"/>
      <c r="F25" s="383"/>
      <c r="G25" s="383"/>
      <c r="H25" s="383"/>
      <c r="I25" s="383" t="str">
        <f>IF(D25="","",FIXED('INPUT DATA'!R62,$AA$22))</f>
        <v>38.000</v>
      </c>
      <c r="J25" s="383"/>
      <c r="K25" s="383"/>
      <c r="L25" s="383"/>
      <c r="M25" s="383"/>
      <c r="N25" s="383" t="str">
        <f>IF(D25="","",FIXED('INPUT DATA'!S62,$AA$22))</f>
        <v>-27.700</v>
      </c>
      <c r="O25" s="383"/>
      <c r="P25" s="383"/>
      <c r="Q25" s="383"/>
      <c r="R25" s="383"/>
      <c r="S25" s="54"/>
      <c r="T25" s="54"/>
      <c r="U25" s="54"/>
      <c r="V25" s="74"/>
      <c r="W25" s="45">
        <v>5</v>
      </c>
      <c r="X25" s="74"/>
    </row>
    <row r="26" spans="1:29" s="55" customFormat="1" ht="18" customHeight="1" x14ac:dyDescent="0.25">
      <c r="A26" s="54"/>
      <c r="B26" s="54"/>
      <c r="C26" s="54"/>
      <c r="D26" s="383" t="str">
        <f>IF('INPUT DATA'!Q63="","",FIXED('INPUT DATA'!Q63,$AA$22))</f>
        <v>12.900</v>
      </c>
      <c r="E26" s="383"/>
      <c r="F26" s="383"/>
      <c r="G26" s="383"/>
      <c r="H26" s="383"/>
      <c r="I26" s="383" t="str">
        <f>IF(D26="","",FIXED('INPUT DATA'!R63,$AA$22))</f>
        <v>21.000</v>
      </c>
      <c r="J26" s="383"/>
      <c r="K26" s="383"/>
      <c r="L26" s="383"/>
      <c r="M26" s="383"/>
      <c r="N26" s="383" t="str">
        <f>IF(D26="","",FIXED('INPUT DATA'!S63,$AA$22))</f>
        <v>-8.100</v>
      </c>
      <c r="O26" s="383"/>
      <c r="P26" s="383"/>
      <c r="Q26" s="383"/>
      <c r="R26" s="383"/>
      <c r="S26" s="54"/>
      <c r="T26" s="54"/>
      <c r="U26" s="54"/>
      <c r="V26" s="74"/>
      <c r="W26" s="45">
        <v>6</v>
      </c>
      <c r="X26" s="74"/>
    </row>
    <row r="27" spans="1:29" s="55" customFormat="1" ht="18" customHeight="1" x14ac:dyDescent="0.25">
      <c r="A27" s="54"/>
      <c r="B27" s="54"/>
      <c r="C27" s="54"/>
      <c r="D27" s="383" t="str">
        <f>IF('INPUT DATA'!Q64="","",FIXED('INPUT DATA'!Q64,$AA$22))</f>
        <v>15.000</v>
      </c>
      <c r="E27" s="383"/>
      <c r="F27" s="383"/>
      <c r="G27" s="383"/>
      <c r="H27" s="383"/>
      <c r="I27" s="383" t="str">
        <f>IF(D27="","",FIXED('INPUT DATA'!R64,$AA$22))</f>
        <v>7.000</v>
      </c>
      <c r="J27" s="383"/>
      <c r="K27" s="383"/>
      <c r="L27" s="383"/>
      <c r="M27" s="383"/>
      <c r="N27" s="383" t="str">
        <f>IF(D27="","",FIXED('INPUT DATA'!S64,$AA$22))</f>
        <v>8.000</v>
      </c>
      <c r="O27" s="383"/>
      <c r="P27" s="383"/>
      <c r="Q27" s="383"/>
      <c r="R27" s="383"/>
      <c r="S27" s="54"/>
      <c r="T27" s="54"/>
      <c r="U27" s="54"/>
      <c r="V27" s="74"/>
      <c r="W27" s="45">
        <v>7</v>
      </c>
      <c r="X27" s="74"/>
    </row>
    <row r="28" spans="1:29" s="55" customFormat="1" ht="18" customHeight="1" x14ac:dyDescent="0.25">
      <c r="A28" s="54"/>
      <c r="B28" s="54"/>
      <c r="C28" s="54"/>
      <c r="D28" s="383" t="str">
        <f>IF('INPUT DATA'!Q65="","",FIXED('INPUT DATA'!Q65,$AA$22))</f>
        <v>17.600</v>
      </c>
      <c r="E28" s="383"/>
      <c r="F28" s="383"/>
      <c r="G28" s="383"/>
      <c r="H28" s="383"/>
      <c r="I28" s="383" t="str">
        <f>IF(D28="","",FIXED('INPUT DATA'!R65,$AA$22))</f>
        <v>7.000</v>
      </c>
      <c r="J28" s="383"/>
      <c r="K28" s="383"/>
      <c r="L28" s="383"/>
      <c r="M28" s="383"/>
      <c r="N28" s="383" t="str">
        <f>IF(D28="","",FIXED('INPUT DATA'!S65,$AA$22))</f>
        <v>10.600</v>
      </c>
      <c r="O28" s="383"/>
      <c r="P28" s="383"/>
      <c r="Q28" s="383"/>
      <c r="R28" s="383"/>
      <c r="S28" s="54"/>
      <c r="T28" s="54"/>
      <c r="U28" s="54"/>
      <c r="V28" s="74"/>
      <c r="W28" s="45">
        <v>8</v>
      </c>
      <c r="X28" s="74"/>
    </row>
    <row r="29" spans="1:29" s="73" customFormat="1" ht="18" customHeight="1" x14ac:dyDescent="0.25">
      <c r="A29" s="54"/>
      <c r="B29" s="54"/>
      <c r="C29" s="54"/>
      <c r="D29" s="383" t="str">
        <f>IF('INPUT DATA'!Q66="","",FIXED('INPUT DATA'!Q66,$AA$22))</f>
        <v>20.200</v>
      </c>
      <c r="E29" s="383"/>
      <c r="F29" s="383"/>
      <c r="G29" s="383"/>
      <c r="H29" s="383"/>
      <c r="I29" s="383" t="str">
        <f>IF(D29="","",FIXED('INPUT DATA'!R66,$AA$22))</f>
        <v>21.000</v>
      </c>
      <c r="J29" s="383"/>
      <c r="K29" s="383"/>
      <c r="L29" s="383"/>
      <c r="M29" s="383"/>
      <c r="N29" s="383" t="str">
        <f>IF(D29="","",FIXED('INPUT DATA'!S66,$AA$22))</f>
        <v>-0.800</v>
      </c>
      <c r="O29" s="383"/>
      <c r="P29" s="383"/>
      <c r="Q29" s="383"/>
      <c r="R29" s="383"/>
      <c r="S29" s="54"/>
      <c r="T29" s="54"/>
      <c r="U29" s="54"/>
      <c r="V29" s="70"/>
      <c r="W29" s="45">
        <v>9</v>
      </c>
      <c r="X29" s="70"/>
      <c r="Y29" s="55"/>
    </row>
    <row r="30" spans="1:29" s="54" customFormat="1" ht="18" customHeight="1" x14ac:dyDescent="0.25">
      <c r="D30" s="383" t="str">
        <f>IF('INPUT DATA'!Q67="","",FIXED('INPUT DATA'!Q67,$AA$22))</f>
        <v>22.800</v>
      </c>
      <c r="E30" s="383"/>
      <c r="F30" s="383"/>
      <c r="G30" s="383"/>
      <c r="H30" s="383"/>
      <c r="I30" s="383" t="str">
        <f>IF(D30="","",FIXED('INPUT DATA'!R67,$AA$22))</f>
        <v>7.000</v>
      </c>
      <c r="J30" s="383"/>
      <c r="K30" s="383"/>
      <c r="L30" s="383"/>
      <c r="M30" s="383"/>
      <c r="N30" s="383" t="str">
        <f>IF(D30="","",FIXED('INPUT DATA'!S67,$AA$22))</f>
        <v>15.800</v>
      </c>
      <c r="O30" s="383"/>
      <c r="P30" s="383"/>
      <c r="Q30" s="383"/>
      <c r="R30" s="383"/>
      <c r="W30" s="45">
        <v>10</v>
      </c>
      <c r="Y30" s="55"/>
      <c r="Z30" s="241"/>
      <c r="AA30" s="241"/>
    </row>
    <row r="31" spans="1:29" s="54" customFormat="1" ht="18" customHeight="1" x14ac:dyDescent="0.25">
      <c r="D31" s="383" t="str">
        <f>IF('INPUT DATA'!Q68="","",FIXED('INPUT DATA'!Q68,$AA$22))</f>
        <v>25.000</v>
      </c>
      <c r="E31" s="383"/>
      <c r="F31" s="383"/>
      <c r="G31" s="383"/>
      <c r="H31" s="383"/>
      <c r="I31" s="383" t="str">
        <f>IF(D31="","",FIXED('INPUT DATA'!R68,$AA$22))</f>
        <v>7.000</v>
      </c>
      <c r="J31" s="383"/>
      <c r="K31" s="383"/>
      <c r="L31" s="383"/>
      <c r="M31" s="383"/>
      <c r="N31" s="383" t="str">
        <f>IF(D31="","",FIXED('INPUT DATA'!S68,$AA$22))</f>
        <v>18.000</v>
      </c>
      <c r="O31" s="383"/>
      <c r="P31" s="383"/>
      <c r="Q31" s="383"/>
      <c r="R31" s="383"/>
      <c r="V31" s="74"/>
      <c r="W31" s="45">
        <v>11</v>
      </c>
      <c r="X31" s="74"/>
      <c r="Y31" s="55"/>
      <c r="Z31" s="241"/>
      <c r="AA31" s="241"/>
    </row>
    <row r="32" spans="1:29" s="54" customFormat="1" ht="18" hidden="1" customHeight="1" x14ac:dyDescent="0.25">
      <c r="D32" s="383" t="str">
        <f>IF('INPUT DATA'!Q69="","",FIXED('INPUT DATA'!Q69,$AA$22))</f>
        <v/>
      </c>
      <c r="E32" s="383"/>
      <c r="F32" s="383"/>
      <c r="G32" s="383"/>
      <c r="H32" s="383"/>
      <c r="I32" s="383" t="str">
        <f>IF(D32="","",FIXED('INPUT DATA'!R69,$AA$22))</f>
        <v/>
      </c>
      <c r="J32" s="383"/>
      <c r="K32" s="383"/>
      <c r="L32" s="383"/>
      <c r="M32" s="383"/>
      <c r="N32" s="383" t="str">
        <f>IF(D32="","",FIXED('INPUT DATA'!S69,$AA$22))</f>
        <v/>
      </c>
      <c r="O32" s="383"/>
      <c r="P32" s="383"/>
      <c r="Q32" s="383"/>
      <c r="R32" s="383"/>
      <c r="V32" s="74"/>
      <c r="W32" s="45">
        <v>12</v>
      </c>
      <c r="X32" s="74"/>
      <c r="Y32" s="55"/>
    </row>
    <row r="33" spans="1:38" s="54" customFormat="1" ht="18" hidden="1" customHeight="1" x14ac:dyDescent="0.25">
      <c r="D33" s="383" t="str">
        <f>IF('INPUT DATA'!Q70="","",FIXED('INPUT DATA'!Q70,$AA$22))</f>
        <v/>
      </c>
      <c r="E33" s="383"/>
      <c r="F33" s="383"/>
      <c r="G33" s="383"/>
      <c r="H33" s="383"/>
      <c r="I33" s="383" t="str">
        <f>IF(D33="","",FIXED('INPUT DATA'!R70,$AA$22))</f>
        <v/>
      </c>
      <c r="J33" s="383"/>
      <c r="K33" s="383"/>
      <c r="L33" s="383"/>
      <c r="M33" s="383"/>
      <c r="N33" s="383" t="str">
        <f>IF(D33="","",FIXED('INPUT DATA'!S70,$AA$22))</f>
        <v/>
      </c>
      <c r="O33" s="383"/>
      <c r="P33" s="383"/>
      <c r="Q33" s="383"/>
      <c r="R33" s="383"/>
      <c r="V33" s="74"/>
      <c r="W33" s="45">
        <v>13</v>
      </c>
      <c r="X33" s="74"/>
    </row>
    <row r="34" spans="1:38" s="54" customFormat="1" ht="18" hidden="1" customHeight="1" x14ac:dyDescent="0.25">
      <c r="D34" s="383" t="str">
        <f>IF('INPUT DATA'!Q71="","",FIXED('INPUT DATA'!Q71,$AA$22))</f>
        <v/>
      </c>
      <c r="E34" s="383"/>
      <c r="F34" s="383"/>
      <c r="G34" s="383"/>
      <c r="H34" s="383"/>
      <c r="I34" s="383" t="str">
        <f>IF(D34="","",FIXED('INPUT DATA'!R71,$AA$22))</f>
        <v/>
      </c>
      <c r="J34" s="383"/>
      <c r="K34" s="383"/>
      <c r="L34" s="383"/>
      <c r="M34" s="383"/>
      <c r="N34" s="383" t="str">
        <f>IF(D34="","",FIXED('INPUT DATA'!S71,$AA$22))</f>
        <v/>
      </c>
      <c r="O34" s="383"/>
      <c r="P34" s="383"/>
      <c r="Q34" s="383"/>
      <c r="R34" s="383"/>
      <c r="V34" s="74"/>
      <c r="W34" s="45">
        <v>14</v>
      </c>
      <c r="X34" s="74"/>
    </row>
    <row r="35" spans="1:38" s="54" customFormat="1" ht="18" hidden="1" customHeight="1" x14ac:dyDescent="0.25">
      <c r="D35" s="383" t="str">
        <f>IF('INPUT DATA'!Q72="","",FIXED('INPUT DATA'!Q72,$AA$22))</f>
        <v/>
      </c>
      <c r="E35" s="383"/>
      <c r="F35" s="383"/>
      <c r="G35" s="383"/>
      <c r="H35" s="383"/>
      <c r="I35" s="383" t="str">
        <f>IF(D35="","",FIXED('INPUT DATA'!R72,$AA$22))</f>
        <v/>
      </c>
      <c r="J35" s="383"/>
      <c r="K35" s="383"/>
      <c r="L35" s="383"/>
      <c r="M35" s="383"/>
      <c r="N35" s="383" t="str">
        <f>IF(D35="","",FIXED('INPUT DATA'!S72,$AA$22))</f>
        <v/>
      </c>
      <c r="O35" s="383"/>
      <c r="P35" s="383"/>
      <c r="Q35" s="383"/>
      <c r="R35" s="383"/>
      <c r="V35" s="74"/>
      <c r="W35" s="45">
        <v>15</v>
      </c>
      <c r="X35" s="74"/>
    </row>
    <row r="36" spans="1:38" s="68" customFormat="1" ht="9" customHeight="1" x14ac:dyDescent="0.3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67"/>
      <c r="W36" s="45">
        <v>0</v>
      </c>
      <c r="X36" s="67"/>
      <c r="Y36" s="242" t="s">
        <v>287</v>
      </c>
      <c r="Z36" s="243"/>
      <c r="AA36" s="243"/>
      <c r="AB36" s="244"/>
    </row>
    <row r="37" spans="1:38" s="48" customFormat="1" ht="13.95" customHeight="1" x14ac:dyDescent="0.35">
      <c r="A37" s="71"/>
      <c r="B37" s="71"/>
      <c r="C37" s="71"/>
      <c r="D37" s="385" t="s">
        <v>288</v>
      </c>
      <c r="E37" s="385"/>
      <c r="F37" s="385"/>
      <c r="G37" s="385"/>
      <c r="H37" s="385"/>
      <c r="I37" s="385"/>
      <c r="J37" s="384" t="s">
        <v>84</v>
      </c>
      <c r="K37" s="387" t="e">
        <f ca="1">IF(Y37="","",ROUND(Y37,IF(Y37&lt;10,ABS(INT(LOG10(ABS(Y37))))+1,0)))</f>
        <v>#NAME?</v>
      </c>
      <c r="L37" s="387"/>
      <c r="M37" s="363" t="str">
        <f>'TABEL DATA'!L5</f>
        <v>μm</v>
      </c>
      <c r="N37" s="363"/>
      <c r="O37" s="46"/>
      <c r="P37" s="71"/>
      <c r="Q37" s="71"/>
      <c r="R37" s="71"/>
      <c r="S37" s="71"/>
      <c r="T37" s="71"/>
      <c r="U37" s="71"/>
      <c r="V37" s="66"/>
      <c r="W37" s="45">
        <v>0</v>
      </c>
      <c r="X37" s="66"/>
      <c r="Y37" s="245" t="e">
        <f ca="1">KETIDAKPASTIAN!O42/'TABEL DATA'!M5</f>
        <v>#NAME?</v>
      </c>
      <c r="Z37" s="246"/>
      <c r="AA37" s="246"/>
      <c r="AB37" s="247"/>
    </row>
    <row r="38" spans="1:38" s="69" customFormat="1" ht="15" customHeight="1" x14ac:dyDescent="0.35">
      <c r="A38" s="71"/>
      <c r="B38" s="71"/>
      <c r="C38" s="71"/>
      <c r="D38" s="386" t="s">
        <v>289</v>
      </c>
      <c r="E38" s="386"/>
      <c r="F38" s="386"/>
      <c r="G38" s="386"/>
      <c r="H38" s="386"/>
      <c r="I38" s="386"/>
      <c r="J38" s="367"/>
      <c r="K38" s="387"/>
      <c r="L38" s="387"/>
      <c r="M38" s="363"/>
      <c r="N38" s="363"/>
      <c r="O38" s="46"/>
      <c r="P38" s="71"/>
      <c r="Q38" s="71"/>
      <c r="R38" s="71"/>
      <c r="S38" s="71"/>
      <c r="T38" s="71"/>
      <c r="U38" s="71"/>
      <c r="V38" s="66"/>
      <c r="W38" s="45">
        <v>0</v>
      </c>
      <c r="X38" s="66"/>
    </row>
    <row r="39" spans="1:38" ht="9.75" customHeight="1" x14ac:dyDescent="0.3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66"/>
      <c r="W39" s="45">
        <v>0</v>
      </c>
      <c r="X39" s="66"/>
    </row>
    <row r="40" spans="1:38" s="106" customFormat="1" ht="12.9" customHeight="1" x14ac:dyDescent="0.25">
      <c r="A40" s="104" t="s">
        <v>290</v>
      </c>
      <c r="B40" s="105"/>
      <c r="W40" s="45">
        <v>0</v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</row>
    <row r="41" spans="1:38" s="106" customFormat="1" ht="11.1" customHeight="1" x14ac:dyDescent="0.25">
      <c r="A41" s="106" t="s">
        <v>291</v>
      </c>
      <c r="W41" s="45"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38" s="106" customFormat="1" ht="11.1" customHeight="1" x14ac:dyDescent="0.25">
      <c r="A42" s="108" t="s">
        <v>292</v>
      </c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W42" s="45">
        <v>0</v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</row>
    <row r="43" spans="1:38" s="106" customFormat="1" ht="5.0999999999999996" customHeight="1" x14ac:dyDescent="0.25">
      <c r="W43" s="45"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38" s="106" customFormat="1" ht="11.1" customHeight="1" x14ac:dyDescent="0.25">
      <c r="A44" s="106" t="s">
        <v>293</v>
      </c>
      <c r="W44" s="45">
        <v>0</v>
      </c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38" s="106" customFormat="1" ht="11.1" customHeight="1" x14ac:dyDescent="0.25">
      <c r="A45" s="108" t="s">
        <v>294</v>
      </c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W45" s="45">
        <v>0</v>
      </c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38" s="106" customFormat="1" ht="5.0999999999999996" customHeight="1" x14ac:dyDescent="0.25">
      <c r="W46" s="45">
        <v>0</v>
      </c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38" s="106" customFormat="1" ht="11.1" customHeight="1" x14ac:dyDescent="0.25">
      <c r="A47" s="106" t="s">
        <v>295</v>
      </c>
      <c r="W47" s="45">
        <v>0</v>
      </c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38" s="106" customFormat="1" ht="11.1" customHeight="1" x14ac:dyDescent="0.25">
      <c r="A48" s="108" t="s">
        <v>296</v>
      </c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W48" s="45">
        <v>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38" s="106" customFormat="1" ht="5.0999999999999996" customHeight="1" x14ac:dyDescent="0.25">
      <c r="W49" s="45">
        <v>0</v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</row>
    <row r="50" spans="1:38" s="106" customFormat="1" ht="10.95" customHeight="1" x14ac:dyDescent="0.25">
      <c r="A50" s="106" t="str">
        <f>IF('TABEL DATA'!K4=1,"","*  Faktor Konversi : 1 inch = 25.4 mm")</f>
        <v/>
      </c>
      <c r="W50" s="45">
        <v>0</v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</row>
    <row r="51" spans="1:38" s="106" customFormat="1" ht="10.95" customHeight="1" x14ac:dyDescent="0.25">
      <c r="A51" s="108"/>
      <c r="W51" s="45">
        <v>0</v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</row>
    <row r="52" spans="1:38" s="106" customFormat="1" ht="11.1" customHeight="1" x14ac:dyDescent="0.25">
      <c r="A52" s="412" t="s">
        <v>297</v>
      </c>
      <c r="B52" s="412"/>
      <c r="C52" s="412"/>
      <c r="D52" s="412"/>
      <c r="E52" s="412"/>
      <c r="F52" s="412"/>
      <c r="G52" s="412"/>
      <c r="H52" s="412"/>
      <c r="I52" s="412"/>
      <c r="J52" s="412"/>
      <c r="K52" s="412"/>
      <c r="L52" s="412"/>
      <c r="M52" s="412"/>
      <c r="N52" s="412"/>
      <c r="O52" s="412"/>
      <c r="P52" s="412"/>
      <c r="Q52" s="412"/>
      <c r="R52" s="412"/>
      <c r="S52" s="412"/>
      <c r="T52" s="412"/>
      <c r="U52" s="412"/>
      <c r="W52" s="45">
        <v>0</v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</row>
    <row r="53" spans="1:38" s="106" customFormat="1" ht="11.1" customHeight="1" x14ac:dyDescent="0.25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W53" s="45">
        <v>0</v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</row>
    <row r="54" spans="1:38" ht="13.95" customHeight="1" x14ac:dyDescent="0.25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</row>
    <row r="55" spans="1:38" ht="13.95" customHeight="1" x14ac:dyDescent="0.25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</row>
    <row r="56" spans="1:38" ht="13.95" customHeight="1" x14ac:dyDescent="0.25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</row>
    <row r="57" spans="1:38" ht="13.95" customHeight="1" x14ac:dyDescent="0.25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</row>
    <row r="58" spans="1:38" ht="13.95" customHeight="1" x14ac:dyDescent="0.25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</row>
    <row r="59" spans="1:38" ht="13.95" customHeight="1" x14ac:dyDescent="0.25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</row>
    <row r="60" spans="1:38" ht="13.95" customHeight="1" x14ac:dyDescent="0.25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</row>
    <row r="61" spans="1:38" ht="13.95" customHeight="1" x14ac:dyDescent="0.25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</row>
    <row r="62" spans="1:38" ht="13.95" customHeight="1" x14ac:dyDescent="0.25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</row>
    <row r="63" spans="1:38" ht="13.95" customHeight="1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</row>
  </sheetData>
  <autoFilter ref="W1:W63" xr:uid="{00000000-0009-0000-0000-000005000000}">
    <filterColumn colId="0">
      <filters blank="1">
        <filter val="0"/>
        <filter val="1"/>
        <filter val="10"/>
        <filter val="11"/>
        <filter val="2"/>
        <filter val="3"/>
        <filter val="4"/>
        <filter val="5"/>
        <filter val="6"/>
        <filter val="7"/>
        <filter val="8"/>
        <filter val="9"/>
        <filter val="Flatness"/>
      </filters>
    </filterColumn>
  </autoFilter>
  <mergeCells count="95">
    <mergeCell ref="A10:U10"/>
    <mergeCell ref="I14:M14"/>
    <mergeCell ref="A8:D8"/>
    <mergeCell ref="F6:O7"/>
    <mergeCell ref="A52:U52"/>
    <mergeCell ref="A9:U9"/>
    <mergeCell ref="D31:H31"/>
    <mergeCell ref="N31:R31"/>
    <mergeCell ref="D16:H16"/>
    <mergeCell ref="N16:R16"/>
    <mergeCell ref="D13:H13"/>
    <mergeCell ref="I13:M13"/>
    <mergeCell ref="N13:R13"/>
    <mergeCell ref="D14:H14"/>
    <mergeCell ref="N14:R14"/>
    <mergeCell ref="I15:M15"/>
    <mergeCell ref="A1:U1"/>
    <mergeCell ref="A2:D2"/>
    <mergeCell ref="F2:N2"/>
    <mergeCell ref="O2:P2"/>
    <mergeCell ref="Q2:Q3"/>
    <mergeCell ref="R2:R3"/>
    <mergeCell ref="S2:T2"/>
    <mergeCell ref="U2:U3"/>
    <mergeCell ref="A3:D3"/>
    <mergeCell ref="O3:P3"/>
    <mergeCell ref="S3:T3"/>
    <mergeCell ref="P5:U5"/>
    <mergeCell ref="I27:M27"/>
    <mergeCell ref="I28:M28"/>
    <mergeCell ref="I25:M25"/>
    <mergeCell ref="I26:M26"/>
    <mergeCell ref="I23:M23"/>
    <mergeCell ref="I24:M24"/>
    <mergeCell ref="N25:R25"/>
    <mergeCell ref="D17:R17"/>
    <mergeCell ref="D12:R12"/>
    <mergeCell ref="A7:D7"/>
    <mergeCell ref="A5:D5"/>
    <mergeCell ref="A6:D6"/>
    <mergeCell ref="D15:H15"/>
    <mergeCell ref="N15:R15"/>
    <mergeCell ref="I16:M16"/>
    <mergeCell ref="D18:H18"/>
    <mergeCell ref="N18:R18"/>
    <mergeCell ref="D19:H19"/>
    <mergeCell ref="N19:R19"/>
    <mergeCell ref="D20:H20"/>
    <mergeCell ref="N20:R20"/>
    <mergeCell ref="I19:M19"/>
    <mergeCell ref="I20:M20"/>
    <mergeCell ref="I18:M18"/>
    <mergeCell ref="D26:H26"/>
    <mergeCell ref="N26:R26"/>
    <mergeCell ref="D21:H21"/>
    <mergeCell ref="N21:R21"/>
    <mergeCell ref="D22:H22"/>
    <mergeCell ref="N22:R22"/>
    <mergeCell ref="D23:H23"/>
    <mergeCell ref="N23:R23"/>
    <mergeCell ref="I21:M21"/>
    <mergeCell ref="I22:M22"/>
    <mergeCell ref="D24:H24"/>
    <mergeCell ref="N24:R24"/>
    <mergeCell ref="D25:H25"/>
    <mergeCell ref="J37:J38"/>
    <mergeCell ref="D37:I37"/>
    <mergeCell ref="D38:I38"/>
    <mergeCell ref="D27:H27"/>
    <mergeCell ref="N27:R27"/>
    <mergeCell ref="D28:H28"/>
    <mergeCell ref="N28:R28"/>
    <mergeCell ref="D29:H29"/>
    <mergeCell ref="N29:R29"/>
    <mergeCell ref="K37:L38"/>
    <mergeCell ref="M37:N38"/>
    <mergeCell ref="I31:M31"/>
    <mergeCell ref="I29:M29"/>
    <mergeCell ref="D30:H30"/>
    <mergeCell ref="I30:M30"/>
    <mergeCell ref="N30:R30"/>
    <mergeCell ref="N35:R35"/>
    <mergeCell ref="D32:H32"/>
    <mergeCell ref="D33:H33"/>
    <mergeCell ref="D34:H34"/>
    <mergeCell ref="D35:H35"/>
    <mergeCell ref="I32:M32"/>
    <mergeCell ref="I33:M33"/>
    <mergeCell ref="I34:M34"/>
    <mergeCell ref="I35:M35"/>
    <mergeCell ref="AA14:AA15"/>
    <mergeCell ref="AA22:AA23"/>
    <mergeCell ref="N32:R32"/>
    <mergeCell ref="N33:R33"/>
    <mergeCell ref="N34:R34"/>
  </mergeCells>
  <conditionalFormatting sqref="A52">
    <cfRule type="expression" dxfId="0" priority="1">
      <formula>OR($Y$2=1,$Y$2=3)</formula>
    </cfRule>
  </conditionalFormatting>
  <printOptions horizontalCentered="1"/>
  <pageMargins left="0" right="0" top="1.1023622047243999" bottom="0.78740157480314998" header="0" footer="0"/>
  <pageSetup paperSize="9" orientation="portrait" r:id="rId1"/>
  <headerFooter>
    <oddHeader>&amp;C&amp;G</oddHeader>
    <oddFooter>&amp;C&amp;G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R32"/>
  <sheetViews>
    <sheetView topLeftCell="F1" workbookViewId="0">
      <selection activeCell="Q5" sqref="Q5"/>
    </sheetView>
  </sheetViews>
  <sheetFormatPr defaultColWidth="10.6640625" defaultRowHeight="13.2" x14ac:dyDescent="0.25"/>
  <cols>
    <col min="1" max="2" width="10.6640625" style="93"/>
    <col min="3" max="3" width="30" style="93" customWidth="1"/>
    <col min="4" max="4" width="15.6640625" style="93" customWidth="1"/>
    <col min="5" max="5" width="49.109375" style="93" customWidth="1"/>
    <col min="6" max="16" width="10.6640625" style="93"/>
    <col min="17" max="17" width="16.5546875" style="93" customWidth="1"/>
    <col min="18" max="18" width="10.6640625" style="93"/>
  </cols>
  <sheetData>
    <row r="1" spans="1:18" s="96" customFormat="1" ht="19.95" customHeight="1" x14ac:dyDescent="0.25">
      <c r="A1" s="94" t="s">
        <v>298</v>
      </c>
      <c r="B1" s="94" t="s">
        <v>299</v>
      </c>
      <c r="C1" s="95" t="s">
        <v>57</v>
      </c>
      <c r="D1" s="95" t="s">
        <v>300</v>
      </c>
      <c r="E1" s="95" t="s">
        <v>301</v>
      </c>
      <c r="F1" s="94" t="s">
        <v>302</v>
      </c>
      <c r="G1" s="94" t="s">
        <v>67</v>
      </c>
      <c r="H1" s="94" t="s">
        <v>68</v>
      </c>
      <c r="I1" s="94" t="s">
        <v>229</v>
      </c>
      <c r="J1" s="173" t="s">
        <v>303</v>
      </c>
      <c r="K1" s="173" t="s">
        <v>226</v>
      </c>
      <c r="L1" s="173" t="s">
        <v>304</v>
      </c>
      <c r="M1" s="173" t="s">
        <v>305</v>
      </c>
      <c r="N1" s="173" t="s">
        <v>306</v>
      </c>
      <c r="O1" s="173" t="s">
        <v>307</v>
      </c>
      <c r="P1" s="173" t="s">
        <v>308</v>
      </c>
      <c r="Q1" s="173" t="s">
        <v>309</v>
      </c>
      <c r="R1" s="173" t="s">
        <v>310</v>
      </c>
    </row>
    <row r="2" spans="1:18" ht="13.2" customHeight="1" x14ac:dyDescent="0.25">
      <c r="A2" s="97" t="s">
        <v>311</v>
      </c>
      <c r="B2" s="98" t="s">
        <v>312</v>
      </c>
      <c r="C2" s="98" t="s">
        <v>313</v>
      </c>
      <c r="D2" s="98" t="s">
        <v>150</v>
      </c>
      <c r="E2" s="118" t="s">
        <v>314</v>
      </c>
      <c r="F2" s="99" t="s">
        <v>315</v>
      </c>
      <c r="G2" s="98">
        <v>100</v>
      </c>
      <c r="H2" s="98">
        <v>0.01</v>
      </c>
      <c r="I2" s="174">
        <v>0.1</v>
      </c>
      <c r="J2" s="98">
        <v>0</v>
      </c>
      <c r="K2" s="98" t="s">
        <v>98</v>
      </c>
      <c r="L2" s="98" t="s">
        <v>316</v>
      </c>
      <c r="M2" s="98">
        <v>1</v>
      </c>
      <c r="N2" s="98">
        <v>3</v>
      </c>
      <c r="O2" s="16">
        <v>0</v>
      </c>
      <c r="P2" s="18" t="s">
        <v>211</v>
      </c>
      <c r="Q2" s="18" t="s">
        <v>317</v>
      </c>
      <c r="R2" s="18" t="s">
        <v>318</v>
      </c>
    </row>
    <row r="3" spans="1:18" ht="13.2" customHeight="1" x14ac:dyDescent="0.25">
      <c r="A3" s="97" t="s">
        <v>319</v>
      </c>
      <c r="B3" s="98" t="s">
        <v>320</v>
      </c>
      <c r="C3" s="98" t="s">
        <v>321</v>
      </c>
      <c r="D3" s="98" t="s">
        <v>149</v>
      </c>
      <c r="E3" s="118" t="str">
        <f>CONCATENATE('INPUT DATA'!E30)</f>
        <v>e</v>
      </c>
      <c r="F3" s="98" t="s">
        <v>322</v>
      </c>
      <c r="G3" s="98">
        <v>150</v>
      </c>
      <c r="H3" s="98">
        <v>1E-3</v>
      </c>
      <c r="I3" s="174">
        <v>0.5</v>
      </c>
      <c r="J3" s="98">
        <v>2.5</v>
      </c>
      <c r="K3" s="98" t="s">
        <v>108</v>
      </c>
      <c r="L3" s="98" t="s">
        <v>323</v>
      </c>
      <c r="M3" s="98">
        <v>25.4</v>
      </c>
      <c r="N3" s="98">
        <v>5</v>
      </c>
      <c r="O3" s="16">
        <v>25</v>
      </c>
      <c r="P3" s="18" t="s">
        <v>212</v>
      </c>
      <c r="Q3" s="18" t="s">
        <v>324</v>
      </c>
      <c r="R3" s="18" t="s">
        <v>318</v>
      </c>
    </row>
    <row r="4" spans="1:18" ht="13.2" customHeight="1" x14ac:dyDescent="0.25">
      <c r="A4" s="97" t="s">
        <v>325</v>
      </c>
      <c r="B4" s="98" t="s">
        <v>326</v>
      </c>
      <c r="C4" s="98" t="s">
        <v>327</v>
      </c>
      <c r="D4" s="16" t="s">
        <v>151</v>
      </c>
      <c r="F4" s="98" t="s">
        <v>328</v>
      </c>
      <c r="G4" s="98">
        <v>200</v>
      </c>
      <c r="H4" s="98">
        <v>1E-4</v>
      </c>
      <c r="I4" s="174">
        <v>1</v>
      </c>
      <c r="J4" s="98">
        <v>5.0999999999999996</v>
      </c>
      <c r="K4" s="199">
        <v>1</v>
      </c>
      <c r="O4" s="16">
        <v>50</v>
      </c>
      <c r="P4" s="18" t="s">
        <v>213</v>
      </c>
      <c r="Q4" s="18" t="s">
        <v>329</v>
      </c>
      <c r="R4" s="18" t="s">
        <v>330</v>
      </c>
    </row>
    <row r="5" spans="1:18" ht="13.2" customHeight="1" x14ac:dyDescent="0.25">
      <c r="A5" s="97" t="s">
        <v>331</v>
      </c>
      <c r="B5" s="98" t="s">
        <v>332</v>
      </c>
      <c r="C5" s="98" t="s">
        <v>333</v>
      </c>
      <c r="F5" s="98" t="s">
        <v>334</v>
      </c>
      <c r="G5" s="98">
        <v>300</v>
      </c>
      <c r="H5" s="98">
        <v>5.0000000000000002E-5</v>
      </c>
      <c r="I5" s="175">
        <v>1</v>
      </c>
      <c r="J5" s="98">
        <v>7.7</v>
      </c>
      <c r="K5" s="178" t="str">
        <f>INDEX(K2:K3,$K4)</f>
        <v>mm</v>
      </c>
      <c r="L5" s="178" t="str">
        <f>INDEX(L2:L3,$K4)</f>
        <v>μm</v>
      </c>
      <c r="M5" s="178">
        <f>INDEX(M2:M3,$K4)</f>
        <v>1</v>
      </c>
      <c r="N5" s="178">
        <f>INDEX(N2:N3,$K4)</f>
        <v>3</v>
      </c>
      <c r="O5" s="16">
        <v>75</v>
      </c>
    </row>
    <row r="6" spans="1:18" ht="13.2" customHeight="1" x14ac:dyDescent="0.25">
      <c r="A6" s="97" t="s">
        <v>335</v>
      </c>
      <c r="B6" s="98" t="s">
        <v>336</v>
      </c>
      <c r="C6" s="98" t="s">
        <v>337</v>
      </c>
      <c r="F6" s="98" t="s">
        <v>338</v>
      </c>
      <c r="I6" s="177">
        <f>INDEX(I2:I4,I5)</f>
        <v>0.1</v>
      </c>
      <c r="J6" s="98">
        <v>10.3</v>
      </c>
      <c r="O6" s="16">
        <v>100</v>
      </c>
      <c r="P6" s="199">
        <v>1</v>
      </c>
      <c r="Q6" s="178" t="str">
        <f>INDEX(Q2:Q4,P6)</f>
        <v>PAS-IK-1102-02</v>
      </c>
      <c r="R6" s="178" t="str">
        <f>INDEX(R2:R4,P6)</f>
        <v>JIS B 7502:2016 (JMA/JSA); SNSU PK.P-01:2020.</v>
      </c>
    </row>
    <row r="7" spans="1:18" ht="13.2" customHeight="1" x14ac:dyDescent="0.25">
      <c r="A7" s="97" t="s">
        <v>339</v>
      </c>
      <c r="B7" s="98" t="s">
        <v>340</v>
      </c>
      <c r="C7" s="98" t="str">
        <f>CONCATENATE('INPUT DATA'!E16)</f>
        <v/>
      </c>
      <c r="F7" s="98" t="s">
        <v>341</v>
      </c>
      <c r="J7" s="98">
        <v>12.9</v>
      </c>
      <c r="O7" s="16">
        <v>125</v>
      </c>
    </row>
    <row r="8" spans="1:18" ht="13.2" customHeight="1" x14ac:dyDescent="0.25">
      <c r="A8" s="97" t="s">
        <v>342</v>
      </c>
      <c r="B8" s="98" t="s">
        <v>343</v>
      </c>
      <c r="C8" s="98" t="str">
        <f>CONCATENATE('INPUT DATA'!E17)</f>
        <v/>
      </c>
      <c r="F8" s="98" t="s">
        <v>344</v>
      </c>
      <c r="J8" s="98">
        <v>15</v>
      </c>
      <c r="O8" s="16">
        <v>150</v>
      </c>
    </row>
    <row r="9" spans="1:18" ht="13.2" customHeight="1" x14ac:dyDescent="0.25">
      <c r="A9" s="97" t="s">
        <v>345</v>
      </c>
      <c r="B9" s="98" t="s">
        <v>346</v>
      </c>
      <c r="F9" s="98" t="s">
        <v>347</v>
      </c>
      <c r="J9" s="98">
        <v>17.600000000000001</v>
      </c>
      <c r="O9" s="16">
        <v>175</v>
      </c>
    </row>
    <row r="10" spans="1:18" ht="13.2" customHeight="1" x14ac:dyDescent="0.25">
      <c r="A10" s="97" t="s">
        <v>348</v>
      </c>
      <c r="B10" s="98" t="s">
        <v>51</v>
      </c>
      <c r="F10" s="98" t="s">
        <v>349</v>
      </c>
      <c r="J10" s="98">
        <v>20.2</v>
      </c>
      <c r="O10" s="16">
        <v>200</v>
      </c>
    </row>
    <row r="11" spans="1:18" ht="13.2" customHeight="1" x14ac:dyDescent="0.25">
      <c r="A11" s="97" t="s">
        <v>350</v>
      </c>
      <c r="B11" s="98" t="s">
        <v>351</v>
      </c>
      <c r="J11" s="98">
        <v>22.8</v>
      </c>
      <c r="O11" s="16">
        <v>225</v>
      </c>
    </row>
    <row r="12" spans="1:18" ht="13.2" customHeight="1" x14ac:dyDescent="0.25">
      <c r="A12" s="97" t="s">
        <v>352</v>
      </c>
      <c r="B12" s="98" t="s">
        <v>353</v>
      </c>
      <c r="J12" s="98">
        <v>25</v>
      </c>
      <c r="O12" s="16">
        <v>250</v>
      </c>
    </row>
    <row r="13" spans="1:18" ht="13.2" customHeight="1" x14ac:dyDescent="0.25">
      <c r="A13" s="97" t="s">
        <v>354</v>
      </c>
      <c r="B13" s="98" t="s">
        <v>355</v>
      </c>
      <c r="O13" s="16">
        <v>275</v>
      </c>
    </row>
    <row r="14" spans="1:18" ht="13.2" customHeight="1" x14ac:dyDescent="0.25">
      <c r="A14" s="97" t="s">
        <v>356</v>
      </c>
      <c r="O14" s="16">
        <v>300</v>
      </c>
    </row>
    <row r="15" spans="1:18" ht="13.2" customHeight="1" x14ac:dyDescent="0.25">
      <c r="A15" s="97" t="s">
        <v>357</v>
      </c>
      <c r="O15" s="16">
        <v>325</v>
      </c>
    </row>
    <row r="16" spans="1:18" ht="13.2" customHeight="1" x14ac:dyDescent="0.25">
      <c r="A16" s="97" t="s">
        <v>358</v>
      </c>
      <c r="O16" s="16">
        <v>350</v>
      </c>
    </row>
    <row r="17" spans="1:15" ht="13.2" customHeight="1" x14ac:dyDescent="0.25">
      <c r="A17" s="97" t="s">
        <v>359</v>
      </c>
      <c r="O17" s="16">
        <v>375</v>
      </c>
    </row>
    <row r="18" spans="1:15" ht="13.2" customHeight="1" x14ac:dyDescent="0.25">
      <c r="A18" s="97" t="s">
        <v>360</v>
      </c>
      <c r="O18" s="16">
        <v>400</v>
      </c>
    </row>
    <row r="19" spans="1:15" ht="13.2" customHeight="1" x14ac:dyDescent="0.25">
      <c r="A19" s="97" t="s">
        <v>361</v>
      </c>
      <c r="O19" s="16">
        <v>425</v>
      </c>
    </row>
    <row r="20" spans="1:15" ht="13.2" customHeight="1" x14ac:dyDescent="0.25">
      <c r="A20" s="97" t="s">
        <v>362</v>
      </c>
      <c r="O20" s="16">
        <v>450</v>
      </c>
    </row>
    <row r="21" spans="1:15" ht="13.2" customHeight="1" x14ac:dyDescent="0.25">
      <c r="A21" s="97" t="s">
        <v>363</v>
      </c>
      <c r="O21" s="16">
        <v>475</v>
      </c>
    </row>
    <row r="22" spans="1:15" ht="13.2" customHeight="1" x14ac:dyDescent="0.25">
      <c r="A22" s="97" t="s">
        <v>364</v>
      </c>
      <c r="O22" s="16">
        <v>500</v>
      </c>
    </row>
    <row r="23" spans="1:15" ht="13.2" customHeight="1" x14ac:dyDescent="0.25">
      <c r="A23" s="97" t="s">
        <v>365</v>
      </c>
      <c r="N23" s="93" t="s">
        <v>193</v>
      </c>
      <c r="O23" s="16">
        <f>'INPUT DATA'!C75*'TABEL DATA'!M5</f>
        <v>0</v>
      </c>
    </row>
    <row r="24" spans="1:15" x14ac:dyDescent="0.25">
      <c r="A24" s="97" t="s">
        <v>366</v>
      </c>
    </row>
    <row r="25" spans="1:15" x14ac:dyDescent="0.25">
      <c r="A25" s="97" t="s">
        <v>367</v>
      </c>
      <c r="O25" s="199">
        <v>1</v>
      </c>
    </row>
    <row r="26" spans="1:15" x14ac:dyDescent="0.25">
      <c r="A26" s="97" t="s">
        <v>368</v>
      </c>
      <c r="O26" s="178">
        <f>INDEX(O2:O23,O25)</f>
        <v>0</v>
      </c>
    </row>
    <row r="27" spans="1:15" x14ac:dyDescent="0.25">
      <c r="A27" s="97" t="s">
        <v>369</v>
      </c>
    </row>
    <row r="28" spans="1:15" x14ac:dyDescent="0.25">
      <c r="A28" s="97" t="s">
        <v>370</v>
      </c>
    </row>
    <row r="29" spans="1:15" x14ac:dyDescent="0.25">
      <c r="A29" s="97" t="s">
        <v>371</v>
      </c>
    </row>
    <row r="30" spans="1:15" x14ac:dyDescent="0.25">
      <c r="A30" s="97" t="s">
        <v>372</v>
      </c>
    </row>
    <row r="31" spans="1:15" x14ac:dyDescent="0.25">
      <c r="A31" s="97" t="s">
        <v>373</v>
      </c>
    </row>
    <row r="32" spans="1:15" x14ac:dyDescent="0.25">
      <c r="A32" s="97" t="s">
        <v>374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K321"/>
  <sheetViews>
    <sheetView view="pageBreakPreview" topLeftCell="A293" zoomScaleNormal="80" workbookViewId="0">
      <selection activeCell="B312" sqref="B312"/>
    </sheetView>
  </sheetViews>
  <sheetFormatPr defaultColWidth="9.33203125" defaultRowHeight="16.2" customHeight="1" x14ac:dyDescent="0.25"/>
  <cols>
    <col min="1" max="1" width="4.5546875" style="1" customWidth="1"/>
    <col min="2" max="2" width="16" style="1" customWidth="1"/>
    <col min="3" max="3" width="15.44140625" style="1" customWidth="1"/>
    <col min="4" max="4" width="13.5546875" style="1" customWidth="1"/>
    <col min="5" max="5" width="9.6640625" style="1" customWidth="1"/>
    <col min="6" max="6" width="5" style="1" customWidth="1"/>
    <col min="7" max="8" width="13.5546875" style="1" customWidth="1"/>
    <col min="9" max="9" width="18.44140625" style="1" customWidth="1"/>
    <col min="10" max="10" width="9.5546875" style="1" customWidth="1"/>
    <col min="11" max="11" width="9.33203125" style="1"/>
  </cols>
  <sheetData>
    <row r="1" spans="2:10" s="75" customFormat="1" ht="16.2" customHeight="1" x14ac:dyDescent="0.25">
      <c r="B1" s="75" t="s">
        <v>375</v>
      </c>
    </row>
    <row r="3" spans="2:10" s="3" customFormat="1" ht="16.2" customHeight="1" x14ac:dyDescent="0.25">
      <c r="B3" s="76" t="s">
        <v>59</v>
      </c>
      <c r="C3" s="426" t="s">
        <v>376</v>
      </c>
      <c r="D3" s="427"/>
      <c r="G3" s="77" t="s">
        <v>79</v>
      </c>
      <c r="H3" s="78"/>
      <c r="I3" s="428" t="s">
        <v>377</v>
      </c>
      <c r="J3" s="429"/>
    </row>
    <row r="4" spans="2:10" s="3" customFormat="1" ht="16.2" customHeight="1" x14ac:dyDescent="0.25">
      <c r="B4" s="76" t="s">
        <v>378</v>
      </c>
      <c r="C4" s="427" t="s">
        <v>379</v>
      </c>
      <c r="D4" s="427"/>
      <c r="G4" s="77" t="s">
        <v>80</v>
      </c>
      <c r="H4" s="78"/>
      <c r="I4" s="29" t="s">
        <v>380</v>
      </c>
      <c r="J4" s="79"/>
    </row>
    <row r="5" spans="2:10" s="3" customFormat="1" ht="16.2" customHeight="1" x14ac:dyDescent="0.25">
      <c r="B5" s="76" t="s">
        <v>381</v>
      </c>
      <c r="C5" s="426" t="s">
        <v>82</v>
      </c>
      <c r="D5" s="426"/>
    </row>
    <row r="6" spans="2:10" ht="15.6" customHeight="1" x14ac:dyDescent="0.25"/>
    <row r="7" spans="2:10" s="3" customFormat="1" ht="16.2" customHeight="1" x14ac:dyDescent="0.25">
      <c r="B7" s="417" t="s">
        <v>382</v>
      </c>
      <c r="C7" s="418"/>
      <c r="D7" s="419"/>
      <c r="G7" s="417" t="s">
        <v>383</v>
      </c>
      <c r="H7" s="418"/>
      <c r="I7" s="419"/>
    </row>
    <row r="8" spans="2:10" s="40" customFormat="1" ht="27" customHeight="1" x14ac:dyDescent="0.25">
      <c r="B8" s="80" t="s">
        <v>384</v>
      </c>
      <c r="C8" s="80" t="s">
        <v>385</v>
      </c>
      <c r="D8" s="80" t="s">
        <v>170</v>
      </c>
      <c r="G8" s="80" t="s">
        <v>384</v>
      </c>
      <c r="H8" s="80" t="s">
        <v>385</v>
      </c>
      <c r="I8" s="80" t="s">
        <v>170</v>
      </c>
    </row>
    <row r="9" spans="2:10" s="40" customFormat="1" ht="16.2" customHeight="1" x14ac:dyDescent="0.25">
      <c r="B9" s="80" t="s">
        <v>386</v>
      </c>
      <c r="C9" s="80" t="s">
        <v>386</v>
      </c>
      <c r="D9" s="80" t="s">
        <v>386</v>
      </c>
      <c r="G9" s="80" t="s">
        <v>87</v>
      </c>
      <c r="H9" s="80" t="s">
        <v>87</v>
      </c>
      <c r="I9" s="80" t="s">
        <v>87</v>
      </c>
    </row>
    <row r="10" spans="2:10" s="82" customFormat="1" ht="16.2" customHeight="1" x14ac:dyDescent="0.25">
      <c r="B10" s="81">
        <v>15.9</v>
      </c>
      <c r="C10" s="81">
        <v>0</v>
      </c>
      <c r="D10" s="422">
        <v>0.55000000000000004</v>
      </c>
      <c r="G10" s="81">
        <v>25</v>
      </c>
      <c r="H10" s="81">
        <v>-1</v>
      </c>
      <c r="I10" s="425">
        <v>2.8</v>
      </c>
    </row>
    <row r="11" spans="2:10" s="82" customFormat="1" ht="16.2" customHeight="1" x14ac:dyDescent="0.25">
      <c r="B11" s="81">
        <v>19.399999999999999</v>
      </c>
      <c r="C11" s="81">
        <v>0.5</v>
      </c>
      <c r="D11" s="423"/>
      <c r="G11" s="81">
        <v>36</v>
      </c>
      <c r="H11" s="81">
        <v>1</v>
      </c>
      <c r="I11" s="425"/>
    </row>
    <row r="12" spans="2:10" s="82" customFormat="1" ht="16.2" customHeight="1" x14ac:dyDescent="0.25">
      <c r="B12" s="81">
        <v>24.9</v>
      </c>
      <c r="C12" s="81">
        <v>0.1</v>
      </c>
      <c r="D12" s="423"/>
      <c r="G12" s="81">
        <v>42</v>
      </c>
      <c r="H12" s="81">
        <v>4</v>
      </c>
      <c r="I12" s="425"/>
    </row>
    <row r="13" spans="2:10" s="82" customFormat="1" ht="16.2" customHeight="1" x14ac:dyDescent="0.25">
      <c r="B13" s="81">
        <v>29.5</v>
      </c>
      <c r="C13" s="81">
        <v>0.6</v>
      </c>
      <c r="D13" s="423"/>
      <c r="G13" s="81">
        <v>52</v>
      </c>
      <c r="H13" s="81">
        <v>4</v>
      </c>
      <c r="I13" s="425"/>
    </row>
    <row r="14" spans="2:10" ht="16.2" customHeight="1" x14ac:dyDescent="0.25">
      <c r="B14" s="122">
        <v>40.200000000000003</v>
      </c>
      <c r="C14" s="122">
        <v>0.1</v>
      </c>
      <c r="D14" s="423"/>
      <c r="E14" s="82"/>
      <c r="F14" s="82"/>
      <c r="G14" s="81">
        <v>68</v>
      </c>
      <c r="H14" s="81">
        <v>3</v>
      </c>
      <c r="I14" s="425"/>
    </row>
    <row r="15" spans="2:10" ht="16.2" customHeight="1" x14ac:dyDescent="0.25">
      <c r="B15" s="111">
        <f>B312</f>
        <v>4</v>
      </c>
      <c r="C15" s="33" t="e">
        <f ca="1">FORECAST(B15,OFFSET($C$10:$C$14,MATCH(B15,$B$10:$B$14,1)-1,0,2),OFFSET($B$10:$B$14,MATCH(B15,$B$10:$B$14,1)-1,0,2))</f>
        <v>#N/A</v>
      </c>
      <c r="D15" s="424"/>
      <c r="G15" s="33">
        <f>G312</f>
        <v>3.3333333333333335</v>
      </c>
      <c r="H15" s="33" t="e">
        <f ca="1">FORECAST(G15,OFFSET($H$10:$H$14,MATCH(G15,$G$10:$G$14,1)-1,0,2),OFFSET($G$10:$G$14,MATCH(G15,$G$10:$G$14,1)-1,0,2))</f>
        <v>#N/A</v>
      </c>
      <c r="I15" s="425"/>
    </row>
    <row r="16" spans="2:10" ht="16.2" customHeight="1" x14ac:dyDescent="0.25">
      <c r="B16" s="82"/>
      <c r="C16" s="82"/>
      <c r="D16" s="82"/>
      <c r="E16" s="82"/>
      <c r="F16" s="82"/>
      <c r="G16" s="82"/>
      <c r="H16" s="82"/>
    </row>
    <row r="18" spans="1:10" s="3" customFormat="1" ht="16.2" customHeight="1" x14ac:dyDescent="0.25">
      <c r="B18" s="76" t="s">
        <v>59</v>
      </c>
      <c r="C18" s="426" t="s">
        <v>376</v>
      </c>
      <c r="D18" s="427"/>
      <c r="G18" s="77" t="s">
        <v>79</v>
      </c>
      <c r="H18" s="78"/>
      <c r="I18" s="428" t="s">
        <v>387</v>
      </c>
      <c r="J18" s="429"/>
    </row>
    <row r="19" spans="1:10" s="3" customFormat="1" ht="16.2" customHeight="1" x14ac:dyDescent="0.25">
      <c r="B19" s="76" t="s">
        <v>378</v>
      </c>
      <c r="C19" s="427" t="s">
        <v>379</v>
      </c>
      <c r="D19" s="427"/>
      <c r="G19" s="77" t="s">
        <v>80</v>
      </c>
      <c r="H19" s="78"/>
      <c r="I19" s="29" t="s">
        <v>380</v>
      </c>
      <c r="J19" s="79"/>
    </row>
    <row r="20" spans="1:10" s="3" customFormat="1" ht="16.2" customHeight="1" x14ac:dyDescent="0.25">
      <c r="B20" s="76" t="s">
        <v>381</v>
      </c>
      <c r="C20" s="426" t="s">
        <v>388</v>
      </c>
      <c r="D20" s="426"/>
    </row>
    <row r="21" spans="1:10" ht="15.6" customHeight="1" x14ac:dyDescent="0.25"/>
    <row r="22" spans="1:10" s="3" customFormat="1" ht="16.2" customHeight="1" x14ac:dyDescent="0.25">
      <c r="B22" s="417" t="s">
        <v>382</v>
      </c>
      <c r="C22" s="418"/>
      <c r="D22" s="419"/>
      <c r="G22" s="417" t="s">
        <v>383</v>
      </c>
      <c r="H22" s="418"/>
      <c r="I22" s="419"/>
    </row>
    <row r="23" spans="1:10" s="40" customFormat="1" ht="27" customHeight="1" x14ac:dyDescent="0.25">
      <c r="B23" s="80" t="s">
        <v>384</v>
      </c>
      <c r="C23" s="80" t="s">
        <v>385</v>
      </c>
      <c r="D23" s="80" t="s">
        <v>170</v>
      </c>
      <c r="G23" s="80" t="s">
        <v>384</v>
      </c>
      <c r="H23" s="80" t="s">
        <v>385</v>
      </c>
      <c r="I23" s="80" t="s">
        <v>170</v>
      </c>
    </row>
    <row r="24" spans="1:10" s="40" customFormat="1" ht="16.2" customHeight="1" x14ac:dyDescent="0.25">
      <c r="B24" s="80" t="s">
        <v>386</v>
      </c>
      <c r="C24" s="80" t="s">
        <v>386</v>
      </c>
      <c r="D24" s="80" t="s">
        <v>386</v>
      </c>
      <c r="G24" s="80" t="s">
        <v>87</v>
      </c>
      <c r="H24" s="80" t="s">
        <v>87</v>
      </c>
      <c r="I24" s="80" t="s">
        <v>87</v>
      </c>
    </row>
    <row r="25" spans="1:10" s="82" customFormat="1" ht="16.2" customHeight="1" x14ac:dyDescent="0.25">
      <c r="A25" s="255">
        <v>15</v>
      </c>
      <c r="B25" s="256">
        <f>FORECAST(A25,B26:B29,A26:A29)</f>
        <v>16.374285714285708</v>
      </c>
      <c r="C25" s="256">
        <f>FORECAST(A25,C26:C27,A26:A27)</f>
        <v>-0.3</v>
      </c>
      <c r="D25" s="434">
        <v>0.51</v>
      </c>
      <c r="F25" s="82">
        <v>30</v>
      </c>
      <c r="G25" s="256">
        <f>FORECAST(F25,G26:G27,F26:F27)</f>
        <v>28.999999999999993</v>
      </c>
      <c r="H25" s="256">
        <f>FORECAST(F25,H26:H27,F26:F27)</f>
        <v>1</v>
      </c>
      <c r="I25" s="425">
        <v>2.2000000000000002</v>
      </c>
    </row>
    <row r="26" spans="1:10" s="82" customFormat="1" ht="16.2" customHeight="1" x14ac:dyDescent="0.25">
      <c r="A26" s="257">
        <v>20</v>
      </c>
      <c r="B26" s="81">
        <v>21.2</v>
      </c>
      <c r="C26" s="81">
        <v>-0.3</v>
      </c>
      <c r="D26" s="434"/>
      <c r="F26" s="82">
        <v>40</v>
      </c>
      <c r="G26" s="81">
        <v>40</v>
      </c>
      <c r="H26" s="251">
        <v>0</v>
      </c>
      <c r="I26" s="425"/>
    </row>
    <row r="27" spans="1:10" s="82" customFormat="1" ht="16.2" customHeight="1" x14ac:dyDescent="0.25">
      <c r="A27" s="257">
        <v>25</v>
      </c>
      <c r="B27" s="81">
        <v>26.1</v>
      </c>
      <c r="C27" s="81">
        <v>-0.3</v>
      </c>
      <c r="D27" s="434"/>
      <c r="F27" s="82">
        <v>50</v>
      </c>
      <c r="G27" s="81">
        <v>51</v>
      </c>
      <c r="H27" s="251">
        <v>-1</v>
      </c>
      <c r="I27" s="425"/>
    </row>
    <row r="28" spans="1:10" s="82" customFormat="1" ht="16.2" customHeight="1" x14ac:dyDescent="0.25">
      <c r="A28" s="257">
        <v>30</v>
      </c>
      <c r="B28" s="81">
        <v>30.9</v>
      </c>
      <c r="C28" s="81">
        <v>-0.1</v>
      </c>
      <c r="D28" s="434"/>
      <c r="F28" s="82">
        <v>60</v>
      </c>
      <c r="G28" s="81">
        <v>60</v>
      </c>
      <c r="H28" s="251">
        <v>-1</v>
      </c>
      <c r="I28" s="425"/>
    </row>
    <row r="29" spans="1:10" s="82" customFormat="1" ht="16.2" customHeight="1" x14ac:dyDescent="0.25">
      <c r="A29" s="257">
        <v>40</v>
      </c>
      <c r="B29" s="81">
        <v>40.6</v>
      </c>
      <c r="C29" s="125">
        <v>0</v>
      </c>
      <c r="D29" s="434"/>
      <c r="F29" s="82">
        <v>70</v>
      </c>
      <c r="G29" s="81">
        <v>70</v>
      </c>
      <c r="H29" s="251">
        <v>-1</v>
      </c>
      <c r="I29" s="425"/>
    </row>
    <row r="30" spans="1:10" ht="16.2" customHeight="1" x14ac:dyDescent="0.25">
      <c r="A30" s="255">
        <v>50</v>
      </c>
      <c r="B30" s="256">
        <f>FORECAST(A30,B28:B29,A28:A29)</f>
        <v>50.300000000000004</v>
      </c>
      <c r="C30" s="256">
        <f>FORECAST(A30,C28:C29,A28:A29)</f>
        <v>9.9999999999999978E-2</v>
      </c>
      <c r="D30" s="434"/>
      <c r="E30" s="82"/>
      <c r="F30" s="82">
        <v>80</v>
      </c>
      <c r="G30" s="256">
        <f>FORECAST(F30,G28:G29,F28:F29)</f>
        <v>80</v>
      </c>
      <c r="H30" s="256">
        <f>FORECAST(F30,H28:H29,F28:F29)</f>
        <v>-1</v>
      </c>
      <c r="I30" s="425"/>
    </row>
    <row r="31" spans="1:10" ht="16.2" customHeight="1" x14ac:dyDescent="0.25">
      <c r="B31" s="32">
        <f>B312</f>
        <v>4</v>
      </c>
      <c r="C31" s="33" t="e">
        <f ca="1">FORECAST(B31,OFFSET($C$25:$C$30,MATCH(B31,$B$25:$B$30,1)-1,0,2),OFFSET($B$25:$B$30,MATCH(B31,$B$25:$B$30,1)-1,0,2))</f>
        <v>#N/A</v>
      </c>
      <c r="D31" s="434"/>
      <c r="G31" s="33">
        <f>G312</f>
        <v>3.3333333333333335</v>
      </c>
      <c r="H31" s="252" t="e">
        <f ca="1">FORECAST(G31,OFFSET($H$25:$H$30,MATCH(G31,$G$25:$G$30,1)-1,0,2),OFFSET($G$25:$G$30,MATCH(G31,$G$25:$G$30,1)-1,0,2))</f>
        <v>#N/A</v>
      </c>
      <c r="I31" s="425"/>
    </row>
    <row r="32" spans="1:10" ht="16.2" customHeight="1" x14ac:dyDescent="0.25">
      <c r="B32" s="82"/>
      <c r="C32" s="82"/>
      <c r="D32" s="82"/>
      <c r="E32" s="82"/>
      <c r="F32" s="82"/>
      <c r="G32" s="82"/>
      <c r="H32" s="82"/>
    </row>
    <row r="34" spans="2:10" s="3" customFormat="1" ht="16.2" customHeight="1" x14ac:dyDescent="0.25">
      <c r="B34" s="76" t="s">
        <v>59</v>
      </c>
      <c r="C34" s="426" t="s">
        <v>376</v>
      </c>
      <c r="D34" s="427"/>
      <c r="G34" s="77" t="s">
        <v>79</v>
      </c>
      <c r="H34" s="78"/>
      <c r="I34" s="428" t="s">
        <v>377</v>
      </c>
      <c r="J34" s="429"/>
    </row>
    <row r="35" spans="2:10" s="3" customFormat="1" ht="16.2" customHeight="1" x14ac:dyDescent="0.25">
      <c r="B35" s="76" t="s">
        <v>378</v>
      </c>
      <c r="C35" s="427" t="s">
        <v>379</v>
      </c>
      <c r="D35" s="427"/>
      <c r="G35" s="77" t="s">
        <v>80</v>
      </c>
      <c r="H35" s="78"/>
      <c r="I35" s="29" t="s">
        <v>380</v>
      </c>
      <c r="J35" s="79"/>
    </row>
    <row r="36" spans="2:10" s="3" customFormat="1" ht="16.2" customHeight="1" x14ac:dyDescent="0.25">
      <c r="B36" s="76" t="s">
        <v>381</v>
      </c>
      <c r="C36" s="426" t="s">
        <v>389</v>
      </c>
      <c r="D36" s="426"/>
    </row>
    <row r="37" spans="2:10" ht="15.6" customHeight="1" x14ac:dyDescent="0.25"/>
    <row r="38" spans="2:10" s="3" customFormat="1" ht="16.2" customHeight="1" x14ac:dyDescent="0.25">
      <c r="B38" s="417" t="s">
        <v>382</v>
      </c>
      <c r="C38" s="418"/>
      <c r="D38" s="419"/>
      <c r="G38" s="417" t="s">
        <v>383</v>
      </c>
      <c r="H38" s="418"/>
      <c r="I38" s="419"/>
    </row>
    <row r="39" spans="2:10" s="40" customFormat="1" ht="27" customHeight="1" x14ac:dyDescent="0.25">
      <c r="B39" s="80" t="s">
        <v>384</v>
      </c>
      <c r="C39" s="80" t="s">
        <v>385</v>
      </c>
      <c r="D39" s="80" t="s">
        <v>170</v>
      </c>
      <c r="G39" s="80" t="s">
        <v>384</v>
      </c>
      <c r="H39" s="80" t="s">
        <v>385</v>
      </c>
      <c r="I39" s="80" t="s">
        <v>170</v>
      </c>
    </row>
    <row r="40" spans="2:10" s="40" customFormat="1" ht="16.2" customHeight="1" x14ac:dyDescent="0.25">
      <c r="B40" s="80" t="s">
        <v>386</v>
      </c>
      <c r="C40" s="80" t="s">
        <v>386</v>
      </c>
      <c r="D40" s="80" t="s">
        <v>386</v>
      </c>
      <c r="G40" s="80" t="s">
        <v>87</v>
      </c>
      <c r="H40" s="80" t="s">
        <v>87</v>
      </c>
      <c r="I40" s="80" t="s">
        <v>87</v>
      </c>
    </row>
    <row r="41" spans="2:10" s="82" customFormat="1" ht="16.2" customHeight="1" x14ac:dyDescent="0.25">
      <c r="B41" s="81">
        <v>15.9</v>
      </c>
      <c r="C41" s="81">
        <v>0</v>
      </c>
      <c r="D41" s="422">
        <v>0.55000000000000004</v>
      </c>
      <c r="G41" s="81">
        <v>26</v>
      </c>
      <c r="H41" s="81">
        <v>-2</v>
      </c>
      <c r="I41" s="425">
        <v>2.8</v>
      </c>
    </row>
    <row r="42" spans="2:10" s="82" customFormat="1" ht="16.2" customHeight="1" x14ac:dyDescent="0.25">
      <c r="B42" s="81">
        <v>19.100000000000001</v>
      </c>
      <c r="C42" s="81">
        <v>0.8</v>
      </c>
      <c r="D42" s="423"/>
      <c r="G42" s="81">
        <v>37</v>
      </c>
      <c r="H42" s="81">
        <v>0</v>
      </c>
      <c r="I42" s="425"/>
    </row>
    <row r="43" spans="2:10" s="82" customFormat="1" ht="16.2" customHeight="1" x14ac:dyDescent="0.25">
      <c r="B43" s="81">
        <v>24.8</v>
      </c>
      <c r="C43" s="81">
        <v>0.2</v>
      </c>
      <c r="D43" s="423"/>
      <c r="G43" s="81">
        <v>43</v>
      </c>
      <c r="H43" s="81">
        <v>3</v>
      </c>
      <c r="I43" s="425"/>
    </row>
    <row r="44" spans="2:10" s="82" customFormat="1" ht="16.2" customHeight="1" x14ac:dyDescent="0.25">
      <c r="B44" s="81">
        <v>29.5</v>
      </c>
      <c r="C44" s="81">
        <v>0.6</v>
      </c>
      <c r="D44" s="423"/>
      <c r="G44" s="81">
        <v>53</v>
      </c>
      <c r="H44" s="81">
        <v>3</v>
      </c>
      <c r="I44" s="425"/>
    </row>
    <row r="45" spans="2:10" ht="16.2" customHeight="1" x14ac:dyDescent="0.25">
      <c r="B45" s="122">
        <v>40.1</v>
      </c>
      <c r="C45" s="122">
        <v>0.2</v>
      </c>
      <c r="D45" s="423"/>
      <c r="E45" s="82"/>
      <c r="F45" s="82"/>
      <c r="G45" s="81">
        <v>70</v>
      </c>
      <c r="H45" s="119">
        <v>1</v>
      </c>
      <c r="I45" s="425"/>
    </row>
    <row r="46" spans="2:10" ht="16.2" customHeight="1" x14ac:dyDescent="0.25">
      <c r="B46" s="112">
        <f>B312</f>
        <v>4</v>
      </c>
      <c r="C46" s="33" t="e">
        <f ca="1">FORECAST(B46,OFFSET($C$41:$C$45,MATCH(B46,$B$41:$B$45,1)-1,0,2),OFFSET($B$41:$B$45,MATCH(B46,$B$41:$B$45,1)-1,0,2))</f>
        <v>#N/A</v>
      </c>
      <c r="D46" s="424"/>
      <c r="G46" s="33">
        <f>G312</f>
        <v>3.3333333333333335</v>
      </c>
      <c r="H46" s="33" t="e">
        <f ca="1">FORECAST(G46,OFFSET($H$41:$H$45,MATCH(G46,$G$41:$G$45,1)-1,0,2),OFFSET($G$41:$G$45,MATCH(G46,$G$41:$G$45,1)-1,0,2))</f>
        <v>#N/A</v>
      </c>
      <c r="I46" s="425"/>
    </row>
    <row r="47" spans="2:10" ht="16.2" customHeight="1" x14ac:dyDescent="0.25">
      <c r="B47" s="82"/>
      <c r="C47" s="82"/>
      <c r="D47" s="82"/>
      <c r="E47" s="82"/>
      <c r="F47" s="82"/>
      <c r="G47" s="82"/>
      <c r="H47" s="82"/>
    </row>
    <row r="49" spans="1:10" s="3" customFormat="1" ht="16.2" customHeight="1" x14ac:dyDescent="0.25">
      <c r="B49" s="76" t="s">
        <v>59</v>
      </c>
      <c r="C49" s="426" t="s">
        <v>376</v>
      </c>
      <c r="D49" s="427"/>
      <c r="G49" s="77" t="s">
        <v>79</v>
      </c>
      <c r="H49" s="78"/>
      <c r="I49" s="428" t="s">
        <v>390</v>
      </c>
      <c r="J49" s="429"/>
    </row>
    <row r="50" spans="1:10" s="3" customFormat="1" ht="16.2" customHeight="1" x14ac:dyDescent="0.25">
      <c r="B50" s="76" t="s">
        <v>378</v>
      </c>
      <c r="C50" s="427" t="s">
        <v>379</v>
      </c>
      <c r="D50" s="427"/>
      <c r="G50" s="77" t="s">
        <v>80</v>
      </c>
      <c r="H50" s="78"/>
      <c r="I50" s="29" t="s">
        <v>380</v>
      </c>
      <c r="J50" s="79"/>
    </row>
    <row r="51" spans="1:10" s="3" customFormat="1" ht="16.2" customHeight="1" x14ac:dyDescent="0.25">
      <c r="B51" s="76" t="s">
        <v>381</v>
      </c>
      <c r="C51" s="430" t="s">
        <v>391</v>
      </c>
      <c r="D51" s="430"/>
    </row>
    <row r="52" spans="1:10" ht="15.6" customHeight="1" x14ac:dyDescent="0.25"/>
    <row r="53" spans="1:10" s="3" customFormat="1" ht="16.2" customHeight="1" x14ac:dyDescent="0.25">
      <c r="B53" s="417" t="s">
        <v>382</v>
      </c>
      <c r="C53" s="418"/>
      <c r="D53" s="419"/>
      <c r="G53" s="417" t="s">
        <v>383</v>
      </c>
      <c r="H53" s="418"/>
      <c r="I53" s="419"/>
    </row>
    <row r="54" spans="1:10" s="40" customFormat="1" ht="27" customHeight="1" x14ac:dyDescent="0.25">
      <c r="B54" s="80" t="s">
        <v>384</v>
      </c>
      <c r="C54" s="80" t="s">
        <v>385</v>
      </c>
      <c r="D54" s="80" t="s">
        <v>170</v>
      </c>
      <c r="G54" s="80" t="s">
        <v>384</v>
      </c>
      <c r="H54" s="80" t="s">
        <v>385</v>
      </c>
      <c r="I54" s="80" t="s">
        <v>170</v>
      </c>
    </row>
    <row r="55" spans="1:10" s="40" customFormat="1" ht="16.2" customHeight="1" x14ac:dyDescent="0.25">
      <c r="B55" s="80" t="s">
        <v>386</v>
      </c>
      <c r="C55" s="80" t="s">
        <v>386</v>
      </c>
      <c r="D55" s="80" t="s">
        <v>386</v>
      </c>
      <c r="G55" s="80" t="s">
        <v>87</v>
      </c>
      <c r="H55" s="80" t="s">
        <v>87</v>
      </c>
      <c r="I55" s="80" t="s">
        <v>87</v>
      </c>
    </row>
    <row r="56" spans="1:10" s="82" customFormat="1" ht="16.2" customHeight="1" x14ac:dyDescent="0.25">
      <c r="A56" s="82">
        <v>15</v>
      </c>
      <c r="B56" s="256">
        <f>FORECAST(A56,B57:B58,A57:A58)</f>
        <v>6.1333333333333364</v>
      </c>
      <c r="C56" s="256">
        <f>FORECAST(A56,C57:C58,A57:A58)</f>
        <v>-1.533333333333333</v>
      </c>
      <c r="D56" s="434">
        <v>0.57999999999999996</v>
      </c>
      <c r="F56" s="82">
        <v>30</v>
      </c>
      <c r="G56" s="256">
        <f>FORECAST(F56,G57:G58,F57:F58)</f>
        <v>28.999999999999993</v>
      </c>
      <c r="H56" s="256">
        <f>FORECAST(F56,H57:H58,F57:F58)</f>
        <v>-3</v>
      </c>
      <c r="I56" s="425">
        <v>3</v>
      </c>
    </row>
    <row r="57" spans="1:10" s="82" customFormat="1" ht="16.2" customHeight="1" x14ac:dyDescent="0.25">
      <c r="A57" s="82">
        <v>25</v>
      </c>
      <c r="B57" s="81">
        <v>21.8</v>
      </c>
      <c r="C57" s="81">
        <v>-1.2</v>
      </c>
      <c r="D57" s="434"/>
      <c r="F57" s="82">
        <v>40</v>
      </c>
      <c r="G57" s="81">
        <v>40</v>
      </c>
      <c r="H57" s="81">
        <v>-2</v>
      </c>
      <c r="I57" s="425"/>
    </row>
    <row r="58" spans="1:10" s="82" customFormat="1" ht="16.2" customHeight="1" x14ac:dyDescent="0.25">
      <c r="A58" s="82">
        <v>28</v>
      </c>
      <c r="B58" s="81">
        <v>26.5</v>
      </c>
      <c r="C58" s="81">
        <v>-1.1000000000000001</v>
      </c>
      <c r="D58" s="434"/>
      <c r="F58" s="82">
        <v>50</v>
      </c>
      <c r="G58" s="81">
        <v>51</v>
      </c>
      <c r="H58" s="81">
        <v>-1</v>
      </c>
      <c r="I58" s="425"/>
    </row>
    <row r="59" spans="1:10" s="82" customFormat="1" ht="16.2" customHeight="1" x14ac:dyDescent="0.25">
      <c r="A59" s="82">
        <v>30</v>
      </c>
      <c r="B59" s="81">
        <v>30.5</v>
      </c>
      <c r="C59" s="81">
        <v>0.3</v>
      </c>
      <c r="D59" s="434"/>
      <c r="G59" s="81">
        <v>64</v>
      </c>
      <c r="H59" s="81">
        <v>-4</v>
      </c>
      <c r="I59" s="425"/>
    </row>
    <row r="60" spans="1:10" s="82" customFormat="1" ht="16.2" customHeight="1" x14ac:dyDescent="0.25">
      <c r="A60" s="258">
        <v>40</v>
      </c>
      <c r="B60" s="256">
        <v>40</v>
      </c>
      <c r="C60" s="256">
        <v>0.6</v>
      </c>
      <c r="D60" s="434"/>
      <c r="G60" s="81">
        <v>75</v>
      </c>
      <c r="H60" s="81">
        <v>-6</v>
      </c>
      <c r="I60" s="425"/>
    </row>
    <row r="61" spans="1:10" ht="16.2" customHeight="1" x14ac:dyDescent="0.25">
      <c r="B61" s="113">
        <f>B312</f>
        <v>4</v>
      </c>
      <c r="C61" s="33" t="e">
        <f ca="1">FORECAST(B61,OFFSET($C$56:$C$60,MATCH(B61,$B$56:$B$60,1)-1,0,2),OFFSET($B$56:$B$60,MATCH(B61,$B$56:$B$60,1)-1,0,2))</f>
        <v>#N/A</v>
      </c>
      <c r="D61" s="434"/>
      <c r="E61" s="82"/>
      <c r="F61" s="82"/>
      <c r="G61" s="33">
        <f>G312</f>
        <v>3.3333333333333335</v>
      </c>
      <c r="H61" s="33" t="e">
        <f ca="1">FORECAST(G61,OFFSET($H$56:$H$60,MATCH(G61,$G$56:$G$60,1)-1,0,2),OFFSET($G$56:$G$60,MATCH(G61,$G$56:$G$60,1)-1,0,2))</f>
        <v>#N/A</v>
      </c>
      <c r="I61" s="425"/>
    </row>
    <row r="62" spans="1:10" ht="16.2" customHeight="1" x14ac:dyDescent="0.25">
      <c r="D62" s="42"/>
      <c r="I62" s="124"/>
    </row>
    <row r="63" spans="1:10" ht="16.2" customHeight="1" x14ac:dyDescent="0.25">
      <c r="B63" s="82"/>
      <c r="C63" s="82"/>
      <c r="D63" s="82"/>
      <c r="E63" s="82"/>
      <c r="F63" s="82"/>
      <c r="G63" s="82"/>
      <c r="H63" s="82"/>
    </row>
    <row r="65" spans="2:10" s="3" customFormat="1" ht="16.2" customHeight="1" x14ac:dyDescent="0.25">
      <c r="B65" s="76" t="s">
        <v>59</v>
      </c>
      <c r="C65" s="426" t="s">
        <v>376</v>
      </c>
      <c r="D65" s="427"/>
      <c r="G65" s="77" t="s">
        <v>79</v>
      </c>
      <c r="H65" s="78"/>
      <c r="I65" s="428" t="s">
        <v>377</v>
      </c>
      <c r="J65" s="429"/>
    </row>
    <row r="66" spans="2:10" s="3" customFormat="1" ht="16.2" customHeight="1" x14ac:dyDescent="0.25">
      <c r="B66" s="76" t="s">
        <v>378</v>
      </c>
      <c r="C66" s="427" t="s">
        <v>379</v>
      </c>
      <c r="D66" s="427"/>
      <c r="G66" s="77" t="s">
        <v>80</v>
      </c>
      <c r="H66" s="78"/>
      <c r="I66" s="29" t="s">
        <v>380</v>
      </c>
      <c r="J66" s="79"/>
    </row>
    <row r="67" spans="2:10" s="3" customFormat="1" ht="16.2" customHeight="1" x14ac:dyDescent="0.25">
      <c r="B67" s="76" t="s">
        <v>381</v>
      </c>
      <c r="C67" s="426" t="s">
        <v>392</v>
      </c>
      <c r="D67" s="426"/>
    </row>
    <row r="68" spans="2:10" ht="15.6" customHeight="1" x14ac:dyDescent="0.25"/>
    <row r="69" spans="2:10" s="3" customFormat="1" ht="16.2" customHeight="1" x14ac:dyDescent="0.25">
      <c r="B69" s="417" t="s">
        <v>382</v>
      </c>
      <c r="C69" s="418"/>
      <c r="D69" s="419"/>
      <c r="G69" s="417" t="s">
        <v>383</v>
      </c>
      <c r="H69" s="418"/>
      <c r="I69" s="419"/>
    </row>
    <row r="70" spans="2:10" s="40" customFormat="1" ht="27" customHeight="1" x14ac:dyDescent="0.25">
      <c r="B70" s="80" t="s">
        <v>384</v>
      </c>
      <c r="C70" s="80" t="s">
        <v>385</v>
      </c>
      <c r="D70" s="80" t="s">
        <v>170</v>
      </c>
      <c r="G70" s="80" t="s">
        <v>384</v>
      </c>
      <c r="H70" s="80" t="s">
        <v>385</v>
      </c>
      <c r="I70" s="80" t="s">
        <v>170</v>
      </c>
    </row>
    <row r="71" spans="2:10" s="40" customFormat="1" ht="16.2" customHeight="1" x14ac:dyDescent="0.25">
      <c r="B71" s="80" t="s">
        <v>386</v>
      </c>
      <c r="C71" s="80" t="s">
        <v>386</v>
      </c>
      <c r="D71" s="80" t="s">
        <v>386</v>
      </c>
      <c r="G71" s="80" t="s">
        <v>87</v>
      </c>
      <c r="H71" s="80" t="s">
        <v>87</v>
      </c>
      <c r="I71" s="80" t="s">
        <v>87</v>
      </c>
    </row>
    <row r="72" spans="2:10" s="82" customFormat="1" ht="16.2" customHeight="1" x14ac:dyDescent="0.25">
      <c r="B72" s="81">
        <v>15.4</v>
      </c>
      <c r="C72" s="81">
        <v>0.5</v>
      </c>
      <c r="D72" s="422">
        <v>0.55000000000000004</v>
      </c>
      <c r="G72" s="81">
        <v>24</v>
      </c>
      <c r="H72" s="81">
        <v>0</v>
      </c>
      <c r="I72" s="425">
        <v>2.8</v>
      </c>
    </row>
    <row r="73" spans="2:10" s="82" customFormat="1" ht="16.2" customHeight="1" x14ac:dyDescent="0.25">
      <c r="B73" s="81">
        <v>19.600000000000001</v>
      </c>
      <c r="C73" s="81">
        <v>0.3</v>
      </c>
      <c r="D73" s="423"/>
      <c r="G73" s="81">
        <v>36</v>
      </c>
      <c r="H73" s="81">
        <v>1</v>
      </c>
      <c r="I73" s="425"/>
    </row>
    <row r="74" spans="2:10" s="82" customFormat="1" ht="16.2" customHeight="1" x14ac:dyDescent="0.25">
      <c r="B74" s="81">
        <v>24.9</v>
      </c>
      <c r="C74" s="81">
        <v>0.1</v>
      </c>
      <c r="D74" s="423"/>
      <c r="G74" s="81">
        <v>42</v>
      </c>
      <c r="H74" s="81">
        <v>4</v>
      </c>
      <c r="I74" s="425"/>
    </row>
    <row r="75" spans="2:10" s="82" customFormat="1" ht="16.2" customHeight="1" x14ac:dyDescent="0.25">
      <c r="B75" s="81">
        <v>29.9</v>
      </c>
      <c r="C75" s="81">
        <v>0.2</v>
      </c>
      <c r="D75" s="423"/>
      <c r="G75" s="81">
        <v>52</v>
      </c>
      <c r="H75" s="81">
        <v>4</v>
      </c>
      <c r="I75" s="425"/>
    </row>
    <row r="76" spans="2:10" ht="16.2" customHeight="1" x14ac:dyDescent="0.25">
      <c r="B76" s="122">
        <v>40.4</v>
      </c>
      <c r="C76" s="122">
        <v>-0.1</v>
      </c>
      <c r="D76" s="423"/>
      <c r="E76" s="82"/>
      <c r="F76" s="82"/>
      <c r="G76" s="81">
        <v>70</v>
      </c>
      <c r="H76" s="119">
        <v>1</v>
      </c>
      <c r="I76" s="425"/>
    </row>
    <row r="77" spans="2:10" ht="16.2" customHeight="1" x14ac:dyDescent="0.25">
      <c r="B77" s="33">
        <f>B312</f>
        <v>4</v>
      </c>
      <c r="C77" s="33" t="e">
        <f ca="1">FORECAST(B77,OFFSET($C$72:$C$76,MATCH(B77,$B$72:$B$76,1)-1,0,2),OFFSET($B$72:$B$76,MATCH(B77,$B$72:$B$76,1)-1,0,2))</f>
        <v>#N/A</v>
      </c>
      <c r="D77" s="424"/>
      <c r="G77" s="33">
        <f>G312</f>
        <v>3.3333333333333335</v>
      </c>
      <c r="H77" s="33" t="e">
        <f ca="1">FORECAST(G77,OFFSET($H$72:$H$76,MATCH(G77,$G$72:$G$76,1)-1,0,2),OFFSET($G$72:$G$76,MATCH(G77,$G$72:$G$76,1)-1,0,2))</f>
        <v>#N/A</v>
      </c>
      <c r="I77" s="425"/>
    </row>
    <row r="78" spans="2:10" ht="16.2" customHeight="1" x14ac:dyDescent="0.25">
      <c r="B78" s="110"/>
      <c r="C78" s="110"/>
      <c r="D78" s="41"/>
      <c r="G78" s="110"/>
      <c r="H78" s="110"/>
      <c r="I78" s="41"/>
    </row>
    <row r="79" spans="2:10" ht="16.2" customHeight="1" x14ac:dyDescent="0.25">
      <c r="B79" s="110"/>
      <c r="C79" s="110"/>
      <c r="D79" s="41"/>
      <c r="G79" s="110"/>
      <c r="H79" s="110"/>
      <c r="I79" s="41"/>
    </row>
    <row r="80" spans="2:10" s="3" customFormat="1" ht="16.2" customHeight="1" x14ac:dyDescent="0.25">
      <c r="B80" s="76" t="s">
        <v>59</v>
      </c>
      <c r="C80" s="426" t="s">
        <v>376</v>
      </c>
      <c r="D80" s="427"/>
      <c r="G80" s="77" t="s">
        <v>79</v>
      </c>
      <c r="H80" s="78"/>
      <c r="I80" s="428" t="s">
        <v>390</v>
      </c>
      <c r="J80" s="429"/>
    </row>
    <row r="81" spans="1:10" s="3" customFormat="1" ht="16.2" customHeight="1" x14ac:dyDescent="0.25">
      <c r="B81" s="76" t="s">
        <v>378</v>
      </c>
      <c r="C81" s="427" t="s">
        <v>379</v>
      </c>
      <c r="D81" s="427"/>
      <c r="G81" s="77" t="s">
        <v>80</v>
      </c>
      <c r="H81" s="78"/>
      <c r="I81" s="29" t="s">
        <v>380</v>
      </c>
      <c r="J81" s="79"/>
    </row>
    <row r="82" spans="1:10" s="3" customFormat="1" ht="16.2" customHeight="1" x14ac:dyDescent="0.25">
      <c r="B82" s="76" t="s">
        <v>381</v>
      </c>
      <c r="C82" s="430" t="s">
        <v>393</v>
      </c>
      <c r="D82" s="430"/>
    </row>
    <row r="83" spans="1:10" ht="15.6" customHeight="1" x14ac:dyDescent="0.25"/>
    <row r="84" spans="1:10" s="3" customFormat="1" ht="16.2" customHeight="1" x14ac:dyDescent="0.25">
      <c r="B84" s="417" t="s">
        <v>382</v>
      </c>
      <c r="C84" s="418"/>
      <c r="D84" s="419"/>
      <c r="G84" s="417" t="s">
        <v>383</v>
      </c>
      <c r="H84" s="418"/>
      <c r="I84" s="419"/>
    </row>
    <row r="85" spans="1:10" s="40" customFormat="1" ht="27" customHeight="1" x14ac:dyDescent="0.25">
      <c r="B85" s="80" t="s">
        <v>384</v>
      </c>
      <c r="C85" s="80" t="s">
        <v>385</v>
      </c>
      <c r="D85" s="80" t="s">
        <v>170</v>
      </c>
      <c r="G85" s="80" t="s">
        <v>384</v>
      </c>
      <c r="H85" s="80" t="s">
        <v>385</v>
      </c>
      <c r="I85" s="80" t="s">
        <v>170</v>
      </c>
    </row>
    <row r="86" spans="1:10" s="40" customFormat="1" ht="16.2" customHeight="1" x14ac:dyDescent="0.25">
      <c r="B86" s="80" t="s">
        <v>386</v>
      </c>
      <c r="C86" s="80" t="s">
        <v>386</v>
      </c>
      <c r="D86" s="80" t="s">
        <v>386</v>
      </c>
      <c r="G86" s="80" t="s">
        <v>87</v>
      </c>
      <c r="H86" s="80" t="s">
        <v>87</v>
      </c>
      <c r="I86" s="80" t="s">
        <v>87</v>
      </c>
    </row>
    <row r="87" spans="1:10" s="82" customFormat="1" ht="16.2" customHeight="1" x14ac:dyDescent="0.25">
      <c r="A87" s="82">
        <v>15</v>
      </c>
      <c r="B87" s="256">
        <f>FORECAST(A87,B88:B89,A88:A89)</f>
        <v>16</v>
      </c>
      <c r="C87" s="256">
        <f>FORECAST(A87,C88:C89,A88:A89)</f>
        <v>-0.19999999999999996</v>
      </c>
      <c r="D87" s="422">
        <v>0.57999999999999996</v>
      </c>
      <c r="F87" s="82">
        <v>30</v>
      </c>
      <c r="G87" s="256">
        <f>FORECAST(F87,G88:G89,F88:F89)</f>
        <v>27.999999999999993</v>
      </c>
      <c r="H87" s="256">
        <f>FORECAST(F87,H88:H89,F88:F89)</f>
        <v>-2</v>
      </c>
      <c r="I87" s="431">
        <v>3</v>
      </c>
    </row>
    <row r="88" spans="1:10" s="82" customFormat="1" ht="16.2" customHeight="1" x14ac:dyDescent="0.25">
      <c r="A88" s="82">
        <v>20</v>
      </c>
      <c r="B88" s="81">
        <v>21.2</v>
      </c>
      <c r="C88" s="81">
        <v>-0.6</v>
      </c>
      <c r="D88" s="423"/>
      <c r="F88" s="82">
        <v>40</v>
      </c>
      <c r="G88" s="81">
        <v>39</v>
      </c>
      <c r="H88" s="81">
        <v>-1</v>
      </c>
      <c r="I88" s="432"/>
    </row>
    <row r="89" spans="1:10" s="82" customFormat="1" ht="16.2" customHeight="1" x14ac:dyDescent="0.25">
      <c r="A89" s="82">
        <v>25</v>
      </c>
      <c r="B89" s="81">
        <v>26.4</v>
      </c>
      <c r="C89" s="81">
        <v>-1</v>
      </c>
      <c r="D89" s="423"/>
      <c r="F89" s="82">
        <v>50</v>
      </c>
      <c r="G89" s="81">
        <v>50</v>
      </c>
      <c r="H89" s="81">
        <v>0</v>
      </c>
      <c r="I89" s="432"/>
    </row>
    <row r="90" spans="1:10" s="82" customFormat="1" ht="16.2" customHeight="1" x14ac:dyDescent="0.25">
      <c r="A90" s="82">
        <v>30</v>
      </c>
      <c r="B90" s="81">
        <v>30.8</v>
      </c>
      <c r="C90" s="81">
        <v>0</v>
      </c>
      <c r="D90" s="423"/>
      <c r="G90" s="81">
        <v>62</v>
      </c>
      <c r="H90" s="81">
        <v>-2</v>
      </c>
      <c r="I90" s="432"/>
    </row>
    <row r="91" spans="1:10" s="82" customFormat="1" ht="16.2" customHeight="1" x14ac:dyDescent="0.25">
      <c r="A91" s="258">
        <v>40</v>
      </c>
      <c r="B91" s="256">
        <v>40.200000000000003</v>
      </c>
      <c r="C91" s="256">
        <v>0.4</v>
      </c>
      <c r="D91" s="423"/>
      <c r="G91" s="81">
        <v>74</v>
      </c>
      <c r="H91" s="81">
        <v>-5</v>
      </c>
      <c r="I91" s="432"/>
    </row>
    <row r="92" spans="1:10" ht="16.2" customHeight="1" x14ac:dyDescent="0.25">
      <c r="B92" s="111">
        <f>B312</f>
        <v>4</v>
      </c>
      <c r="C92" s="33" t="e">
        <f ca="1">FORECAST(B92,OFFSET($C$87:$C$91,MATCH(B92,$B$87:$B$91,1)-1,0,2),OFFSET($B$87:$B$91,MATCH(B92,$B$87:$B$91,1)-1,0,2))</f>
        <v>#N/A</v>
      </c>
      <c r="D92" s="423"/>
      <c r="E92" s="82"/>
      <c r="F92" s="82"/>
      <c r="G92" s="33">
        <f>G312</f>
        <v>3.3333333333333335</v>
      </c>
      <c r="H92" s="33" t="e">
        <f ca="1">FORECAST(G92,OFFSET($H$87:$H$91,MATCH(G92,$G$87:$G$91,1)-1,0,2),OFFSET($G$87:$G$91,MATCH(G92,$G$87:$G$91,1)-1,0,2))</f>
        <v>#N/A</v>
      </c>
      <c r="I92" s="432"/>
    </row>
    <row r="93" spans="1:10" ht="16.2" customHeight="1" x14ac:dyDescent="0.25">
      <c r="D93" s="126"/>
      <c r="I93" s="124"/>
    </row>
    <row r="94" spans="1:10" ht="16.2" customHeight="1" x14ac:dyDescent="0.25">
      <c r="B94" s="82"/>
      <c r="C94" s="82"/>
      <c r="D94" s="82"/>
      <c r="E94" s="82"/>
      <c r="F94" s="82"/>
      <c r="G94" s="82"/>
      <c r="H94" s="82"/>
    </row>
    <row r="96" spans="1:10" s="3" customFormat="1" ht="16.2" customHeight="1" x14ac:dyDescent="0.25">
      <c r="B96" s="76" t="s">
        <v>59</v>
      </c>
      <c r="C96" s="426" t="s">
        <v>376</v>
      </c>
      <c r="D96" s="427"/>
      <c r="G96" s="77" t="s">
        <v>79</v>
      </c>
      <c r="H96" s="78"/>
      <c r="I96" s="428" t="s">
        <v>377</v>
      </c>
      <c r="J96" s="429"/>
    </row>
    <row r="97" spans="2:10" s="3" customFormat="1" ht="16.2" customHeight="1" x14ac:dyDescent="0.25">
      <c r="B97" s="76" t="s">
        <v>378</v>
      </c>
      <c r="C97" s="427" t="s">
        <v>379</v>
      </c>
      <c r="D97" s="427"/>
      <c r="G97" s="77" t="s">
        <v>80</v>
      </c>
      <c r="H97" s="78"/>
      <c r="I97" s="29" t="s">
        <v>380</v>
      </c>
      <c r="J97" s="79"/>
    </row>
    <row r="98" spans="2:10" s="3" customFormat="1" ht="16.2" customHeight="1" x14ac:dyDescent="0.25">
      <c r="B98" s="76" t="s">
        <v>381</v>
      </c>
      <c r="C98" s="426" t="s">
        <v>394</v>
      </c>
      <c r="D98" s="426"/>
    </row>
    <row r="99" spans="2:10" ht="15.6" customHeight="1" x14ac:dyDescent="0.25"/>
    <row r="100" spans="2:10" s="3" customFormat="1" ht="16.2" customHeight="1" x14ac:dyDescent="0.25">
      <c r="B100" s="417" t="s">
        <v>382</v>
      </c>
      <c r="C100" s="418"/>
      <c r="D100" s="419"/>
      <c r="G100" s="417" t="s">
        <v>383</v>
      </c>
      <c r="H100" s="418"/>
      <c r="I100" s="419"/>
    </row>
    <row r="101" spans="2:10" s="40" customFormat="1" ht="27" customHeight="1" x14ac:dyDescent="0.25">
      <c r="B101" s="80" t="s">
        <v>384</v>
      </c>
      <c r="C101" s="80" t="s">
        <v>385</v>
      </c>
      <c r="D101" s="80" t="s">
        <v>170</v>
      </c>
      <c r="G101" s="80" t="s">
        <v>384</v>
      </c>
      <c r="H101" s="80" t="s">
        <v>385</v>
      </c>
      <c r="I101" s="80" t="s">
        <v>170</v>
      </c>
    </row>
    <row r="102" spans="2:10" s="40" customFormat="1" ht="16.2" customHeight="1" x14ac:dyDescent="0.25">
      <c r="B102" s="80" t="s">
        <v>386</v>
      </c>
      <c r="C102" s="80" t="s">
        <v>386</v>
      </c>
      <c r="D102" s="80" t="s">
        <v>386</v>
      </c>
      <c r="G102" s="80" t="s">
        <v>87</v>
      </c>
      <c r="H102" s="80" t="s">
        <v>87</v>
      </c>
      <c r="I102" s="80" t="s">
        <v>87</v>
      </c>
    </row>
    <row r="103" spans="2:10" s="82" customFormat="1" ht="16.2" customHeight="1" x14ac:dyDescent="0.25">
      <c r="B103" s="81">
        <v>15.7</v>
      </c>
      <c r="C103" s="81">
        <v>0.2</v>
      </c>
      <c r="D103" s="422">
        <v>0.55000000000000004</v>
      </c>
      <c r="G103" s="81">
        <v>27</v>
      </c>
      <c r="H103" s="81">
        <v>-3</v>
      </c>
      <c r="I103" s="425">
        <v>2.8</v>
      </c>
    </row>
    <row r="104" spans="2:10" s="82" customFormat="1" ht="16.2" customHeight="1" x14ac:dyDescent="0.25">
      <c r="B104" s="81">
        <v>19.2</v>
      </c>
      <c r="C104" s="81">
        <v>0.7</v>
      </c>
      <c r="D104" s="423"/>
      <c r="G104" s="81">
        <v>38</v>
      </c>
      <c r="H104" s="81">
        <v>-1</v>
      </c>
      <c r="I104" s="425"/>
    </row>
    <row r="105" spans="2:10" s="82" customFormat="1" ht="16.2" customHeight="1" x14ac:dyDescent="0.25">
      <c r="B105" s="81">
        <v>24.4</v>
      </c>
      <c r="C105" s="81">
        <v>0.6</v>
      </c>
      <c r="D105" s="423"/>
      <c r="G105" s="81">
        <v>45</v>
      </c>
      <c r="H105" s="81">
        <v>-1</v>
      </c>
      <c r="I105" s="425"/>
    </row>
    <row r="106" spans="2:10" s="82" customFormat="1" ht="16.2" customHeight="1" x14ac:dyDescent="0.25">
      <c r="B106" s="81">
        <v>28.9</v>
      </c>
      <c r="C106" s="81">
        <v>1.2</v>
      </c>
      <c r="D106" s="423"/>
      <c r="G106" s="81">
        <v>57</v>
      </c>
      <c r="H106" s="81">
        <v>1</v>
      </c>
      <c r="I106" s="425"/>
    </row>
    <row r="107" spans="2:10" ht="16.2" customHeight="1" x14ac:dyDescent="0.25">
      <c r="B107" s="122">
        <v>39.299999999999997</v>
      </c>
      <c r="C107" s="122">
        <v>1</v>
      </c>
      <c r="D107" s="423"/>
      <c r="E107" s="82"/>
      <c r="F107" s="82"/>
      <c r="G107" s="81">
        <v>72</v>
      </c>
      <c r="H107" s="81">
        <v>-1</v>
      </c>
      <c r="I107" s="425"/>
    </row>
    <row r="108" spans="2:10" ht="16.2" customHeight="1" x14ac:dyDescent="0.25">
      <c r="B108" s="32">
        <f>B312</f>
        <v>4</v>
      </c>
      <c r="C108" s="33" t="e">
        <f ca="1">FORECAST(B108,OFFSET($C$103:$C$107,MATCH(B108,$B$103:$B$107,1)-1,0,2),OFFSET($B$103:$B$107,MATCH(B108,$B$103:$B$107,1)-1,0,2))</f>
        <v>#N/A</v>
      </c>
      <c r="D108" s="424"/>
      <c r="G108" s="33">
        <f>G312</f>
        <v>3.3333333333333335</v>
      </c>
      <c r="H108" s="33" t="e">
        <f ca="1">FORECAST(G108,OFFSET($H$103:$H$107,MATCH(G108,$G$103:$G$107,1)-1,0,2),OFFSET($G$103:$G$107,MATCH(G108,$G$103:$G$107,1)-1,0,2))</f>
        <v>#N/A</v>
      </c>
      <c r="I108" s="425"/>
    </row>
    <row r="109" spans="2:10" ht="16.2" customHeight="1" x14ac:dyDescent="0.25">
      <c r="B109" s="82"/>
      <c r="C109" s="82"/>
      <c r="D109" s="82"/>
      <c r="E109" s="82"/>
      <c r="F109" s="82"/>
      <c r="G109" s="82"/>
      <c r="H109" s="82"/>
    </row>
    <row r="111" spans="2:10" s="3" customFormat="1" ht="16.2" customHeight="1" x14ac:dyDescent="0.25">
      <c r="B111" s="76" t="s">
        <v>59</v>
      </c>
      <c r="C111" s="426" t="s">
        <v>376</v>
      </c>
      <c r="D111" s="427"/>
      <c r="G111" s="77" t="s">
        <v>79</v>
      </c>
      <c r="H111" s="78"/>
      <c r="I111" s="428" t="s">
        <v>395</v>
      </c>
      <c r="J111" s="429"/>
    </row>
    <row r="112" spans="2:10" s="3" customFormat="1" ht="16.2" customHeight="1" x14ac:dyDescent="0.25">
      <c r="B112" s="76" t="s">
        <v>378</v>
      </c>
      <c r="C112" s="427" t="s">
        <v>379</v>
      </c>
      <c r="D112" s="427"/>
      <c r="G112" s="77" t="s">
        <v>80</v>
      </c>
      <c r="H112" s="78"/>
      <c r="I112" s="29" t="s">
        <v>380</v>
      </c>
      <c r="J112" s="79"/>
    </row>
    <row r="113" spans="1:10" s="3" customFormat="1" ht="16.2" customHeight="1" x14ac:dyDescent="0.25">
      <c r="B113" s="76" t="s">
        <v>381</v>
      </c>
      <c r="C113" s="430" t="s">
        <v>396</v>
      </c>
      <c r="D113" s="430"/>
    </row>
    <row r="114" spans="1:10" ht="15.6" customHeight="1" x14ac:dyDescent="0.25"/>
    <row r="115" spans="1:10" s="3" customFormat="1" ht="16.2" customHeight="1" x14ac:dyDescent="0.25">
      <c r="B115" s="417" t="s">
        <v>382</v>
      </c>
      <c r="C115" s="418"/>
      <c r="D115" s="419"/>
      <c r="G115" s="417" t="s">
        <v>383</v>
      </c>
      <c r="H115" s="418"/>
      <c r="I115" s="419"/>
    </row>
    <row r="116" spans="1:10" s="40" customFormat="1" ht="27" customHeight="1" x14ac:dyDescent="0.25">
      <c r="B116" s="80" t="s">
        <v>384</v>
      </c>
      <c r="C116" s="80" t="s">
        <v>385</v>
      </c>
      <c r="D116" s="80" t="s">
        <v>170</v>
      </c>
      <c r="G116" s="80" t="s">
        <v>384</v>
      </c>
      <c r="H116" s="80" t="s">
        <v>385</v>
      </c>
      <c r="I116" s="80" t="s">
        <v>170</v>
      </c>
    </row>
    <row r="117" spans="1:10" s="40" customFormat="1" ht="16.2" customHeight="1" x14ac:dyDescent="0.25">
      <c r="B117" s="80" t="s">
        <v>386</v>
      </c>
      <c r="C117" s="80" t="s">
        <v>386</v>
      </c>
      <c r="D117" s="80" t="s">
        <v>386</v>
      </c>
      <c r="G117" s="80" t="s">
        <v>87</v>
      </c>
      <c r="H117" s="80" t="s">
        <v>87</v>
      </c>
      <c r="I117" s="80" t="s">
        <v>87</v>
      </c>
    </row>
    <row r="118" spans="1:10" s="82" customFormat="1" ht="16.2" customHeight="1" x14ac:dyDescent="0.25">
      <c r="A118" s="82">
        <v>15</v>
      </c>
      <c r="B118" s="81">
        <v>15.4</v>
      </c>
      <c r="C118" s="81">
        <v>0.6</v>
      </c>
      <c r="D118" s="422">
        <v>0.57999999999999996</v>
      </c>
      <c r="G118" s="81">
        <v>19</v>
      </c>
      <c r="H118" s="81">
        <v>-1</v>
      </c>
      <c r="I118" s="431">
        <v>3</v>
      </c>
    </row>
    <row r="119" spans="1:10" s="82" customFormat="1" ht="16.2" customHeight="1" x14ac:dyDescent="0.25">
      <c r="A119" s="82">
        <v>25</v>
      </c>
      <c r="B119" s="81">
        <v>20.7</v>
      </c>
      <c r="C119" s="81">
        <v>-0.2</v>
      </c>
      <c r="D119" s="423"/>
      <c r="G119" s="81">
        <v>38</v>
      </c>
      <c r="H119" s="81">
        <v>-1</v>
      </c>
      <c r="I119" s="432"/>
    </row>
    <row r="120" spans="1:10" s="82" customFormat="1" ht="16.2" customHeight="1" x14ac:dyDescent="0.25">
      <c r="A120" s="82">
        <v>28</v>
      </c>
      <c r="B120" s="81">
        <v>25.5</v>
      </c>
      <c r="C120" s="81">
        <v>0.2</v>
      </c>
      <c r="D120" s="423"/>
      <c r="G120" s="81">
        <v>54</v>
      </c>
      <c r="H120" s="81">
        <v>-3</v>
      </c>
      <c r="I120" s="432"/>
    </row>
    <row r="121" spans="1:10" s="82" customFormat="1" ht="16.2" customHeight="1" x14ac:dyDescent="0.25">
      <c r="A121" s="82">
        <v>30</v>
      </c>
      <c r="B121" s="81">
        <v>30.5</v>
      </c>
      <c r="C121" s="81">
        <v>0.5</v>
      </c>
      <c r="D121" s="423"/>
      <c r="G121" s="81">
        <v>73</v>
      </c>
      <c r="H121" s="81">
        <v>-5</v>
      </c>
      <c r="I121" s="432"/>
    </row>
    <row r="122" spans="1:10" s="82" customFormat="1" ht="16.2" customHeight="1" x14ac:dyDescent="0.25">
      <c r="A122" s="258">
        <v>40</v>
      </c>
      <c r="B122" s="256">
        <v>40.5</v>
      </c>
      <c r="C122" s="256">
        <v>0.6</v>
      </c>
      <c r="D122" s="423"/>
      <c r="G122" s="81">
        <v>83</v>
      </c>
      <c r="H122" s="81">
        <v>-5</v>
      </c>
      <c r="I122" s="432"/>
    </row>
    <row r="123" spans="1:10" ht="16.2" customHeight="1" x14ac:dyDescent="0.25">
      <c r="B123" s="112">
        <f>B312</f>
        <v>4</v>
      </c>
      <c r="C123" s="33" t="e">
        <f ca="1">FORECAST(B123,OFFSET($C$118:$C$122,MATCH(B123,$B$118:$B$122,1)-1,0,2),OFFSET($B$118:$B$122,MATCH(B123,$B$118:$B$122,1)-1,0,2))</f>
        <v>#N/A</v>
      </c>
      <c r="D123" s="424"/>
      <c r="E123" s="82"/>
      <c r="F123" s="82"/>
      <c r="G123" s="33">
        <f>G312</f>
        <v>3.3333333333333335</v>
      </c>
      <c r="H123" s="33" t="e">
        <f ca="1">FORECAST(G123,OFFSET($H$118:$H$122,MATCH(G123,$G$118:$G$122,1)-1,0,2),OFFSET($G$118:$G$122,MATCH(G123,$G$118:$G$122,1)-1,0,2))</f>
        <v>#N/A</v>
      </c>
      <c r="I123" s="433"/>
    </row>
    <row r="124" spans="1:10" ht="16.2" customHeight="1" x14ac:dyDescent="0.25">
      <c r="B124" s="82"/>
      <c r="C124" s="82"/>
      <c r="D124" s="82"/>
      <c r="E124" s="82"/>
      <c r="F124" s="82"/>
      <c r="G124" s="82"/>
      <c r="H124" s="82"/>
    </row>
    <row r="126" spans="1:10" s="3" customFormat="1" ht="16.2" customHeight="1" x14ac:dyDescent="0.25">
      <c r="B126" s="76" t="s">
        <v>59</v>
      </c>
      <c r="C126" s="426" t="s">
        <v>376</v>
      </c>
      <c r="D126" s="427"/>
      <c r="G126" s="77" t="s">
        <v>79</v>
      </c>
      <c r="H126" s="78"/>
      <c r="I126" s="428" t="s">
        <v>387</v>
      </c>
      <c r="J126" s="429"/>
    </row>
    <row r="127" spans="1:10" s="3" customFormat="1" ht="16.2" customHeight="1" x14ac:dyDescent="0.25">
      <c r="B127" s="76" t="s">
        <v>378</v>
      </c>
      <c r="C127" s="427" t="s">
        <v>379</v>
      </c>
      <c r="D127" s="427"/>
      <c r="G127" s="77" t="s">
        <v>80</v>
      </c>
      <c r="H127" s="78"/>
      <c r="I127" s="29" t="s">
        <v>380</v>
      </c>
      <c r="J127" s="79"/>
    </row>
    <row r="128" spans="1:10" s="3" customFormat="1" ht="16.2" customHeight="1" x14ac:dyDescent="0.25">
      <c r="B128" s="76" t="s">
        <v>381</v>
      </c>
      <c r="C128" s="426" t="s">
        <v>397</v>
      </c>
      <c r="D128" s="426"/>
    </row>
    <row r="129" spans="1:10" ht="15.6" customHeight="1" x14ac:dyDescent="0.25"/>
    <row r="130" spans="1:10" s="3" customFormat="1" ht="16.2" customHeight="1" x14ac:dyDescent="0.25">
      <c r="B130" s="417" t="s">
        <v>382</v>
      </c>
      <c r="C130" s="418"/>
      <c r="D130" s="419"/>
      <c r="G130" s="417" t="s">
        <v>383</v>
      </c>
      <c r="H130" s="418"/>
      <c r="I130" s="419"/>
    </row>
    <row r="131" spans="1:10" s="40" customFormat="1" ht="27" customHeight="1" x14ac:dyDescent="0.25">
      <c r="B131" s="80" t="s">
        <v>384</v>
      </c>
      <c r="C131" s="80" t="s">
        <v>385</v>
      </c>
      <c r="D131" s="80" t="s">
        <v>170</v>
      </c>
      <c r="G131" s="80" t="s">
        <v>384</v>
      </c>
      <c r="H131" s="80" t="s">
        <v>385</v>
      </c>
      <c r="I131" s="80" t="s">
        <v>170</v>
      </c>
    </row>
    <row r="132" spans="1:10" s="40" customFormat="1" ht="16.2" customHeight="1" x14ac:dyDescent="0.25">
      <c r="B132" s="80" t="s">
        <v>386</v>
      </c>
      <c r="C132" s="80" t="s">
        <v>386</v>
      </c>
      <c r="D132" s="80" t="s">
        <v>386</v>
      </c>
      <c r="G132" s="80" t="s">
        <v>87</v>
      </c>
      <c r="H132" s="80" t="s">
        <v>87</v>
      </c>
      <c r="I132" s="80" t="s">
        <v>87</v>
      </c>
    </row>
    <row r="133" spans="1:10" s="82" customFormat="1" ht="16.2" customHeight="1" x14ac:dyDescent="0.25">
      <c r="A133" s="255">
        <v>15</v>
      </c>
      <c r="B133" s="256">
        <f>FORECAST(A133,B134:B137,A134:A137)</f>
        <v>16.26285714285714</v>
      </c>
      <c r="C133" s="256">
        <f>FORECAST(A133,C134:C135,A134:A135)</f>
        <v>-0.4</v>
      </c>
      <c r="D133" s="422">
        <v>0.51</v>
      </c>
      <c r="F133" s="82">
        <v>30</v>
      </c>
      <c r="G133" s="256">
        <f>FORECAST(F133,G134:G137,F134:F137)</f>
        <v>30.499999999999996</v>
      </c>
      <c r="H133" s="256">
        <f>FORECAST(F133,H134:H135,F134:F135)</f>
        <v>1</v>
      </c>
      <c r="I133" s="425">
        <v>2.2000000000000002</v>
      </c>
    </row>
    <row r="134" spans="1:10" s="82" customFormat="1" ht="16.2" customHeight="1" x14ac:dyDescent="0.25">
      <c r="A134" s="82">
        <v>20</v>
      </c>
      <c r="B134" s="81">
        <v>21.2</v>
      </c>
      <c r="C134" s="81">
        <v>-0.3</v>
      </c>
      <c r="D134" s="423"/>
      <c r="F134" s="82">
        <v>40</v>
      </c>
      <c r="G134" s="81">
        <v>40</v>
      </c>
      <c r="H134" s="251">
        <v>0</v>
      </c>
      <c r="I134" s="425"/>
    </row>
    <row r="135" spans="1:10" s="82" customFormat="1" ht="16.2" customHeight="1" x14ac:dyDescent="0.25">
      <c r="A135" s="82">
        <v>25</v>
      </c>
      <c r="B135" s="81">
        <v>26</v>
      </c>
      <c r="C135" s="81">
        <v>-0.2</v>
      </c>
      <c r="D135" s="423"/>
      <c r="F135" s="82">
        <v>50</v>
      </c>
      <c r="G135" s="81">
        <v>51</v>
      </c>
      <c r="H135" s="251">
        <v>-1</v>
      </c>
      <c r="I135" s="425"/>
    </row>
    <row r="136" spans="1:10" s="82" customFormat="1" ht="16.2" customHeight="1" x14ac:dyDescent="0.25">
      <c r="A136" s="82">
        <v>30</v>
      </c>
      <c r="B136" s="81">
        <v>30.8</v>
      </c>
      <c r="C136" s="81">
        <v>0</v>
      </c>
      <c r="D136" s="423"/>
      <c r="F136" s="82">
        <v>60</v>
      </c>
      <c r="G136" s="81">
        <v>60</v>
      </c>
      <c r="H136" s="251">
        <v>-1</v>
      </c>
      <c r="I136" s="425"/>
    </row>
    <row r="137" spans="1:10" s="82" customFormat="1" ht="16.2" customHeight="1" x14ac:dyDescent="0.25">
      <c r="A137" s="82">
        <v>40</v>
      </c>
      <c r="B137" s="81">
        <v>40.700000000000003</v>
      </c>
      <c r="C137" s="81">
        <v>-0.1</v>
      </c>
      <c r="D137" s="423"/>
      <c r="F137" s="82">
        <v>70</v>
      </c>
      <c r="G137" s="81">
        <v>70</v>
      </c>
      <c r="H137" s="251">
        <v>-1</v>
      </c>
      <c r="I137" s="425"/>
    </row>
    <row r="138" spans="1:10" s="82" customFormat="1" ht="16.2" customHeight="1" x14ac:dyDescent="0.25">
      <c r="A138" s="255">
        <v>50</v>
      </c>
      <c r="B138" s="256">
        <f>FORECAST(A138,B136:B137,A136:A137)</f>
        <v>50.6</v>
      </c>
      <c r="C138" s="256">
        <f>FORECAST(A138,C136:C137,A136:A137)</f>
        <v>-0.19999999999999996</v>
      </c>
      <c r="D138" s="423"/>
      <c r="F138" s="82">
        <v>80</v>
      </c>
      <c r="G138" s="256">
        <f>FORECAST(F138,G136:G137,F136:F137)</f>
        <v>80</v>
      </c>
      <c r="H138" s="256">
        <f>FORECAST(F138,H136:H137,F136:F137)</f>
        <v>-1</v>
      </c>
      <c r="I138" s="425"/>
    </row>
    <row r="139" spans="1:10" ht="16.2" customHeight="1" x14ac:dyDescent="0.25">
      <c r="B139" s="112">
        <f>B312</f>
        <v>4</v>
      </c>
      <c r="C139" s="33" t="e">
        <f ca="1">FORECAST(B139,OFFSET($C$133:$C$137,MATCH(B139,$B$133:$B$137,1)-1,0,2),OFFSET($B$133:$B$137,MATCH(B139,$B$133:$B$137,1)-1,0,2))</f>
        <v>#N/A</v>
      </c>
      <c r="D139" s="424"/>
      <c r="E139" s="82"/>
      <c r="F139" s="82"/>
      <c r="G139" s="33">
        <f>G312</f>
        <v>3.3333333333333335</v>
      </c>
      <c r="H139" s="252" t="e">
        <f ca="1">FORECAST(G139,OFFSET($H$133:$H$138,MATCH(G139,$G$133:$G$138,1)-1,0,2),OFFSET($G$133:$G$138,MATCH(G139,$G$133:$G$138,1)-1,0,2))</f>
        <v>#N/A</v>
      </c>
      <c r="I139" s="425"/>
    </row>
    <row r="140" spans="1:10" ht="16.2" customHeight="1" x14ac:dyDescent="0.25">
      <c r="B140" s="82"/>
      <c r="C140" s="82"/>
      <c r="D140" s="82"/>
      <c r="E140" s="82"/>
      <c r="F140" s="82"/>
      <c r="G140" s="82"/>
      <c r="H140" s="82"/>
    </row>
    <row r="142" spans="1:10" s="3" customFormat="1" ht="16.2" customHeight="1" x14ac:dyDescent="0.25">
      <c r="B142" s="76" t="s">
        <v>59</v>
      </c>
      <c r="C142" s="426" t="s">
        <v>376</v>
      </c>
      <c r="D142" s="427"/>
      <c r="G142" s="77" t="s">
        <v>79</v>
      </c>
      <c r="H142" s="78"/>
      <c r="I142" s="428" t="s">
        <v>387</v>
      </c>
      <c r="J142" s="429"/>
    </row>
    <row r="143" spans="1:10" s="3" customFormat="1" ht="16.2" customHeight="1" x14ac:dyDescent="0.25">
      <c r="B143" s="76" t="s">
        <v>378</v>
      </c>
      <c r="C143" s="427" t="s">
        <v>379</v>
      </c>
      <c r="D143" s="427"/>
      <c r="G143" s="77" t="s">
        <v>80</v>
      </c>
      <c r="H143" s="78"/>
      <c r="I143" s="29" t="s">
        <v>380</v>
      </c>
      <c r="J143" s="79"/>
    </row>
    <row r="144" spans="1:10" s="3" customFormat="1" ht="16.2" customHeight="1" x14ac:dyDescent="0.25">
      <c r="B144" s="76" t="s">
        <v>381</v>
      </c>
      <c r="C144" s="430" t="s">
        <v>398</v>
      </c>
      <c r="D144" s="430"/>
    </row>
    <row r="145" spans="1:10" ht="15.6" customHeight="1" x14ac:dyDescent="0.25"/>
    <row r="146" spans="1:10" s="3" customFormat="1" ht="16.2" customHeight="1" x14ac:dyDescent="0.25">
      <c r="B146" s="417" t="s">
        <v>382</v>
      </c>
      <c r="C146" s="418"/>
      <c r="D146" s="419"/>
      <c r="G146" s="417" t="s">
        <v>383</v>
      </c>
      <c r="H146" s="418"/>
      <c r="I146" s="419"/>
    </row>
    <row r="147" spans="1:10" s="40" customFormat="1" ht="27" customHeight="1" x14ac:dyDescent="0.25">
      <c r="B147" s="80" t="s">
        <v>384</v>
      </c>
      <c r="C147" s="80" t="s">
        <v>385</v>
      </c>
      <c r="D147" s="80" t="s">
        <v>170</v>
      </c>
      <c r="G147" s="80" t="s">
        <v>384</v>
      </c>
      <c r="H147" s="80" t="s">
        <v>385</v>
      </c>
      <c r="I147" s="80" t="s">
        <v>170</v>
      </c>
    </row>
    <row r="148" spans="1:10" s="40" customFormat="1" ht="16.2" customHeight="1" x14ac:dyDescent="0.25">
      <c r="B148" s="80" t="s">
        <v>386</v>
      </c>
      <c r="C148" s="80" t="s">
        <v>386</v>
      </c>
      <c r="D148" s="80" t="s">
        <v>386</v>
      </c>
      <c r="G148" s="80" t="s">
        <v>87</v>
      </c>
      <c r="H148" s="80" t="s">
        <v>87</v>
      </c>
      <c r="I148" s="80" t="s">
        <v>87</v>
      </c>
    </row>
    <row r="149" spans="1:10" s="82" customFormat="1" ht="16.2" customHeight="1" x14ac:dyDescent="0.25">
      <c r="A149" s="255">
        <v>15</v>
      </c>
      <c r="B149" s="256">
        <f>FORECAST(A149,B150:B153,A150:A153)</f>
        <v>14.880000000000004</v>
      </c>
      <c r="C149" s="256">
        <f>FORECAST(A149,C150:C151,A150:A151)</f>
        <v>0.79999999999999993</v>
      </c>
      <c r="D149" s="422">
        <v>0.51</v>
      </c>
      <c r="F149" s="82">
        <v>30</v>
      </c>
      <c r="G149" s="256">
        <f>FORECAST(F149,G150:G153,F150:F153)</f>
        <v>28.499999999999996</v>
      </c>
      <c r="H149" s="256">
        <f>FORECAST(F149,H150:H151,F150:F151)</f>
        <v>1</v>
      </c>
      <c r="I149" s="431">
        <v>2.2000000000000002</v>
      </c>
    </row>
    <row r="150" spans="1:10" s="82" customFormat="1" ht="16.2" customHeight="1" x14ac:dyDescent="0.25">
      <c r="A150" s="82">
        <v>20</v>
      </c>
      <c r="B150" s="81">
        <v>20.2</v>
      </c>
      <c r="C150" s="81">
        <v>0.7</v>
      </c>
      <c r="D150" s="423"/>
      <c r="F150" s="82">
        <v>40</v>
      </c>
      <c r="G150" s="81">
        <v>38</v>
      </c>
      <c r="H150" s="81">
        <v>2</v>
      </c>
      <c r="I150" s="432"/>
    </row>
    <row r="151" spans="1:10" s="82" customFormat="1" ht="16.2" customHeight="1" x14ac:dyDescent="0.25">
      <c r="A151" s="82">
        <v>25</v>
      </c>
      <c r="B151" s="81">
        <v>25.2</v>
      </c>
      <c r="C151" s="81">
        <v>0.6</v>
      </c>
      <c r="D151" s="423"/>
      <c r="F151" s="82">
        <v>50</v>
      </c>
      <c r="G151" s="81">
        <v>47</v>
      </c>
      <c r="H151" s="81">
        <v>3</v>
      </c>
      <c r="I151" s="432"/>
    </row>
    <row r="152" spans="1:10" s="82" customFormat="1" ht="16.2" customHeight="1" x14ac:dyDescent="0.25">
      <c r="A152" s="82">
        <v>30</v>
      </c>
      <c r="B152" s="81">
        <v>30.2</v>
      </c>
      <c r="C152" s="81">
        <v>0.6</v>
      </c>
      <c r="D152" s="423"/>
      <c r="F152" s="82">
        <v>60</v>
      </c>
      <c r="G152" s="81">
        <v>56</v>
      </c>
      <c r="H152" s="81">
        <v>3</v>
      </c>
      <c r="I152" s="432"/>
    </row>
    <row r="153" spans="1:10" s="82" customFormat="1" ht="16.2" customHeight="1" x14ac:dyDescent="0.25">
      <c r="A153" s="82">
        <v>40</v>
      </c>
      <c r="B153" s="81">
        <v>40.9</v>
      </c>
      <c r="C153" s="81">
        <v>-0.3</v>
      </c>
      <c r="D153" s="423"/>
      <c r="F153" s="82">
        <v>70</v>
      </c>
      <c r="G153" s="81">
        <v>66</v>
      </c>
      <c r="H153" s="81">
        <v>3</v>
      </c>
      <c r="I153" s="432"/>
    </row>
    <row r="154" spans="1:10" s="82" customFormat="1" ht="16.2" customHeight="1" x14ac:dyDescent="0.25">
      <c r="A154" s="255">
        <v>50</v>
      </c>
      <c r="B154" s="256">
        <f>FORECAST(A154,B152:B153,A152:A153)</f>
        <v>51.599999999999994</v>
      </c>
      <c r="C154" s="256">
        <f>FORECAST(A154,C152:C153,A152:A153)</f>
        <v>-1.2000000000000002</v>
      </c>
      <c r="D154" s="423"/>
      <c r="F154" s="82">
        <v>80</v>
      </c>
      <c r="G154" s="256">
        <f>FORECAST(F154,G152:G153,F152:F153)</f>
        <v>76</v>
      </c>
      <c r="H154" s="256">
        <f>FORECAST(F154,H152:H153,F152:F153)</f>
        <v>3</v>
      </c>
      <c r="I154" s="432"/>
    </row>
    <row r="155" spans="1:10" ht="16.2" customHeight="1" x14ac:dyDescent="0.25">
      <c r="B155" s="112">
        <f>B312</f>
        <v>4</v>
      </c>
      <c r="C155" s="33" t="e">
        <f ca="1">FORECAST(B155,OFFSET($C$149:$C$154,MATCH(B155,$B$149:$B$154,1)-1,0,2),OFFSET($B$149:$B$154,MATCH(B155,$B$149:$B$154,1)-1,0,2))</f>
        <v>#N/A</v>
      </c>
      <c r="D155" s="423"/>
      <c r="E155" s="82"/>
      <c r="F155" s="82"/>
      <c r="G155" s="33">
        <f>G312</f>
        <v>3.3333333333333335</v>
      </c>
      <c r="H155" s="33" t="e">
        <f ca="1">FORECAST(G155,OFFSET($H$149:$H$154,MATCH(G155,$G$149:$G$154,1)-1,0,2),OFFSET($G$149:$G$154,MATCH(G155,$G$149:$G$154,1)-1,0,2))</f>
        <v>#N/A</v>
      </c>
      <c r="I155" s="432"/>
    </row>
    <row r="156" spans="1:10" ht="16.2" customHeight="1" x14ac:dyDescent="0.25">
      <c r="D156" s="126"/>
      <c r="I156" s="124"/>
    </row>
    <row r="158" spans="1:10" s="3" customFormat="1" ht="16.2" customHeight="1" x14ac:dyDescent="0.25">
      <c r="B158" s="76" t="s">
        <v>59</v>
      </c>
      <c r="C158" s="426" t="s">
        <v>376</v>
      </c>
      <c r="D158" s="427"/>
      <c r="G158" s="77" t="s">
        <v>79</v>
      </c>
      <c r="H158" s="78"/>
      <c r="I158" s="428" t="s">
        <v>395</v>
      </c>
      <c r="J158" s="429"/>
    </row>
    <row r="159" spans="1:10" s="3" customFormat="1" ht="16.2" customHeight="1" x14ac:dyDescent="0.25">
      <c r="B159" s="76" t="s">
        <v>378</v>
      </c>
      <c r="C159" s="427" t="s">
        <v>379</v>
      </c>
      <c r="D159" s="427"/>
      <c r="G159" s="77" t="s">
        <v>80</v>
      </c>
      <c r="H159" s="78"/>
      <c r="I159" s="29" t="s">
        <v>380</v>
      </c>
      <c r="J159" s="79"/>
    </row>
    <row r="160" spans="1:10" s="3" customFormat="1" ht="16.2" customHeight="1" x14ac:dyDescent="0.25">
      <c r="B160" s="76" t="s">
        <v>381</v>
      </c>
      <c r="C160" s="426" t="s">
        <v>399</v>
      </c>
      <c r="D160" s="426"/>
    </row>
    <row r="161" spans="1:10" ht="15.6" customHeight="1" x14ac:dyDescent="0.25"/>
    <row r="162" spans="1:10" s="3" customFormat="1" ht="16.2" customHeight="1" x14ac:dyDescent="0.25">
      <c r="B162" s="417" t="s">
        <v>382</v>
      </c>
      <c r="C162" s="418"/>
      <c r="D162" s="419"/>
      <c r="G162" s="417" t="s">
        <v>383</v>
      </c>
      <c r="H162" s="418"/>
      <c r="I162" s="419"/>
    </row>
    <row r="163" spans="1:10" s="40" customFormat="1" ht="27" customHeight="1" x14ac:dyDescent="0.25">
      <c r="B163" s="80" t="s">
        <v>384</v>
      </c>
      <c r="C163" s="80" t="s">
        <v>385</v>
      </c>
      <c r="D163" s="80" t="s">
        <v>170</v>
      </c>
      <c r="G163" s="80" t="s">
        <v>384</v>
      </c>
      <c r="H163" s="80" t="s">
        <v>385</v>
      </c>
      <c r="I163" s="80" t="s">
        <v>170</v>
      </c>
    </row>
    <row r="164" spans="1:10" s="40" customFormat="1" ht="16.2" customHeight="1" x14ac:dyDescent="0.25">
      <c r="B164" s="80" t="s">
        <v>386</v>
      </c>
      <c r="C164" s="80" t="s">
        <v>386</v>
      </c>
      <c r="D164" s="80" t="s">
        <v>386</v>
      </c>
      <c r="G164" s="80" t="s">
        <v>87</v>
      </c>
      <c r="H164" s="80" t="s">
        <v>87</v>
      </c>
      <c r="I164" s="80" t="s">
        <v>87</v>
      </c>
    </row>
    <row r="165" spans="1:10" s="82" customFormat="1" ht="16.2" customHeight="1" x14ac:dyDescent="0.25">
      <c r="A165" s="255">
        <v>15</v>
      </c>
      <c r="B165" s="256">
        <v>15.4</v>
      </c>
      <c r="C165" s="256">
        <f>FORECAST(A165,C166:C167,A166:A167)</f>
        <v>-0.49999999999999989</v>
      </c>
      <c r="D165" s="422">
        <v>0.57999999999999996</v>
      </c>
      <c r="F165" s="82">
        <v>30</v>
      </c>
      <c r="G165" s="256">
        <v>20</v>
      </c>
      <c r="H165" s="256">
        <v>-2</v>
      </c>
      <c r="I165" s="425">
        <v>3</v>
      </c>
    </row>
    <row r="166" spans="1:10" s="82" customFormat="1" ht="16.2" customHeight="1" x14ac:dyDescent="0.25">
      <c r="A166" s="82">
        <v>20</v>
      </c>
      <c r="B166" s="81">
        <v>20.8</v>
      </c>
      <c r="C166" s="81">
        <v>-0.7</v>
      </c>
      <c r="D166" s="423"/>
      <c r="F166" s="82">
        <v>40</v>
      </c>
      <c r="G166" s="81">
        <v>38</v>
      </c>
      <c r="H166" s="81">
        <v>-1</v>
      </c>
      <c r="I166" s="425"/>
    </row>
    <row r="167" spans="1:10" s="82" customFormat="1" ht="16.2" customHeight="1" x14ac:dyDescent="0.25">
      <c r="A167" s="82">
        <v>25</v>
      </c>
      <c r="B167" s="81">
        <v>25.8</v>
      </c>
      <c r="C167" s="81">
        <v>-0.9</v>
      </c>
      <c r="D167" s="423"/>
      <c r="F167" s="82">
        <v>50</v>
      </c>
      <c r="G167" s="81">
        <v>53</v>
      </c>
      <c r="H167" s="81">
        <v>-2</v>
      </c>
      <c r="I167" s="425"/>
    </row>
    <row r="168" spans="1:10" s="82" customFormat="1" ht="16.2" customHeight="1" x14ac:dyDescent="0.25">
      <c r="A168" s="82">
        <v>30</v>
      </c>
      <c r="B168" s="81">
        <v>30.5</v>
      </c>
      <c r="C168" s="81">
        <v>-0.6</v>
      </c>
      <c r="D168" s="423"/>
      <c r="F168" s="82">
        <v>60</v>
      </c>
      <c r="G168" s="81">
        <v>72</v>
      </c>
      <c r="H168" s="81">
        <v>-4</v>
      </c>
      <c r="I168" s="425"/>
    </row>
    <row r="169" spans="1:10" s="82" customFormat="1" ht="16.2" customHeight="1" x14ac:dyDescent="0.25">
      <c r="A169" s="82">
        <v>40</v>
      </c>
      <c r="B169" s="81">
        <v>40.799999999999997</v>
      </c>
      <c r="C169" s="81">
        <v>-0.3</v>
      </c>
      <c r="D169" s="423"/>
      <c r="F169" s="82">
        <v>70</v>
      </c>
      <c r="G169" s="81">
        <v>83</v>
      </c>
      <c r="H169" s="81">
        <v>-5</v>
      </c>
      <c r="I169" s="425"/>
    </row>
    <row r="170" spans="1:10" s="82" customFormat="1" ht="16.2" customHeight="1" x14ac:dyDescent="0.25">
      <c r="A170" s="255">
        <v>50</v>
      </c>
      <c r="B170" s="256">
        <f>FORECAST(A170,B168:B169,A168:A169)</f>
        <v>51.1</v>
      </c>
      <c r="C170" s="256">
        <f>FORECAST(A170,C168:C169,A168:A169)</f>
        <v>0</v>
      </c>
      <c r="D170" s="423"/>
      <c r="F170" s="82">
        <v>80</v>
      </c>
      <c r="G170" s="256">
        <f>FORECAST(F170,G168:G169,F168:F169)</f>
        <v>94</v>
      </c>
      <c r="H170" s="256">
        <f>FORECAST(F170,H168:H169,F168:F169)</f>
        <v>-6</v>
      </c>
      <c r="I170" s="425"/>
    </row>
    <row r="171" spans="1:10" ht="16.2" customHeight="1" x14ac:dyDescent="0.25">
      <c r="B171" s="112">
        <f>B312</f>
        <v>4</v>
      </c>
      <c r="C171" s="33" t="e">
        <f ca="1">FORECAST(B171,OFFSET($C$165:$C$170,MATCH(B171,$B$165:$B$170,1)-1,0,2),OFFSET($B$165:$B$170,MATCH(B171,$B$165:$B$170,1)-1,0,2))</f>
        <v>#N/A</v>
      </c>
      <c r="D171" s="424"/>
      <c r="E171" s="82"/>
      <c r="F171" s="82"/>
      <c r="G171" s="33">
        <f>G312</f>
        <v>3.3333333333333335</v>
      </c>
      <c r="H171" s="33" t="e">
        <f ca="1">FORECAST(G171,OFFSET($H$165:$H$170,MATCH(G171,$G$165:$G$170,1)-1,0,2),OFFSET($G$165:$G$170,MATCH(G171,$G$165:$G$170,1)-1,0,2))</f>
        <v>#N/A</v>
      </c>
      <c r="I171" s="425"/>
    </row>
    <row r="172" spans="1:10" ht="16.2" customHeight="1" x14ac:dyDescent="0.25">
      <c r="B172" s="82"/>
      <c r="C172" s="82"/>
      <c r="D172" s="82"/>
      <c r="E172" s="82"/>
      <c r="F172" s="82"/>
      <c r="G172" s="82"/>
      <c r="H172" s="82"/>
    </row>
    <row r="174" spans="1:10" s="3" customFormat="1" ht="16.2" customHeight="1" x14ac:dyDescent="0.25">
      <c r="B174" s="76" t="s">
        <v>59</v>
      </c>
      <c r="C174" s="426" t="s">
        <v>376</v>
      </c>
      <c r="D174" s="427"/>
      <c r="G174" s="77" t="s">
        <v>79</v>
      </c>
      <c r="H174" s="78"/>
      <c r="I174" s="428" t="s">
        <v>387</v>
      </c>
      <c r="J174" s="429"/>
    </row>
    <row r="175" spans="1:10" s="3" customFormat="1" ht="16.2" customHeight="1" x14ac:dyDescent="0.25">
      <c r="B175" s="76" t="s">
        <v>378</v>
      </c>
      <c r="C175" s="427" t="s">
        <v>379</v>
      </c>
      <c r="D175" s="427"/>
      <c r="G175" s="77" t="s">
        <v>80</v>
      </c>
      <c r="H175" s="78"/>
      <c r="I175" s="29" t="s">
        <v>380</v>
      </c>
      <c r="J175" s="79"/>
    </row>
    <row r="176" spans="1:10" s="3" customFormat="1" ht="16.2" customHeight="1" x14ac:dyDescent="0.25">
      <c r="B176" s="76" t="s">
        <v>381</v>
      </c>
      <c r="C176" s="426" t="s">
        <v>400</v>
      </c>
      <c r="D176" s="426"/>
    </row>
    <row r="177" spans="1:10" ht="15.6" customHeight="1" x14ac:dyDescent="0.25"/>
    <row r="178" spans="1:10" s="3" customFormat="1" ht="16.2" customHeight="1" x14ac:dyDescent="0.25">
      <c r="B178" s="417" t="s">
        <v>382</v>
      </c>
      <c r="C178" s="418"/>
      <c r="D178" s="419"/>
      <c r="G178" s="417" t="s">
        <v>383</v>
      </c>
      <c r="H178" s="418"/>
      <c r="I178" s="419"/>
    </row>
    <row r="179" spans="1:10" s="40" customFormat="1" ht="27" customHeight="1" x14ac:dyDescent="0.25">
      <c r="B179" s="80" t="s">
        <v>384</v>
      </c>
      <c r="C179" s="80" t="s">
        <v>385</v>
      </c>
      <c r="D179" s="80" t="s">
        <v>170</v>
      </c>
      <c r="G179" s="80" t="s">
        <v>384</v>
      </c>
      <c r="H179" s="80" t="s">
        <v>385</v>
      </c>
      <c r="I179" s="80" t="s">
        <v>170</v>
      </c>
    </row>
    <row r="180" spans="1:10" s="40" customFormat="1" ht="16.2" customHeight="1" x14ac:dyDescent="0.25">
      <c r="B180" s="80" t="s">
        <v>386</v>
      </c>
      <c r="C180" s="80" t="s">
        <v>386</v>
      </c>
      <c r="D180" s="80" t="s">
        <v>386</v>
      </c>
      <c r="G180" s="80" t="s">
        <v>87</v>
      </c>
      <c r="H180" s="80" t="s">
        <v>87</v>
      </c>
      <c r="I180" s="80" t="s">
        <v>87</v>
      </c>
    </row>
    <row r="181" spans="1:10" s="82" customFormat="1" ht="16.2" customHeight="1" x14ac:dyDescent="0.25">
      <c r="A181" s="255">
        <v>15</v>
      </c>
      <c r="B181" s="256">
        <f>FORECAST(A181,B182:B185,A182:A185)</f>
        <v>15.297142857142859</v>
      </c>
      <c r="C181" s="256">
        <f>FORECAST(A181,C182:C183,A182:A183)</f>
        <v>0.4</v>
      </c>
      <c r="D181" s="422">
        <v>0.51</v>
      </c>
      <c r="F181" s="82">
        <v>30</v>
      </c>
      <c r="G181" s="256">
        <f>FORECAST(F181,G182:G185,F182:F185)</f>
        <v>31.499999999999996</v>
      </c>
      <c r="H181" s="256">
        <f>FORECAST(F181,H182:H183,F182:F183)</f>
        <v>0</v>
      </c>
      <c r="I181" s="425">
        <v>2.2000000000000002</v>
      </c>
    </row>
    <row r="182" spans="1:10" s="82" customFormat="1" ht="16.2" customHeight="1" x14ac:dyDescent="0.25">
      <c r="A182" s="82">
        <v>20</v>
      </c>
      <c r="B182" s="81">
        <v>20.5</v>
      </c>
      <c r="C182" s="81">
        <v>0.4</v>
      </c>
      <c r="D182" s="423"/>
      <c r="F182" s="82">
        <v>40</v>
      </c>
      <c r="G182" s="81">
        <v>41</v>
      </c>
      <c r="H182" s="81">
        <v>-1</v>
      </c>
      <c r="I182" s="425"/>
    </row>
    <row r="183" spans="1:10" s="82" customFormat="1" ht="16.2" customHeight="1" x14ac:dyDescent="0.25">
      <c r="A183" s="82">
        <v>25</v>
      </c>
      <c r="B183" s="81">
        <v>25.4</v>
      </c>
      <c r="C183" s="81">
        <v>0.4</v>
      </c>
      <c r="D183" s="423"/>
      <c r="F183" s="82">
        <v>50</v>
      </c>
      <c r="G183" s="81">
        <v>52</v>
      </c>
      <c r="H183" s="81">
        <v>-2</v>
      </c>
      <c r="I183" s="425"/>
    </row>
    <row r="184" spans="1:10" s="82" customFormat="1" ht="16.2" customHeight="1" x14ac:dyDescent="0.25">
      <c r="A184" s="82">
        <v>30</v>
      </c>
      <c r="B184" s="81">
        <v>30.4</v>
      </c>
      <c r="C184" s="81">
        <v>0.4</v>
      </c>
      <c r="D184" s="423"/>
      <c r="F184" s="82">
        <v>60</v>
      </c>
      <c r="G184" s="81">
        <v>61</v>
      </c>
      <c r="H184" s="81">
        <v>-2</v>
      </c>
      <c r="I184" s="425"/>
    </row>
    <row r="185" spans="1:10" s="82" customFormat="1" ht="16.2" customHeight="1" x14ac:dyDescent="0.25">
      <c r="A185" s="82">
        <v>40</v>
      </c>
      <c r="B185" s="81">
        <v>40.799999999999997</v>
      </c>
      <c r="C185" s="81">
        <v>-0.2</v>
      </c>
      <c r="D185" s="423"/>
      <c r="F185" s="82">
        <v>70</v>
      </c>
      <c r="G185" s="81">
        <v>71</v>
      </c>
      <c r="H185" s="81">
        <v>-2</v>
      </c>
      <c r="I185" s="425"/>
    </row>
    <row r="186" spans="1:10" s="82" customFormat="1" ht="16.2" customHeight="1" x14ac:dyDescent="0.25">
      <c r="A186" s="255">
        <v>50</v>
      </c>
      <c r="B186" s="256">
        <f>FORECAST(A186,B184:B185,A184:A185)</f>
        <v>51.199999999999996</v>
      </c>
      <c r="C186" s="256">
        <f>FORECAST(A186,C184:C185,A184:A185)</f>
        <v>-0.79999999999999982</v>
      </c>
      <c r="D186" s="423"/>
      <c r="F186" s="82">
        <v>80</v>
      </c>
      <c r="G186" s="256">
        <f>FORECAST(F186,G184:G185,F184:F185)</f>
        <v>81</v>
      </c>
      <c r="H186" s="256">
        <f>FORECAST(F186,H184:H185,F184:F185)</f>
        <v>-2</v>
      </c>
      <c r="I186" s="425"/>
    </row>
    <row r="187" spans="1:10" ht="16.2" customHeight="1" x14ac:dyDescent="0.25">
      <c r="B187" s="112">
        <f>B312</f>
        <v>4</v>
      </c>
      <c r="C187" s="33" t="e">
        <f ca="1">FORECAST(B187,OFFSET($C$181:$C$185,MATCH(B187,$B$181:$B$185,1)-1,0,2),OFFSET($B$181:$B$185,MATCH(B187,$B$181:$B$185,1)-1,0,2))</f>
        <v>#N/A</v>
      </c>
      <c r="D187" s="424"/>
      <c r="E187" s="82"/>
      <c r="F187" s="82"/>
      <c r="G187" s="33">
        <f>G312</f>
        <v>3.3333333333333335</v>
      </c>
      <c r="H187" s="33" t="e">
        <f ca="1">FORECAST(G187,OFFSET($H$181:$H$186,MATCH(G187,$G$181:$G$186,1)-1,0,2),OFFSET($G$181:$G$186,MATCH(G187,$G$181:$G$186,1)-1,0,2))</f>
        <v>#N/A</v>
      </c>
      <c r="I187" s="425"/>
    </row>
    <row r="188" spans="1:10" ht="16.2" customHeight="1" x14ac:dyDescent="0.25">
      <c r="B188" s="82"/>
      <c r="C188" s="82"/>
      <c r="D188" s="82"/>
      <c r="E188" s="82"/>
      <c r="F188" s="82"/>
      <c r="G188" s="82"/>
      <c r="H188" s="82"/>
    </row>
    <row r="190" spans="1:10" s="3" customFormat="1" ht="16.2" customHeight="1" x14ac:dyDescent="0.25">
      <c r="B190" s="76" t="s">
        <v>59</v>
      </c>
      <c r="C190" s="426" t="s">
        <v>376</v>
      </c>
      <c r="D190" s="427"/>
      <c r="G190" s="77" t="s">
        <v>79</v>
      </c>
      <c r="H190" s="78"/>
      <c r="I190" s="428" t="s">
        <v>387</v>
      </c>
      <c r="J190" s="429"/>
    </row>
    <row r="191" spans="1:10" s="3" customFormat="1" ht="16.2" customHeight="1" x14ac:dyDescent="0.25">
      <c r="B191" s="76" t="s">
        <v>378</v>
      </c>
      <c r="C191" s="427" t="s">
        <v>379</v>
      </c>
      <c r="D191" s="427"/>
      <c r="G191" s="77" t="s">
        <v>80</v>
      </c>
      <c r="H191" s="78"/>
      <c r="I191" s="29" t="s">
        <v>380</v>
      </c>
      <c r="J191" s="79"/>
    </row>
    <row r="192" spans="1:10" s="3" customFormat="1" ht="16.2" customHeight="1" x14ac:dyDescent="0.25">
      <c r="B192" s="76" t="s">
        <v>381</v>
      </c>
      <c r="C192" s="426" t="s">
        <v>401</v>
      </c>
      <c r="D192" s="426"/>
    </row>
    <row r="193" spans="1:10" ht="15.6" customHeight="1" x14ac:dyDescent="0.25"/>
    <row r="194" spans="1:10" s="3" customFormat="1" ht="16.2" customHeight="1" x14ac:dyDescent="0.25">
      <c r="B194" s="417" t="s">
        <v>382</v>
      </c>
      <c r="C194" s="418"/>
      <c r="D194" s="419"/>
      <c r="G194" s="417" t="s">
        <v>383</v>
      </c>
      <c r="H194" s="418"/>
      <c r="I194" s="419"/>
    </row>
    <row r="195" spans="1:10" s="40" customFormat="1" ht="27" customHeight="1" x14ac:dyDescent="0.25">
      <c r="B195" s="80" t="s">
        <v>384</v>
      </c>
      <c r="C195" s="80" t="s">
        <v>385</v>
      </c>
      <c r="D195" s="80" t="s">
        <v>170</v>
      </c>
      <c r="G195" s="80" t="s">
        <v>384</v>
      </c>
      <c r="H195" s="80" t="s">
        <v>385</v>
      </c>
      <c r="I195" s="80" t="s">
        <v>170</v>
      </c>
    </row>
    <row r="196" spans="1:10" s="40" customFormat="1" ht="16.2" customHeight="1" x14ac:dyDescent="0.25">
      <c r="B196" s="80" t="s">
        <v>386</v>
      </c>
      <c r="C196" s="80" t="s">
        <v>386</v>
      </c>
      <c r="D196" s="80" t="s">
        <v>386</v>
      </c>
      <c r="G196" s="80" t="s">
        <v>87</v>
      </c>
      <c r="H196" s="80" t="s">
        <v>87</v>
      </c>
      <c r="I196" s="80" t="s">
        <v>87</v>
      </c>
    </row>
    <row r="197" spans="1:10" s="82" customFormat="1" ht="16.2" customHeight="1" x14ac:dyDescent="0.25">
      <c r="A197" s="255">
        <v>15</v>
      </c>
      <c r="B197" s="256">
        <f>FORECAST(A197,B198:B201,A198:A201)</f>
        <v>16.60857142857143</v>
      </c>
      <c r="C197" s="256">
        <f>FORECAST(A197,C198:C199,A198:A199)</f>
        <v>-0.70000000000000007</v>
      </c>
      <c r="D197" s="422">
        <v>0.51</v>
      </c>
      <c r="F197" s="82">
        <v>30</v>
      </c>
      <c r="G197" s="256">
        <f>FORECAST(F197,G198:G201,F198:F201)</f>
        <v>29.000000000000004</v>
      </c>
      <c r="H197" s="256">
        <f>FORECAST(F197,H198:H199,F198:F199)</f>
        <v>2</v>
      </c>
      <c r="I197" s="425">
        <v>2.2000000000000002</v>
      </c>
    </row>
    <row r="198" spans="1:10" s="82" customFormat="1" ht="16.2" customHeight="1" x14ac:dyDescent="0.25">
      <c r="A198" s="82">
        <v>20</v>
      </c>
      <c r="B198" s="81">
        <v>21.5</v>
      </c>
      <c r="C198" s="81">
        <v>-0.6</v>
      </c>
      <c r="D198" s="423"/>
      <c r="F198" s="82">
        <v>40</v>
      </c>
      <c r="G198" s="81">
        <v>39</v>
      </c>
      <c r="H198" s="81">
        <v>1</v>
      </c>
      <c r="I198" s="425"/>
    </row>
    <row r="199" spans="1:10" s="82" customFormat="1" ht="16.2" customHeight="1" x14ac:dyDescent="0.25">
      <c r="A199" s="82">
        <v>25</v>
      </c>
      <c r="B199" s="81">
        <v>26.3</v>
      </c>
      <c r="C199" s="81">
        <v>-0.5</v>
      </c>
      <c r="D199" s="423"/>
      <c r="F199" s="82">
        <v>50</v>
      </c>
      <c r="G199" s="81">
        <v>50</v>
      </c>
      <c r="H199" s="81">
        <v>0</v>
      </c>
      <c r="I199" s="425"/>
    </row>
    <row r="200" spans="1:10" s="82" customFormat="1" ht="16.2" customHeight="1" x14ac:dyDescent="0.25">
      <c r="A200" s="82">
        <v>30</v>
      </c>
      <c r="B200" s="81">
        <v>31.1</v>
      </c>
      <c r="C200" s="81">
        <v>-0.3</v>
      </c>
      <c r="D200" s="423"/>
      <c r="F200" s="82">
        <v>60</v>
      </c>
      <c r="G200" s="81">
        <v>60</v>
      </c>
      <c r="H200" s="81">
        <v>-1</v>
      </c>
      <c r="I200" s="425"/>
    </row>
    <row r="201" spans="1:10" s="82" customFormat="1" ht="16.2" customHeight="1" x14ac:dyDescent="0.25">
      <c r="A201" s="82">
        <v>40</v>
      </c>
      <c r="B201" s="81">
        <v>40.9</v>
      </c>
      <c r="C201" s="81">
        <v>-0.3</v>
      </c>
      <c r="D201" s="423"/>
      <c r="F201" s="82">
        <v>70</v>
      </c>
      <c r="G201" s="81">
        <v>70</v>
      </c>
      <c r="H201" s="81">
        <v>-1</v>
      </c>
      <c r="I201" s="425"/>
    </row>
    <row r="202" spans="1:10" s="82" customFormat="1" ht="16.2" customHeight="1" x14ac:dyDescent="0.25">
      <c r="A202" s="255">
        <v>50</v>
      </c>
      <c r="B202" s="256">
        <f>FORECAST(A202,B200:B201,A200:A201)</f>
        <v>50.699999999999996</v>
      </c>
      <c r="C202" s="256">
        <f>FORECAST(A202,C200:C201,A200:A201)</f>
        <v>-0.3</v>
      </c>
      <c r="D202" s="423"/>
      <c r="F202" s="82">
        <v>80</v>
      </c>
      <c r="G202" s="256">
        <f>FORECAST(F202,G200:G201,F200:F201)</f>
        <v>80</v>
      </c>
      <c r="H202" s="256">
        <f>FORECAST(F202,H200:H201,F200:F201)</f>
        <v>-1</v>
      </c>
      <c r="I202" s="425"/>
    </row>
    <row r="203" spans="1:10" ht="16.2" customHeight="1" x14ac:dyDescent="0.25">
      <c r="B203" s="112">
        <f>B$312</f>
        <v>4</v>
      </c>
      <c r="C203" s="33" t="e">
        <f ca="1">FORECAST(B203,OFFSET($C$197:$C$202,MATCH(B203,$B$197:$B$202,1)-1,0,2),OFFSET($B$197:$B$202,MATCH(B203,$B$197:$B$202,1)-1,0,2))</f>
        <v>#N/A</v>
      </c>
      <c r="D203" s="424"/>
      <c r="E203" s="82"/>
      <c r="F203" s="82"/>
      <c r="G203" s="33">
        <f>G$312</f>
        <v>3.3333333333333335</v>
      </c>
      <c r="H203" s="33" t="e">
        <f ca="1">FORECAST(G203,OFFSET($H$197:$H$202,MATCH(G203,$G$197:$G$202,1)-1,0,2),OFFSET($G$197:$G$202,MATCH(G203,$G$197:$G$202,1)-1,0,2))</f>
        <v>#N/A</v>
      </c>
      <c r="I203" s="425"/>
    </row>
    <row r="204" spans="1:10" ht="16.2" customHeight="1" x14ac:dyDescent="0.25">
      <c r="B204" s="110"/>
      <c r="C204" s="110"/>
      <c r="D204" s="41"/>
      <c r="G204" s="110"/>
      <c r="H204" s="110"/>
      <c r="I204" s="41"/>
    </row>
    <row r="206" spans="1:10" s="3" customFormat="1" ht="16.2" customHeight="1" x14ac:dyDescent="0.25">
      <c r="B206" s="76" t="s">
        <v>59</v>
      </c>
      <c r="C206" s="426" t="s">
        <v>376</v>
      </c>
      <c r="D206" s="427"/>
      <c r="G206" s="77" t="s">
        <v>79</v>
      </c>
      <c r="H206" s="78"/>
      <c r="I206" s="428" t="s">
        <v>402</v>
      </c>
      <c r="J206" s="429"/>
    </row>
    <row r="207" spans="1:10" s="3" customFormat="1" ht="16.2" customHeight="1" x14ac:dyDescent="0.25">
      <c r="B207" s="76" t="s">
        <v>378</v>
      </c>
      <c r="C207" s="427" t="s">
        <v>379</v>
      </c>
      <c r="D207" s="427"/>
      <c r="G207" s="77" t="s">
        <v>80</v>
      </c>
      <c r="H207" s="78"/>
      <c r="I207" s="29" t="s">
        <v>380</v>
      </c>
      <c r="J207" s="79"/>
    </row>
    <row r="208" spans="1:10" s="3" customFormat="1" ht="16.2" customHeight="1" x14ac:dyDescent="0.25">
      <c r="B208" s="76" t="s">
        <v>381</v>
      </c>
      <c r="C208" s="426" t="s">
        <v>403</v>
      </c>
      <c r="D208" s="426"/>
    </row>
    <row r="209" spans="1:10" ht="15.6" customHeight="1" x14ac:dyDescent="0.25"/>
    <row r="210" spans="1:10" s="3" customFormat="1" ht="16.2" customHeight="1" x14ac:dyDescent="0.25">
      <c r="B210" s="417" t="s">
        <v>382</v>
      </c>
      <c r="C210" s="418"/>
      <c r="D210" s="419"/>
      <c r="G210" s="417" t="s">
        <v>383</v>
      </c>
      <c r="H210" s="418"/>
      <c r="I210" s="419"/>
    </row>
    <row r="211" spans="1:10" s="40" customFormat="1" ht="27" customHeight="1" x14ac:dyDescent="0.25">
      <c r="B211" s="80" t="s">
        <v>384</v>
      </c>
      <c r="C211" s="80" t="s">
        <v>385</v>
      </c>
      <c r="D211" s="80" t="s">
        <v>170</v>
      </c>
      <c r="G211" s="80" t="s">
        <v>384</v>
      </c>
      <c r="H211" s="80" t="s">
        <v>385</v>
      </c>
      <c r="I211" s="80" t="s">
        <v>170</v>
      </c>
    </row>
    <row r="212" spans="1:10" s="40" customFormat="1" ht="16.2" customHeight="1" x14ac:dyDescent="0.25">
      <c r="B212" s="80" t="s">
        <v>386</v>
      </c>
      <c r="C212" s="80" t="s">
        <v>386</v>
      </c>
      <c r="D212" s="80" t="s">
        <v>386</v>
      </c>
      <c r="G212" s="80" t="s">
        <v>87</v>
      </c>
      <c r="H212" s="80" t="s">
        <v>87</v>
      </c>
      <c r="I212" s="80" t="s">
        <v>87</v>
      </c>
    </row>
    <row r="213" spans="1:10" s="82" customFormat="1" ht="16.2" customHeight="1" x14ac:dyDescent="0.25">
      <c r="A213" s="255">
        <v>15</v>
      </c>
      <c r="B213" s="256">
        <f>FORECAST(A213,B214:B217,A214:A217)</f>
        <v>15.222857142857142</v>
      </c>
      <c r="C213" s="256">
        <f>FORECAST(A213,C214:C215,A214:A215)</f>
        <v>1.4000000000000004</v>
      </c>
      <c r="D213" s="422">
        <v>0.51</v>
      </c>
      <c r="F213" s="82">
        <v>30</v>
      </c>
      <c r="G213" s="256">
        <f>FORECAST(F213,G214:G217,F214:F217)</f>
        <v>27.499999999999993</v>
      </c>
      <c r="H213" s="256">
        <f>FORECAST(F213,H214:H215,F214:F215)</f>
        <v>1</v>
      </c>
      <c r="I213" s="425">
        <v>2.2000000000000002</v>
      </c>
    </row>
    <row r="214" spans="1:10" s="82" customFormat="1" ht="16.2" customHeight="1" x14ac:dyDescent="0.25">
      <c r="A214" s="82">
        <v>20</v>
      </c>
      <c r="B214" s="81">
        <v>20.2</v>
      </c>
      <c r="C214" s="81">
        <v>0.4</v>
      </c>
      <c r="D214" s="423"/>
      <c r="F214" s="82">
        <v>40</v>
      </c>
      <c r="G214" s="81">
        <v>40</v>
      </c>
      <c r="H214" s="81">
        <v>0</v>
      </c>
      <c r="I214" s="425"/>
    </row>
    <row r="215" spans="1:10" s="82" customFormat="1" ht="16.2" customHeight="1" x14ac:dyDescent="0.25">
      <c r="A215" s="82">
        <v>25</v>
      </c>
      <c r="B215" s="81">
        <v>25.6</v>
      </c>
      <c r="C215" s="81">
        <v>-0.6</v>
      </c>
      <c r="D215" s="423"/>
      <c r="F215" s="82">
        <v>50</v>
      </c>
      <c r="G215" s="81">
        <v>52</v>
      </c>
      <c r="H215" s="81">
        <v>-1</v>
      </c>
      <c r="I215" s="425"/>
    </row>
    <row r="216" spans="1:10" s="82" customFormat="1" ht="16.2" customHeight="1" x14ac:dyDescent="0.25">
      <c r="A216" s="82">
        <v>30</v>
      </c>
      <c r="B216" s="81">
        <v>30.8</v>
      </c>
      <c r="C216" s="81">
        <v>0</v>
      </c>
      <c r="D216" s="423"/>
      <c r="F216" s="82">
        <v>60</v>
      </c>
      <c r="G216" s="81">
        <v>64</v>
      </c>
      <c r="H216" s="81">
        <v>-3</v>
      </c>
      <c r="I216" s="425"/>
    </row>
    <row r="217" spans="1:10" s="82" customFormat="1" ht="16.2" customHeight="1" x14ac:dyDescent="0.25">
      <c r="A217" s="82">
        <v>40</v>
      </c>
      <c r="B217" s="81">
        <v>40.799999999999997</v>
      </c>
      <c r="C217" s="81">
        <v>0.2</v>
      </c>
      <c r="D217" s="423"/>
      <c r="F217" s="82">
        <v>70</v>
      </c>
      <c r="G217" s="81">
        <v>77</v>
      </c>
      <c r="H217" s="81">
        <v>-3</v>
      </c>
      <c r="I217" s="425"/>
    </row>
    <row r="218" spans="1:10" s="82" customFormat="1" ht="16.2" customHeight="1" x14ac:dyDescent="0.25">
      <c r="A218" s="255">
        <v>50</v>
      </c>
      <c r="B218" s="256">
        <f>FORECAST(A218,B216:B217,A216:A217)</f>
        <v>50.8</v>
      </c>
      <c r="C218" s="256">
        <f>FORECAST(A218,C216:C217,A216:A217)</f>
        <v>0.39999999999999991</v>
      </c>
      <c r="D218" s="423"/>
      <c r="F218" s="82">
        <v>80</v>
      </c>
      <c r="G218" s="256">
        <f>FORECAST(F218,G216:G217,F216:F217)</f>
        <v>90</v>
      </c>
      <c r="H218" s="256">
        <f>FORECAST(F218,H216:H217,F216:F217)</f>
        <v>-3</v>
      </c>
      <c r="I218" s="425"/>
    </row>
    <row r="219" spans="1:10" ht="16.2" customHeight="1" x14ac:dyDescent="0.25">
      <c r="B219" s="112">
        <f>B$312</f>
        <v>4</v>
      </c>
      <c r="C219" s="33" t="e">
        <f ca="1">FORECAST(B219,OFFSET($C$213:$C$218,MATCH(B219,$B$213:$B$218,1)-1,0,2),OFFSET($B$213:$B$218,MATCH(B219,$B$213:$B$218,1)-1,0,2))</f>
        <v>#N/A</v>
      </c>
      <c r="D219" s="424"/>
      <c r="E219" s="82"/>
      <c r="F219" s="82"/>
      <c r="G219" s="33">
        <f>G$312</f>
        <v>3.3333333333333335</v>
      </c>
      <c r="H219" s="33" t="e">
        <f ca="1">FORECAST(G219,OFFSET($H$213:$H$218,MATCH(G219,$G$213:$G$218,1)-1,0,2),OFFSET($G$213:$G$218,MATCH(G219,$G$213:$G$218,1)-1,0,2))</f>
        <v>#N/A</v>
      </c>
      <c r="I219" s="425"/>
    </row>
    <row r="220" spans="1:10" ht="16.2" customHeight="1" x14ac:dyDescent="0.25">
      <c r="B220" s="110"/>
      <c r="C220" s="110"/>
      <c r="D220" s="41"/>
      <c r="G220" s="110"/>
      <c r="H220" s="110"/>
      <c r="I220" s="41"/>
    </row>
    <row r="222" spans="1:10" s="3" customFormat="1" ht="16.2" customHeight="1" x14ac:dyDescent="0.25">
      <c r="B222" s="76" t="s">
        <v>59</v>
      </c>
      <c r="C222" s="426" t="s">
        <v>376</v>
      </c>
      <c r="D222" s="427"/>
      <c r="G222" s="77" t="s">
        <v>79</v>
      </c>
      <c r="H222" s="78"/>
      <c r="I222" s="428" t="s">
        <v>402</v>
      </c>
      <c r="J222" s="429"/>
    </row>
    <row r="223" spans="1:10" s="3" customFormat="1" ht="16.2" customHeight="1" x14ac:dyDescent="0.25">
      <c r="B223" s="76" t="s">
        <v>378</v>
      </c>
      <c r="C223" s="427" t="s">
        <v>379</v>
      </c>
      <c r="D223" s="427"/>
      <c r="G223" s="77" t="s">
        <v>80</v>
      </c>
      <c r="H223" s="78"/>
      <c r="I223" s="29" t="s">
        <v>380</v>
      </c>
      <c r="J223" s="79"/>
    </row>
    <row r="224" spans="1:10" s="3" customFormat="1" ht="16.2" customHeight="1" x14ac:dyDescent="0.25">
      <c r="B224" s="76" t="s">
        <v>381</v>
      </c>
      <c r="C224" s="426" t="s">
        <v>404</v>
      </c>
      <c r="D224" s="426"/>
    </row>
    <row r="225" spans="1:10" ht="15.6" customHeight="1" x14ac:dyDescent="0.25"/>
    <row r="226" spans="1:10" s="3" customFormat="1" ht="16.2" customHeight="1" x14ac:dyDescent="0.25">
      <c r="B226" s="417" t="s">
        <v>382</v>
      </c>
      <c r="C226" s="418"/>
      <c r="D226" s="419"/>
      <c r="G226" s="417" t="s">
        <v>383</v>
      </c>
      <c r="H226" s="418"/>
      <c r="I226" s="419"/>
    </row>
    <row r="227" spans="1:10" s="40" customFormat="1" ht="27" customHeight="1" x14ac:dyDescent="0.25">
      <c r="B227" s="80" t="s">
        <v>384</v>
      </c>
      <c r="C227" s="80" t="s">
        <v>385</v>
      </c>
      <c r="D227" s="80" t="s">
        <v>170</v>
      </c>
      <c r="G227" s="80" t="s">
        <v>384</v>
      </c>
      <c r="H227" s="80" t="s">
        <v>385</v>
      </c>
      <c r="I227" s="80" t="s">
        <v>170</v>
      </c>
    </row>
    <row r="228" spans="1:10" s="40" customFormat="1" ht="16.2" customHeight="1" x14ac:dyDescent="0.25">
      <c r="B228" s="80" t="s">
        <v>386</v>
      </c>
      <c r="C228" s="80" t="s">
        <v>386</v>
      </c>
      <c r="D228" s="80" t="s">
        <v>386</v>
      </c>
      <c r="G228" s="80" t="s">
        <v>87</v>
      </c>
      <c r="H228" s="80" t="s">
        <v>87</v>
      </c>
      <c r="I228" s="80" t="s">
        <v>87</v>
      </c>
    </row>
    <row r="229" spans="1:10" s="82" customFormat="1" ht="16.2" customHeight="1" x14ac:dyDescent="0.25">
      <c r="A229" s="255">
        <v>15</v>
      </c>
      <c r="B229" s="256">
        <f>FORECAST(A229,B230:B233,A230:A233)</f>
        <v>15.800000000000002</v>
      </c>
      <c r="C229" s="256">
        <f>FORECAST(A229,C230:C231,A230:A231)</f>
        <v>0</v>
      </c>
      <c r="D229" s="422">
        <v>0.51</v>
      </c>
      <c r="F229" s="82">
        <v>30</v>
      </c>
      <c r="G229" s="256">
        <f>FORECAST(F229,G230:G233,F230:F233)</f>
        <v>27.499999999999993</v>
      </c>
      <c r="H229" s="256">
        <f>FORECAST(F229,H230:H231,F230:F231)</f>
        <v>1</v>
      </c>
      <c r="I229" s="425">
        <v>2.2000000000000002</v>
      </c>
    </row>
    <row r="230" spans="1:10" s="82" customFormat="1" ht="16.2" customHeight="1" x14ac:dyDescent="0.25">
      <c r="A230" s="82">
        <v>20</v>
      </c>
      <c r="B230" s="81">
        <v>20.9</v>
      </c>
      <c r="C230" s="81">
        <v>-0.3</v>
      </c>
      <c r="D230" s="423"/>
      <c r="F230" s="82">
        <v>40</v>
      </c>
      <c r="G230" s="81">
        <v>40</v>
      </c>
      <c r="H230" s="81">
        <v>0</v>
      </c>
      <c r="I230" s="425"/>
    </row>
    <row r="231" spans="1:10" s="82" customFormat="1" ht="16.2" customHeight="1" x14ac:dyDescent="0.25">
      <c r="A231" s="82">
        <v>25</v>
      </c>
      <c r="B231" s="81">
        <v>25.6</v>
      </c>
      <c r="C231" s="81">
        <v>-0.6</v>
      </c>
      <c r="D231" s="423"/>
      <c r="F231" s="82">
        <v>50</v>
      </c>
      <c r="G231" s="81">
        <v>52</v>
      </c>
      <c r="H231" s="81">
        <v>-1</v>
      </c>
      <c r="I231" s="425"/>
    </row>
    <row r="232" spans="1:10" s="82" customFormat="1" ht="16.2" customHeight="1" x14ac:dyDescent="0.25">
      <c r="A232" s="82">
        <v>30</v>
      </c>
      <c r="B232" s="81">
        <v>30.9</v>
      </c>
      <c r="C232" s="81">
        <v>-0.1</v>
      </c>
      <c r="D232" s="423"/>
      <c r="F232" s="82">
        <v>60</v>
      </c>
      <c r="G232" s="81">
        <v>64</v>
      </c>
      <c r="H232" s="81">
        <v>-3</v>
      </c>
      <c r="I232" s="425"/>
    </row>
    <row r="233" spans="1:10" s="82" customFormat="1" ht="16.2" customHeight="1" x14ac:dyDescent="0.25">
      <c r="A233" s="82">
        <v>40</v>
      </c>
      <c r="B233" s="81">
        <v>40.799999999999997</v>
      </c>
      <c r="C233" s="81">
        <v>0.2</v>
      </c>
      <c r="D233" s="423"/>
      <c r="F233" s="82">
        <v>70</v>
      </c>
      <c r="G233" s="81">
        <v>77</v>
      </c>
      <c r="H233" s="81">
        <v>-3</v>
      </c>
      <c r="I233" s="425"/>
    </row>
    <row r="234" spans="1:10" s="82" customFormat="1" ht="16.2" customHeight="1" x14ac:dyDescent="0.25">
      <c r="A234" s="255">
        <v>50</v>
      </c>
      <c r="B234" s="256">
        <f>FORECAST(A234,B232:B233,A232:A233)</f>
        <v>50.699999999999989</v>
      </c>
      <c r="C234" s="256">
        <f>FORECAST(A234,C232:C233,A232:A233)</f>
        <v>0.5</v>
      </c>
      <c r="D234" s="423"/>
      <c r="F234" s="82">
        <v>80</v>
      </c>
      <c r="G234" s="256">
        <f>FORECAST(F234,G232:G233,F232:F233)</f>
        <v>90</v>
      </c>
      <c r="H234" s="256">
        <f>FORECAST(F234,H232:H233,F232:F233)</f>
        <v>-3</v>
      </c>
      <c r="I234" s="425"/>
    </row>
    <row r="235" spans="1:10" ht="16.2" customHeight="1" x14ac:dyDescent="0.25">
      <c r="B235" s="112">
        <f>B$312</f>
        <v>4</v>
      </c>
      <c r="C235" s="33" t="e">
        <f ca="1">FORECAST(B235,OFFSET($C$229:$C$234,MATCH(B235,$B$229:$B$234,1)-1,0,2),OFFSET($B$229:$B$234,MATCH(B235,$B$229:$B$234,1)-1,0,2))</f>
        <v>#N/A</v>
      </c>
      <c r="D235" s="424"/>
      <c r="E235" s="82"/>
      <c r="F235" s="82"/>
      <c r="G235" s="33">
        <f>G$312</f>
        <v>3.3333333333333335</v>
      </c>
      <c r="H235" s="33" t="e">
        <f ca="1">FORECAST(G235,OFFSET($H$229:$H$234,MATCH(G235,$G$229:$G$234,1)-1,0,2),OFFSET($G$229:$G$234,MATCH(G235,$G$229:$G$234,1)-1,0,2))</f>
        <v>#N/A</v>
      </c>
      <c r="I235" s="425"/>
    </row>
    <row r="236" spans="1:10" ht="16.2" customHeight="1" x14ac:dyDescent="0.25">
      <c r="B236" s="110"/>
      <c r="C236" s="110"/>
      <c r="D236" s="41"/>
      <c r="G236" s="110"/>
      <c r="H236" s="110"/>
      <c r="I236" s="41"/>
    </row>
    <row r="238" spans="1:10" s="3" customFormat="1" ht="16.2" customHeight="1" x14ac:dyDescent="0.25">
      <c r="B238" s="76" t="s">
        <v>59</v>
      </c>
      <c r="C238" s="426" t="s">
        <v>376</v>
      </c>
      <c r="D238" s="427"/>
      <c r="G238" s="77" t="s">
        <v>79</v>
      </c>
      <c r="H238" s="78"/>
      <c r="I238" s="428" t="s">
        <v>402</v>
      </c>
      <c r="J238" s="429"/>
    </row>
    <row r="239" spans="1:10" s="3" customFormat="1" ht="16.2" customHeight="1" x14ac:dyDescent="0.25">
      <c r="B239" s="76" t="s">
        <v>378</v>
      </c>
      <c r="C239" s="427" t="s">
        <v>379</v>
      </c>
      <c r="D239" s="427"/>
      <c r="G239" s="77" t="s">
        <v>80</v>
      </c>
      <c r="H239" s="78"/>
      <c r="I239" s="29" t="s">
        <v>380</v>
      </c>
      <c r="J239" s="79"/>
    </row>
    <row r="240" spans="1:10" s="3" customFormat="1" ht="16.2" customHeight="1" x14ac:dyDescent="0.25">
      <c r="B240" s="76" t="s">
        <v>381</v>
      </c>
      <c r="C240" s="426" t="s">
        <v>405</v>
      </c>
      <c r="D240" s="426"/>
    </row>
    <row r="241" spans="1:10" ht="15.6" customHeight="1" x14ac:dyDescent="0.25"/>
    <row r="242" spans="1:10" s="3" customFormat="1" ht="16.2" customHeight="1" x14ac:dyDescent="0.25">
      <c r="B242" s="417" t="s">
        <v>382</v>
      </c>
      <c r="C242" s="418"/>
      <c r="D242" s="419"/>
      <c r="G242" s="417" t="s">
        <v>383</v>
      </c>
      <c r="H242" s="418"/>
      <c r="I242" s="419"/>
    </row>
    <row r="243" spans="1:10" s="40" customFormat="1" ht="27" customHeight="1" x14ac:dyDescent="0.25">
      <c r="B243" s="80" t="s">
        <v>384</v>
      </c>
      <c r="C243" s="80" t="s">
        <v>385</v>
      </c>
      <c r="D243" s="80" t="s">
        <v>170</v>
      </c>
      <c r="G243" s="80" t="s">
        <v>384</v>
      </c>
      <c r="H243" s="80" t="s">
        <v>385</v>
      </c>
      <c r="I243" s="80" t="s">
        <v>170</v>
      </c>
    </row>
    <row r="244" spans="1:10" s="40" customFormat="1" ht="16.2" customHeight="1" x14ac:dyDescent="0.25">
      <c r="B244" s="80" t="s">
        <v>386</v>
      </c>
      <c r="C244" s="80" t="s">
        <v>386</v>
      </c>
      <c r="D244" s="80" t="s">
        <v>386</v>
      </c>
      <c r="G244" s="80" t="s">
        <v>87</v>
      </c>
      <c r="H244" s="80" t="s">
        <v>87</v>
      </c>
      <c r="I244" s="80" t="s">
        <v>87</v>
      </c>
    </row>
    <row r="245" spans="1:10" s="82" customFormat="1" ht="16.2" customHeight="1" x14ac:dyDescent="0.25">
      <c r="A245" s="255">
        <v>15</v>
      </c>
      <c r="B245" s="256">
        <f>FORECAST(A245,B246:B249,A246:A249)</f>
        <v>16.074285714285715</v>
      </c>
      <c r="C245" s="256">
        <f>FORECAST(A245,C246:C247,A246:A247)</f>
        <v>0.60000000000000009</v>
      </c>
      <c r="D245" s="422">
        <v>0.51</v>
      </c>
      <c r="F245" s="82">
        <v>30</v>
      </c>
      <c r="G245" s="256">
        <f>FORECAST(F245,G246:G249,F246:F249)</f>
        <v>25.5</v>
      </c>
      <c r="H245" s="256">
        <f>FORECAST(F245,H246:H247,F246:F247)</f>
        <v>2</v>
      </c>
      <c r="I245" s="425">
        <v>2.2000000000000002</v>
      </c>
    </row>
    <row r="246" spans="1:10" s="82" customFormat="1" ht="16.2" customHeight="1" x14ac:dyDescent="0.25">
      <c r="A246" s="82">
        <v>20</v>
      </c>
      <c r="B246" s="81">
        <v>20.9</v>
      </c>
      <c r="C246" s="81">
        <v>-0.3</v>
      </c>
      <c r="D246" s="423"/>
      <c r="F246" s="82">
        <v>40</v>
      </c>
      <c r="G246" s="81">
        <v>39</v>
      </c>
      <c r="H246" s="81">
        <v>1</v>
      </c>
      <c r="I246" s="425"/>
    </row>
    <row r="247" spans="1:10" s="82" customFormat="1" ht="16.2" customHeight="1" x14ac:dyDescent="0.25">
      <c r="A247" s="82">
        <v>25</v>
      </c>
      <c r="B247" s="81">
        <v>26.2</v>
      </c>
      <c r="C247" s="81">
        <v>-1.2</v>
      </c>
      <c r="D247" s="423"/>
      <c r="F247" s="82">
        <v>50</v>
      </c>
      <c r="G247" s="81">
        <v>51</v>
      </c>
      <c r="H247" s="81">
        <v>0</v>
      </c>
      <c r="I247" s="425"/>
    </row>
    <row r="248" spans="1:10" s="82" customFormat="1" ht="16.2" customHeight="1" x14ac:dyDescent="0.25">
      <c r="A248" s="82">
        <v>30</v>
      </c>
      <c r="B248" s="81">
        <v>30.8</v>
      </c>
      <c r="C248" s="81">
        <v>0</v>
      </c>
      <c r="D248" s="423"/>
      <c r="F248" s="82">
        <v>60</v>
      </c>
      <c r="G248" s="81">
        <v>63</v>
      </c>
      <c r="H248" s="81">
        <v>-2</v>
      </c>
      <c r="I248" s="425"/>
    </row>
    <row r="249" spans="1:10" s="82" customFormat="1" ht="16.2" customHeight="1" x14ac:dyDescent="0.25">
      <c r="A249" s="82">
        <v>40</v>
      </c>
      <c r="B249" s="81">
        <v>40.799999999999997</v>
      </c>
      <c r="C249" s="81">
        <v>0.2</v>
      </c>
      <c r="D249" s="423"/>
      <c r="F249" s="82">
        <v>70</v>
      </c>
      <c r="G249" s="81">
        <v>78</v>
      </c>
      <c r="H249" s="81">
        <v>-4</v>
      </c>
      <c r="I249" s="425"/>
    </row>
    <row r="250" spans="1:10" s="82" customFormat="1" ht="16.2" customHeight="1" x14ac:dyDescent="0.25">
      <c r="A250" s="255">
        <v>50</v>
      </c>
      <c r="B250" s="256">
        <f>FORECAST(A250,B248:B249,A248:A249)</f>
        <v>50.8</v>
      </c>
      <c r="C250" s="256">
        <f>FORECAST(A250,C248:C249,A248:A249)</f>
        <v>0.39999999999999991</v>
      </c>
      <c r="D250" s="423"/>
      <c r="F250" s="82">
        <v>80</v>
      </c>
      <c r="G250" s="256">
        <f>FORECAST(F250,G248:G249,F248:F249)</f>
        <v>93</v>
      </c>
      <c r="H250" s="256">
        <f>FORECAST(F250,H248:H249,F248:F249)</f>
        <v>-6</v>
      </c>
      <c r="I250" s="425"/>
    </row>
    <row r="251" spans="1:10" ht="16.2" customHeight="1" x14ac:dyDescent="0.25">
      <c r="B251" s="112">
        <f>B$312</f>
        <v>4</v>
      </c>
      <c r="C251" s="33" t="e">
        <f ca="1">FORECAST(B251,OFFSET($C$245:$C$250,MATCH(B251,$B$245:$B$250,1)-1,0,2),OFFSET($B$245:$B$250,MATCH(B251,$B$245:$B$250,1)-1,0,2))</f>
        <v>#N/A</v>
      </c>
      <c r="D251" s="424"/>
      <c r="E251" s="82"/>
      <c r="F251" s="82"/>
      <c r="G251" s="33">
        <f>G$312</f>
        <v>3.3333333333333335</v>
      </c>
      <c r="H251" s="33" t="e">
        <f ca="1">FORECAST(G251,OFFSET($H$245:$H$250,MATCH(G251,$G$245:$G$250,1)-1,0,2),OFFSET($G$245:$G$250,MATCH(G251,$G$245:$G$250,1)-1,0,2))</f>
        <v>#N/A</v>
      </c>
      <c r="I251" s="425"/>
    </row>
    <row r="252" spans="1:10" ht="16.2" customHeight="1" x14ac:dyDescent="0.25">
      <c r="B252" s="110"/>
      <c r="C252" s="110"/>
      <c r="D252" s="41"/>
      <c r="G252" s="110"/>
      <c r="H252" s="110"/>
      <c r="I252" s="41"/>
    </row>
    <row r="254" spans="1:10" s="3" customFormat="1" ht="16.2" customHeight="1" x14ac:dyDescent="0.25">
      <c r="B254" s="76" t="s">
        <v>59</v>
      </c>
      <c r="C254" s="426" t="s">
        <v>376</v>
      </c>
      <c r="D254" s="427"/>
      <c r="G254" s="77" t="s">
        <v>79</v>
      </c>
      <c r="H254" s="78"/>
      <c r="I254" s="428" t="s">
        <v>402</v>
      </c>
      <c r="J254" s="429"/>
    </row>
    <row r="255" spans="1:10" s="3" customFormat="1" ht="16.2" customHeight="1" x14ac:dyDescent="0.25">
      <c r="B255" s="76" t="s">
        <v>378</v>
      </c>
      <c r="C255" s="427" t="s">
        <v>379</v>
      </c>
      <c r="D255" s="427"/>
      <c r="G255" s="77" t="s">
        <v>80</v>
      </c>
      <c r="H255" s="78"/>
      <c r="I255" s="29" t="s">
        <v>380</v>
      </c>
      <c r="J255" s="79"/>
    </row>
    <row r="256" spans="1:10" s="3" customFormat="1" ht="16.2" customHeight="1" x14ac:dyDescent="0.25">
      <c r="B256" s="76" t="s">
        <v>381</v>
      </c>
      <c r="C256" s="426" t="s">
        <v>406</v>
      </c>
      <c r="D256" s="426"/>
    </row>
    <row r="257" spans="1:10" ht="15.6" customHeight="1" x14ac:dyDescent="0.25"/>
    <row r="258" spans="1:10" s="3" customFormat="1" ht="16.2" customHeight="1" x14ac:dyDescent="0.25">
      <c r="B258" s="417" t="s">
        <v>382</v>
      </c>
      <c r="C258" s="418"/>
      <c r="D258" s="419"/>
      <c r="G258" s="417" t="s">
        <v>383</v>
      </c>
      <c r="H258" s="418"/>
      <c r="I258" s="419"/>
    </row>
    <row r="259" spans="1:10" s="40" customFormat="1" ht="27" customHeight="1" x14ac:dyDescent="0.25">
      <c r="B259" s="80" t="s">
        <v>384</v>
      </c>
      <c r="C259" s="80" t="s">
        <v>385</v>
      </c>
      <c r="D259" s="80" t="s">
        <v>170</v>
      </c>
      <c r="G259" s="80" t="s">
        <v>384</v>
      </c>
      <c r="H259" s="80" t="s">
        <v>385</v>
      </c>
      <c r="I259" s="80" t="s">
        <v>170</v>
      </c>
    </row>
    <row r="260" spans="1:10" s="40" customFormat="1" ht="16.2" customHeight="1" x14ac:dyDescent="0.25">
      <c r="B260" s="80" t="s">
        <v>386</v>
      </c>
      <c r="C260" s="80" t="s">
        <v>386</v>
      </c>
      <c r="D260" s="80" t="s">
        <v>386</v>
      </c>
      <c r="G260" s="80" t="s">
        <v>87</v>
      </c>
      <c r="H260" s="80" t="s">
        <v>87</v>
      </c>
      <c r="I260" s="80" t="s">
        <v>87</v>
      </c>
    </row>
    <row r="261" spans="1:10" s="82" customFormat="1" ht="16.2" customHeight="1" x14ac:dyDescent="0.25">
      <c r="A261" s="255">
        <v>15</v>
      </c>
      <c r="B261" s="256">
        <f>FORECAST(A261,B262:B265,A262:A265)</f>
        <v>15.837142857142853</v>
      </c>
      <c r="C261" s="256">
        <f>FORECAST(A261,C262:C263,A262:A263)</f>
        <v>0.89999999999999991</v>
      </c>
      <c r="D261" s="422">
        <v>0.51</v>
      </c>
      <c r="F261" s="82">
        <v>30</v>
      </c>
      <c r="G261" s="256">
        <f>FORECAST(F261,G262:G265,F262:F265)</f>
        <v>25.5</v>
      </c>
      <c r="H261" s="256">
        <f>FORECAST(F261,H262:H263,F262:F263)</f>
        <v>2</v>
      </c>
      <c r="I261" s="425">
        <v>2.2000000000000002</v>
      </c>
    </row>
    <row r="262" spans="1:10" s="82" customFormat="1" ht="16.2" customHeight="1" x14ac:dyDescent="0.25">
      <c r="A262" s="82">
        <v>20</v>
      </c>
      <c r="B262" s="81">
        <v>20.7</v>
      </c>
      <c r="C262" s="81">
        <v>-0.1</v>
      </c>
      <c r="D262" s="423"/>
      <c r="F262" s="82">
        <v>40</v>
      </c>
      <c r="G262" s="81">
        <v>39</v>
      </c>
      <c r="H262" s="81">
        <v>1</v>
      </c>
      <c r="I262" s="425"/>
    </row>
    <row r="263" spans="1:10" s="82" customFormat="1" ht="16.2" customHeight="1" x14ac:dyDescent="0.25">
      <c r="A263" s="82">
        <v>25</v>
      </c>
      <c r="B263" s="81">
        <v>26.1</v>
      </c>
      <c r="C263" s="81">
        <v>-1.1000000000000001</v>
      </c>
      <c r="D263" s="423"/>
      <c r="F263" s="82">
        <v>50</v>
      </c>
      <c r="G263" s="81">
        <v>51</v>
      </c>
      <c r="H263" s="81">
        <v>0</v>
      </c>
      <c r="I263" s="425"/>
    </row>
    <row r="264" spans="1:10" s="82" customFormat="1" ht="16.2" customHeight="1" x14ac:dyDescent="0.25">
      <c r="A264" s="82">
        <v>30</v>
      </c>
      <c r="B264" s="81">
        <v>30.9</v>
      </c>
      <c r="C264" s="81">
        <v>-0.1</v>
      </c>
      <c r="D264" s="423"/>
      <c r="F264" s="82">
        <v>60</v>
      </c>
      <c r="G264" s="81">
        <v>63</v>
      </c>
      <c r="H264" s="81">
        <v>-2</v>
      </c>
      <c r="I264" s="425"/>
    </row>
    <row r="265" spans="1:10" s="82" customFormat="1" ht="16.2" customHeight="1" x14ac:dyDescent="0.25">
      <c r="A265" s="82">
        <v>40</v>
      </c>
      <c r="B265" s="81">
        <v>40.9</v>
      </c>
      <c r="C265" s="81">
        <v>0.1</v>
      </c>
      <c r="D265" s="423"/>
      <c r="F265" s="82">
        <v>70</v>
      </c>
      <c r="G265" s="81">
        <v>78</v>
      </c>
      <c r="H265" s="81">
        <v>-4</v>
      </c>
      <c r="I265" s="425"/>
    </row>
    <row r="266" spans="1:10" s="82" customFormat="1" ht="16.2" customHeight="1" x14ac:dyDescent="0.25">
      <c r="A266" s="255">
        <v>50</v>
      </c>
      <c r="B266" s="256">
        <f>FORECAST(A266,B264:B265,A264:A265)</f>
        <v>50.9</v>
      </c>
      <c r="C266" s="256">
        <f>FORECAST(A266,C264:C265,A264:A265)</f>
        <v>0.29999999999999993</v>
      </c>
      <c r="D266" s="423"/>
      <c r="F266" s="82">
        <v>80</v>
      </c>
      <c r="G266" s="256">
        <f>FORECAST(F266,G264:G265,F264:F265)</f>
        <v>93</v>
      </c>
      <c r="H266" s="256">
        <f>FORECAST(F266,H264:H265,F264:F265)</f>
        <v>-6</v>
      </c>
      <c r="I266" s="425"/>
    </row>
    <row r="267" spans="1:10" ht="16.2" customHeight="1" x14ac:dyDescent="0.25">
      <c r="B267" s="112">
        <f>B$312</f>
        <v>4</v>
      </c>
      <c r="C267" s="33" t="e">
        <f ca="1">FORECAST(B267,OFFSET($C$261:$C$266,MATCH(B267,$B$261:$B$266,1)-1,0,2),OFFSET($B$261:$B$266,MATCH(B267,$B$261:$B$266,1)-1,0,2))</f>
        <v>#N/A</v>
      </c>
      <c r="D267" s="424"/>
      <c r="E267" s="82"/>
      <c r="F267" s="82"/>
      <c r="G267" s="33">
        <f>G$312</f>
        <v>3.3333333333333335</v>
      </c>
      <c r="H267" s="33" t="e">
        <f ca="1">FORECAST(G267,OFFSET($H$261:$H$266,MATCH(G267,$G$261:$G$266,1)-1,0,2),OFFSET($G$261:$G$266,MATCH(G267,$G$261:$G$266,1)-1,0,2))</f>
        <v>#N/A</v>
      </c>
      <c r="I267" s="425"/>
    </row>
    <row r="268" spans="1:10" ht="16.2" customHeight="1" x14ac:dyDescent="0.25">
      <c r="B268" s="110"/>
      <c r="C268" s="110"/>
      <c r="D268" s="41"/>
      <c r="G268" s="110"/>
      <c r="H268" s="110"/>
      <c r="I268" s="41"/>
    </row>
    <row r="270" spans="1:10" s="3" customFormat="1" ht="16.2" customHeight="1" x14ac:dyDescent="0.25">
      <c r="B270" s="76" t="s">
        <v>59</v>
      </c>
      <c r="C270" s="426" t="s">
        <v>376</v>
      </c>
      <c r="D270" s="427"/>
      <c r="G270" s="77" t="s">
        <v>79</v>
      </c>
      <c r="H270" s="78"/>
      <c r="I270" s="428" t="s">
        <v>402</v>
      </c>
      <c r="J270" s="429"/>
    </row>
    <row r="271" spans="1:10" s="3" customFormat="1" ht="16.2" customHeight="1" x14ac:dyDescent="0.25">
      <c r="B271" s="76" t="s">
        <v>378</v>
      </c>
      <c r="C271" s="427" t="s">
        <v>379</v>
      </c>
      <c r="D271" s="427"/>
      <c r="G271" s="77" t="s">
        <v>80</v>
      </c>
      <c r="H271" s="78"/>
      <c r="I271" s="29" t="s">
        <v>380</v>
      </c>
      <c r="J271" s="79"/>
    </row>
    <row r="272" spans="1:10" s="3" customFormat="1" ht="16.2" customHeight="1" x14ac:dyDescent="0.25">
      <c r="B272" s="76" t="s">
        <v>381</v>
      </c>
      <c r="C272" s="426" t="s">
        <v>407</v>
      </c>
      <c r="D272" s="426"/>
    </row>
    <row r="273" spans="1:9" ht="15.6" customHeight="1" x14ac:dyDescent="0.25"/>
    <row r="274" spans="1:9" s="3" customFormat="1" ht="16.2" customHeight="1" x14ac:dyDescent="0.25">
      <c r="B274" s="417" t="s">
        <v>382</v>
      </c>
      <c r="C274" s="418"/>
      <c r="D274" s="419"/>
      <c r="G274" s="417" t="s">
        <v>383</v>
      </c>
      <c r="H274" s="418"/>
      <c r="I274" s="419"/>
    </row>
    <row r="275" spans="1:9" s="40" customFormat="1" ht="27" customHeight="1" x14ac:dyDescent="0.25">
      <c r="B275" s="80" t="s">
        <v>384</v>
      </c>
      <c r="C275" s="80" t="s">
        <v>385</v>
      </c>
      <c r="D275" s="80" t="s">
        <v>170</v>
      </c>
      <c r="G275" s="80" t="s">
        <v>384</v>
      </c>
      <c r="H275" s="80" t="s">
        <v>385</v>
      </c>
      <c r="I275" s="80" t="s">
        <v>170</v>
      </c>
    </row>
    <row r="276" spans="1:9" s="40" customFormat="1" ht="16.2" customHeight="1" x14ac:dyDescent="0.25">
      <c r="B276" s="80" t="s">
        <v>386</v>
      </c>
      <c r="C276" s="80" t="s">
        <v>386</v>
      </c>
      <c r="D276" s="80" t="s">
        <v>386</v>
      </c>
      <c r="G276" s="80" t="s">
        <v>87</v>
      </c>
      <c r="H276" s="80" t="s">
        <v>87</v>
      </c>
      <c r="I276" s="80" t="s">
        <v>87</v>
      </c>
    </row>
    <row r="277" spans="1:9" s="82" customFormat="1" ht="16.2" customHeight="1" x14ac:dyDescent="0.25">
      <c r="A277" s="255">
        <v>15</v>
      </c>
      <c r="B277" s="256">
        <f>FORECAST(A277,B278:B281,A278:A281)</f>
        <v>15.254285714285714</v>
      </c>
      <c r="C277" s="256">
        <f>FORECAST(A277,C278:C279,A278:A279)</f>
        <v>1.1000000000000001</v>
      </c>
      <c r="D277" s="422">
        <v>0.51</v>
      </c>
      <c r="F277" s="82">
        <v>30</v>
      </c>
      <c r="G277" s="256">
        <f>FORECAST(F277,G278:G281,F278:F281)</f>
        <v>24.5</v>
      </c>
      <c r="H277" s="256">
        <f>FORECAST(F277,H278:H279,F278:F279)</f>
        <v>3</v>
      </c>
      <c r="I277" s="425">
        <v>2.2000000000000002</v>
      </c>
    </row>
    <row r="278" spans="1:9" s="82" customFormat="1" ht="16.2" customHeight="1" x14ac:dyDescent="0.25">
      <c r="A278" s="82">
        <v>20</v>
      </c>
      <c r="B278" s="81">
        <v>20.3</v>
      </c>
      <c r="C278" s="81">
        <v>0.3</v>
      </c>
      <c r="D278" s="423"/>
      <c r="F278" s="82">
        <v>40</v>
      </c>
      <c r="G278" s="81">
        <v>38</v>
      </c>
      <c r="H278" s="81">
        <v>2</v>
      </c>
      <c r="I278" s="425"/>
    </row>
    <row r="279" spans="1:9" s="82" customFormat="1" ht="16.2" customHeight="1" x14ac:dyDescent="0.25">
      <c r="A279" s="82">
        <v>25</v>
      </c>
      <c r="B279" s="81">
        <v>25.5</v>
      </c>
      <c r="C279" s="81">
        <v>-0.5</v>
      </c>
      <c r="D279" s="423"/>
      <c r="F279" s="82">
        <v>50</v>
      </c>
      <c r="G279" s="81">
        <v>50</v>
      </c>
      <c r="H279" s="81">
        <v>1</v>
      </c>
      <c r="I279" s="425"/>
    </row>
    <row r="280" spans="1:9" s="82" customFormat="1" ht="16.2" customHeight="1" x14ac:dyDescent="0.25">
      <c r="A280" s="82">
        <v>30</v>
      </c>
      <c r="B280" s="81">
        <v>30.8</v>
      </c>
      <c r="C280" s="81">
        <v>0</v>
      </c>
      <c r="D280" s="423"/>
      <c r="F280" s="82">
        <v>60</v>
      </c>
      <c r="G280" s="81">
        <v>62</v>
      </c>
      <c r="H280" s="81">
        <v>-1</v>
      </c>
      <c r="I280" s="425"/>
    </row>
    <row r="281" spans="1:9" s="82" customFormat="1" ht="16.2" customHeight="1" x14ac:dyDescent="0.25">
      <c r="A281" s="82">
        <v>40</v>
      </c>
      <c r="B281" s="81">
        <v>40.799999999999997</v>
      </c>
      <c r="C281" s="81">
        <v>0.2</v>
      </c>
      <c r="D281" s="423"/>
      <c r="F281" s="82">
        <v>70</v>
      </c>
      <c r="G281" s="81">
        <v>77</v>
      </c>
      <c r="H281" s="81">
        <v>-3</v>
      </c>
      <c r="I281" s="425"/>
    </row>
    <row r="282" spans="1:9" s="82" customFormat="1" ht="16.2" customHeight="1" x14ac:dyDescent="0.25">
      <c r="A282" s="255">
        <v>50</v>
      </c>
      <c r="B282" s="256">
        <f>FORECAST(A282,B280:B281,A280:A281)</f>
        <v>50.8</v>
      </c>
      <c r="C282" s="256">
        <f>FORECAST(A282,C280:C281,A280:A281)</f>
        <v>0.39999999999999991</v>
      </c>
      <c r="D282" s="423"/>
      <c r="F282" s="82">
        <v>80</v>
      </c>
      <c r="G282" s="256">
        <f>FORECAST(F282,G280:G281,F280:F281)</f>
        <v>92</v>
      </c>
      <c r="H282" s="256">
        <f>FORECAST(F282,H280:H281,F280:F281)</f>
        <v>-5</v>
      </c>
      <c r="I282" s="425"/>
    </row>
    <row r="283" spans="1:9" ht="16.2" customHeight="1" x14ac:dyDescent="0.25">
      <c r="B283" s="112">
        <f>B$312</f>
        <v>4</v>
      </c>
      <c r="C283" s="33" t="e">
        <f ca="1">FORECAST(B283,OFFSET($C$277:$C$282,MATCH(B283,$B$277:$B$282,1)-1,0,2),OFFSET($B$277:$B$282,MATCH(B283,$B$277:$B$282,1)-1,0,2))</f>
        <v>#N/A</v>
      </c>
      <c r="D283" s="424"/>
      <c r="E283" s="82"/>
      <c r="F283" s="82"/>
      <c r="G283" s="33">
        <f>G$312</f>
        <v>3.3333333333333335</v>
      </c>
      <c r="H283" s="33" t="e">
        <f ca="1">FORECAST(G283,OFFSET($H$277:$H$282,MATCH(G283,$G$277:$G$282,1)-1,0,2),OFFSET($G$277:$G$282,MATCH(G283,$G$277:$G$282,1)-1,0,2))</f>
        <v>#N/A</v>
      </c>
      <c r="I283" s="425"/>
    </row>
    <row r="284" spans="1:9" ht="16.2" customHeight="1" x14ac:dyDescent="0.25">
      <c r="B284" s="110"/>
      <c r="C284" s="110"/>
      <c r="D284" s="41"/>
      <c r="G284" s="110"/>
      <c r="H284" s="110"/>
      <c r="I284" s="41"/>
    </row>
    <row r="286" spans="1:9" s="84" customFormat="1" ht="5.0999999999999996" customHeight="1" x14ac:dyDescent="0.25">
      <c r="B286" s="83"/>
    </row>
    <row r="287" spans="1:9" ht="16.2" customHeight="1" x14ac:dyDescent="0.25">
      <c r="B287" s="82"/>
    </row>
    <row r="288" spans="1:9" s="3" customFormat="1" ht="16.2" customHeight="1" x14ac:dyDescent="0.25">
      <c r="B288" s="417" t="s">
        <v>382</v>
      </c>
      <c r="C288" s="418"/>
      <c r="D288" s="419"/>
      <c r="G288" s="417" t="s">
        <v>383</v>
      </c>
      <c r="H288" s="418"/>
      <c r="I288" s="419"/>
    </row>
    <row r="289" spans="2:9" s="40" customFormat="1" ht="27" customHeight="1" x14ac:dyDescent="0.25">
      <c r="B289" s="317" t="s">
        <v>408</v>
      </c>
      <c r="C289" s="80" t="s">
        <v>385</v>
      </c>
      <c r="D289" s="80" t="s">
        <v>170</v>
      </c>
      <c r="G289" s="317" t="s">
        <v>408</v>
      </c>
      <c r="H289" s="80" t="s">
        <v>385</v>
      </c>
      <c r="I289" s="80" t="s">
        <v>170</v>
      </c>
    </row>
    <row r="290" spans="2:9" s="40" customFormat="1" ht="16.2" customHeight="1" x14ac:dyDescent="0.25">
      <c r="B290" s="318"/>
      <c r="C290" s="80" t="s">
        <v>386</v>
      </c>
      <c r="D290" s="80" t="s">
        <v>386</v>
      </c>
      <c r="G290" s="318"/>
      <c r="H290" s="80" t="s">
        <v>87</v>
      </c>
      <c r="I290" s="80" t="s">
        <v>386</v>
      </c>
    </row>
    <row r="291" spans="2:9" s="82" customFormat="1" ht="16.2" customHeight="1" x14ac:dyDescent="0.25">
      <c r="B291" s="81" t="s">
        <v>82</v>
      </c>
      <c r="C291" s="81" t="e">
        <f ca="1">C15</f>
        <v>#N/A</v>
      </c>
      <c r="D291" s="254">
        <f>D10</f>
        <v>0.55000000000000004</v>
      </c>
      <c r="G291" s="81" t="str">
        <f t="shared" ref="G291:G309" si="0">B291</f>
        <v>TH-01</v>
      </c>
      <c r="H291" s="81" t="e">
        <f ca="1">H15</f>
        <v>#N/A</v>
      </c>
      <c r="I291" s="81">
        <f>I10</f>
        <v>2.8</v>
      </c>
    </row>
    <row r="292" spans="2:9" s="82" customFormat="1" ht="16.2" customHeight="1" x14ac:dyDescent="0.25">
      <c r="B292" s="81" t="s">
        <v>388</v>
      </c>
      <c r="C292" s="81" t="e">
        <f ca="1">C31</f>
        <v>#N/A</v>
      </c>
      <c r="D292" s="254">
        <f>D25</f>
        <v>0.51</v>
      </c>
      <c r="G292" s="81" t="str">
        <f t="shared" si="0"/>
        <v>TH-02</v>
      </c>
      <c r="H292" s="81" t="e">
        <f ca="1">H31</f>
        <v>#N/A</v>
      </c>
      <c r="I292" s="81">
        <f>I25</f>
        <v>2.2000000000000002</v>
      </c>
    </row>
    <row r="293" spans="2:9" s="82" customFormat="1" ht="16.2" customHeight="1" x14ac:dyDescent="0.25">
      <c r="B293" s="81" t="s">
        <v>389</v>
      </c>
      <c r="C293" s="81" t="e">
        <f ca="1">C46</f>
        <v>#N/A</v>
      </c>
      <c r="D293" s="254">
        <f>D41</f>
        <v>0.55000000000000004</v>
      </c>
      <c r="G293" s="81" t="str">
        <f t="shared" si="0"/>
        <v>TH-03</v>
      </c>
      <c r="H293" s="81" t="e">
        <f ca="1">H46</f>
        <v>#N/A</v>
      </c>
      <c r="I293" s="81">
        <f>I41</f>
        <v>2.8</v>
      </c>
    </row>
    <row r="294" spans="2:9" s="82" customFormat="1" ht="16.2" customHeight="1" x14ac:dyDescent="0.25">
      <c r="B294" s="81" t="s">
        <v>391</v>
      </c>
      <c r="C294" s="81" t="e">
        <f ca="1">C61</f>
        <v>#N/A</v>
      </c>
      <c r="D294" s="254">
        <f>D56</f>
        <v>0.57999999999999996</v>
      </c>
      <c r="G294" s="81" t="str">
        <f t="shared" si="0"/>
        <v>TH-04</v>
      </c>
      <c r="H294" s="81" t="e">
        <f ca="1">H61</f>
        <v>#N/A</v>
      </c>
      <c r="I294" s="81">
        <f>I56</f>
        <v>3</v>
      </c>
    </row>
    <row r="295" spans="2:9" ht="16.2" customHeight="1" x14ac:dyDescent="0.25">
      <c r="B295" s="81" t="s">
        <v>392</v>
      </c>
      <c r="C295" s="81" t="e">
        <f ca="1">C77</f>
        <v>#N/A</v>
      </c>
      <c r="D295" s="254">
        <f>D72</f>
        <v>0.55000000000000004</v>
      </c>
      <c r="E295" s="82"/>
      <c r="F295" s="82"/>
      <c r="G295" s="81" t="str">
        <f t="shared" si="0"/>
        <v>TH-05</v>
      </c>
      <c r="H295" s="81" t="e">
        <f ca="1">H77</f>
        <v>#N/A</v>
      </c>
      <c r="I295" s="81">
        <f>I72</f>
        <v>2.8</v>
      </c>
    </row>
    <row r="296" spans="2:9" ht="16.2" customHeight="1" x14ac:dyDescent="0.25">
      <c r="B296" s="81" t="s">
        <v>393</v>
      </c>
      <c r="C296" s="81" t="e">
        <f ca="1">C92</f>
        <v>#N/A</v>
      </c>
      <c r="D296" s="254">
        <f>D87</f>
        <v>0.57999999999999996</v>
      </c>
      <c r="E296" s="82"/>
      <c r="F296" s="82"/>
      <c r="G296" s="81" t="str">
        <f t="shared" si="0"/>
        <v>TH-06</v>
      </c>
      <c r="H296" s="81" t="e">
        <f ca="1">H92</f>
        <v>#N/A</v>
      </c>
      <c r="I296" s="81">
        <f>I87</f>
        <v>3</v>
      </c>
    </row>
    <row r="297" spans="2:9" ht="16.2" customHeight="1" x14ac:dyDescent="0.25">
      <c r="B297" s="81" t="s">
        <v>394</v>
      </c>
      <c r="C297" s="81" t="e">
        <f ca="1">C108</f>
        <v>#N/A</v>
      </c>
      <c r="D297" s="254">
        <f>D103</f>
        <v>0.55000000000000004</v>
      </c>
      <c r="E297" s="82"/>
      <c r="F297" s="82"/>
      <c r="G297" s="81" t="str">
        <f t="shared" si="0"/>
        <v>TH-07</v>
      </c>
      <c r="H297" s="81" t="e">
        <f ca="1">H108</f>
        <v>#N/A</v>
      </c>
      <c r="I297" s="81">
        <f>I103</f>
        <v>2.8</v>
      </c>
    </row>
    <row r="298" spans="2:9" ht="16.2" customHeight="1" x14ac:dyDescent="0.25">
      <c r="B298" s="81" t="s">
        <v>396</v>
      </c>
      <c r="C298" s="81" t="e">
        <f ca="1">C123</f>
        <v>#N/A</v>
      </c>
      <c r="D298" s="254">
        <f>D118</f>
        <v>0.57999999999999996</v>
      </c>
      <c r="E298" s="82"/>
      <c r="F298" s="82"/>
      <c r="G298" s="81" t="str">
        <f t="shared" si="0"/>
        <v>TH-08</v>
      </c>
      <c r="H298" s="81" t="e">
        <f ca="1">H123</f>
        <v>#N/A</v>
      </c>
      <c r="I298" s="81">
        <f>I118</f>
        <v>3</v>
      </c>
    </row>
    <row r="299" spans="2:9" ht="16.2" customHeight="1" x14ac:dyDescent="0.25">
      <c r="B299" s="81" t="s">
        <v>397</v>
      </c>
      <c r="C299" s="81" t="e">
        <f ca="1">C139</f>
        <v>#N/A</v>
      </c>
      <c r="D299" s="254">
        <f>D133</f>
        <v>0.51</v>
      </c>
      <c r="E299" s="82"/>
      <c r="F299" s="82"/>
      <c r="G299" s="81" t="str">
        <f t="shared" si="0"/>
        <v>TH-09</v>
      </c>
      <c r="H299" s="81" t="e">
        <f ca="1">H139</f>
        <v>#N/A</v>
      </c>
      <c r="I299" s="81">
        <f>I133</f>
        <v>2.2000000000000002</v>
      </c>
    </row>
    <row r="300" spans="2:9" ht="16.2" customHeight="1" x14ac:dyDescent="0.25">
      <c r="B300" s="81" t="s">
        <v>398</v>
      </c>
      <c r="C300" s="81" t="e">
        <f ca="1">C155</f>
        <v>#N/A</v>
      </c>
      <c r="D300" s="254">
        <f>D149</f>
        <v>0.51</v>
      </c>
      <c r="E300" s="82"/>
      <c r="F300" s="82"/>
      <c r="G300" s="81" t="str">
        <f t="shared" si="0"/>
        <v>TH-10</v>
      </c>
      <c r="H300" s="81" t="e">
        <f ca="1">H155</f>
        <v>#N/A</v>
      </c>
      <c r="I300" s="81">
        <f>I149</f>
        <v>2.2000000000000002</v>
      </c>
    </row>
    <row r="301" spans="2:9" ht="16.2" customHeight="1" x14ac:dyDescent="0.25">
      <c r="B301" s="81" t="s">
        <v>399</v>
      </c>
      <c r="C301" s="81" t="e">
        <f ca="1">C171</f>
        <v>#N/A</v>
      </c>
      <c r="D301" s="254">
        <f>D165</f>
        <v>0.57999999999999996</v>
      </c>
      <c r="E301" s="82"/>
      <c r="F301" s="82"/>
      <c r="G301" s="81" t="str">
        <f t="shared" si="0"/>
        <v>TH-11</v>
      </c>
      <c r="H301" s="81" t="e">
        <f ca="1">H171</f>
        <v>#N/A</v>
      </c>
      <c r="I301" s="81">
        <f>I165</f>
        <v>3</v>
      </c>
    </row>
    <row r="302" spans="2:9" ht="16.2" customHeight="1" x14ac:dyDescent="0.25">
      <c r="B302" s="81" t="s">
        <v>400</v>
      </c>
      <c r="C302" s="81" t="e">
        <f ca="1">C187</f>
        <v>#N/A</v>
      </c>
      <c r="D302" s="254">
        <f>D181</f>
        <v>0.51</v>
      </c>
      <c r="E302" s="82"/>
      <c r="F302" s="82"/>
      <c r="G302" s="81" t="str">
        <f t="shared" si="0"/>
        <v>TH-12</v>
      </c>
      <c r="H302" s="81" t="e">
        <f ca="1">H187</f>
        <v>#N/A</v>
      </c>
      <c r="I302" s="81">
        <f>I181</f>
        <v>2.2000000000000002</v>
      </c>
    </row>
    <row r="303" spans="2:9" ht="16.2" customHeight="1" x14ac:dyDescent="0.25">
      <c r="B303" s="81" t="s">
        <v>401</v>
      </c>
      <c r="C303" s="81" t="e">
        <f ca="1">C203</f>
        <v>#N/A</v>
      </c>
      <c r="D303" s="254">
        <f>D197</f>
        <v>0.51</v>
      </c>
      <c r="E303" s="82"/>
      <c r="F303" s="82"/>
      <c r="G303" s="81" t="str">
        <f t="shared" si="0"/>
        <v>TH-13</v>
      </c>
      <c r="H303" s="81" t="e">
        <f ca="1">H203</f>
        <v>#N/A</v>
      </c>
      <c r="I303" s="81">
        <f>I197</f>
        <v>2.2000000000000002</v>
      </c>
    </row>
    <row r="304" spans="2:9" ht="16.2" customHeight="1" x14ac:dyDescent="0.25">
      <c r="B304" s="81" t="s">
        <v>403</v>
      </c>
      <c r="C304" s="81" t="e">
        <f ca="1">C219</f>
        <v>#N/A</v>
      </c>
      <c r="D304" s="254">
        <f>D213</f>
        <v>0.51</v>
      </c>
      <c r="E304" s="82"/>
      <c r="F304" s="82"/>
      <c r="G304" s="81" t="str">
        <f t="shared" si="0"/>
        <v>TH-14</v>
      </c>
      <c r="H304" s="81" t="e">
        <f ca="1">H219</f>
        <v>#N/A</v>
      </c>
      <c r="I304" s="81">
        <f>I213</f>
        <v>2.2000000000000002</v>
      </c>
    </row>
    <row r="305" spans="2:9" ht="16.2" customHeight="1" x14ac:dyDescent="0.25">
      <c r="B305" s="81" t="s">
        <v>404</v>
      </c>
      <c r="C305" s="81" t="e">
        <f ca="1">C235</f>
        <v>#N/A</v>
      </c>
      <c r="D305" s="254">
        <f>D229</f>
        <v>0.51</v>
      </c>
      <c r="E305" s="82"/>
      <c r="F305" s="82"/>
      <c r="G305" s="81" t="str">
        <f t="shared" si="0"/>
        <v>TH-15</v>
      </c>
      <c r="H305" s="81" t="e">
        <f ca="1">H235</f>
        <v>#N/A</v>
      </c>
      <c r="I305" s="81">
        <f>I229</f>
        <v>2.2000000000000002</v>
      </c>
    </row>
    <row r="306" spans="2:9" ht="16.2" customHeight="1" x14ac:dyDescent="0.25">
      <c r="B306" s="81" t="s">
        <v>405</v>
      </c>
      <c r="C306" s="81" t="e">
        <f ca="1">C251</f>
        <v>#N/A</v>
      </c>
      <c r="D306" s="254">
        <f>D245</f>
        <v>0.51</v>
      </c>
      <c r="E306" s="82"/>
      <c r="F306" s="82"/>
      <c r="G306" s="81" t="str">
        <f t="shared" si="0"/>
        <v>TH-16</v>
      </c>
      <c r="H306" s="81" t="e">
        <f ca="1">H251</f>
        <v>#N/A</v>
      </c>
      <c r="I306" s="81">
        <f>I245</f>
        <v>2.2000000000000002</v>
      </c>
    </row>
    <row r="307" spans="2:9" ht="16.2" customHeight="1" x14ac:dyDescent="0.25">
      <c r="B307" s="81" t="s">
        <v>406</v>
      </c>
      <c r="C307" s="81" t="e">
        <f ca="1">C267</f>
        <v>#N/A</v>
      </c>
      <c r="D307" s="254">
        <f>D261</f>
        <v>0.51</v>
      </c>
      <c r="E307" s="82"/>
      <c r="F307" s="82"/>
      <c r="G307" s="81" t="str">
        <f t="shared" si="0"/>
        <v>TH-17</v>
      </c>
      <c r="H307" s="81" t="e">
        <f ca="1">H267</f>
        <v>#N/A</v>
      </c>
      <c r="I307" s="81">
        <f>I261</f>
        <v>2.2000000000000002</v>
      </c>
    </row>
    <row r="308" spans="2:9" ht="16.2" customHeight="1" x14ac:dyDescent="0.25">
      <c r="B308" s="81" t="s">
        <v>407</v>
      </c>
      <c r="C308" s="81" t="e">
        <f ca="1">C283</f>
        <v>#N/A</v>
      </c>
      <c r="D308" s="254">
        <f>D277</f>
        <v>0.51</v>
      </c>
      <c r="E308" s="82"/>
      <c r="F308" s="82"/>
      <c r="G308" s="81" t="str">
        <f t="shared" si="0"/>
        <v>TH-18</v>
      </c>
      <c r="H308" s="81" t="e">
        <f ca="1">H283</f>
        <v>#N/A</v>
      </c>
      <c r="I308" s="81">
        <f>I277</f>
        <v>2.2000000000000002</v>
      </c>
    </row>
    <row r="309" spans="2:9" ht="16.2" customHeight="1" x14ac:dyDescent="0.25">
      <c r="B309" s="127" t="str">
        <f>'INPUT DATA'!E41</f>
        <v>TH-01</v>
      </c>
      <c r="C309" s="33" t="e">
        <f ca="1">LOOKUP(B309,B291:B308,C291:C308)</f>
        <v>#N/A</v>
      </c>
      <c r="D309" s="259">
        <f>LOOKUP(B309,B291:B308,D291:D308)</f>
        <v>0.55000000000000004</v>
      </c>
      <c r="G309" s="128" t="str">
        <f t="shared" si="0"/>
        <v>TH-01</v>
      </c>
      <c r="H309" s="33" t="e">
        <f ca="1">LOOKUP(G309,G291:G308,H291:H308)</f>
        <v>#N/A</v>
      </c>
      <c r="I309" s="33">
        <f>LOOKUP(G309,G291:G308,I291:I308)</f>
        <v>2.8</v>
      </c>
    </row>
    <row r="310" spans="2:9" s="130" customFormat="1" ht="16.2" customHeight="1" x14ac:dyDescent="0.25">
      <c r="B310" s="129"/>
      <c r="C310" s="129"/>
      <c r="D310" s="129"/>
      <c r="G310" s="129"/>
      <c r="H310" s="129"/>
      <c r="I310" s="129"/>
    </row>
    <row r="311" spans="2:9" ht="16.2" customHeight="1" x14ac:dyDescent="0.25">
      <c r="B311" s="1" t="s">
        <v>409</v>
      </c>
      <c r="C311" s="1" t="s">
        <v>410</v>
      </c>
      <c r="D311" s="85"/>
    </row>
    <row r="312" spans="2:9" ht="16.2" customHeight="1" x14ac:dyDescent="0.3">
      <c r="B312" s="114">
        <f>AVERAGE('INPUT DATA'!E42:G42)</f>
        <v>4</v>
      </c>
      <c r="C312" s="117" t="e">
        <f ca="1">C309</f>
        <v>#N/A</v>
      </c>
      <c r="D312" s="265"/>
      <c r="G312" s="114">
        <f>AVERAGE('INPUT DATA'!E43:G43)</f>
        <v>3.3333333333333335</v>
      </c>
      <c r="H312" s="117" t="e">
        <f ca="1">H309</f>
        <v>#N/A</v>
      </c>
    </row>
    <row r="313" spans="2:9" s="3" customFormat="1" ht="16.2" customHeight="1" x14ac:dyDescent="0.3">
      <c r="B313" s="420" t="s">
        <v>411</v>
      </c>
      <c r="C313" s="421"/>
      <c r="D313" s="266"/>
      <c r="G313" s="420" t="s">
        <v>412</v>
      </c>
      <c r="H313" s="421"/>
    </row>
    <row r="314" spans="2:9" ht="16.2" customHeight="1" x14ac:dyDescent="0.3">
      <c r="B314" s="413" t="e">
        <f ca="1">B312+C312</f>
        <v>#N/A</v>
      </c>
      <c r="C314" s="414"/>
      <c r="D314" s="265"/>
      <c r="G314" s="413" t="e">
        <f ca="1">G312+H312</f>
        <v>#N/A</v>
      </c>
      <c r="H314" s="414"/>
    </row>
    <row r="315" spans="2:9" ht="16.2" customHeight="1" x14ac:dyDescent="0.3">
      <c r="D315" s="265"/>
    </row>
    <row r="316" spans="2:9" s="21" customFormat="1" ht="16.2" customHeight="1" x14ac:dyDescent="0.25">
      <c r="B316" s="415" t="s">
        <v>413</v>
      </c>
      <c r="C316" s="86" t="s">
        <v>382</v>
      </c>
      <c r="D316" s="87" t="s">
        <v>383</v>
      </c>
    </row>
    <row r="317" spans="2:9" s="21" customFormat="1" ht="16.2" customHeight="1" x14ac:dyDescent="0.25">
      <c r="B317" s="416"/>
      <c r="C317" s="88" t="s">
        <v>85</v>
      </c>
      <c r="D317" s="89" t="s">
        <v>87</v>
      </c>
    </row>
    <row r="318" spans="2:9" s="36" customFormat="1" ht="16.2" customHeight="1" x14ac:dyDescent="0.25">
      <c r="B318" s="90" t="s">
        <v>103</v>
      </c>
      <c r="C318" s="123">
        <f>STDEV('INPUT DATA'!E42:G42)/SQRT(3)</f>
        <v>0</v>
      </c>
      <c r="D318" s="123">
        <f>STDEV('INPUT DATA'!E43:G43)/SQRT(3)</f>
        <v>0.66666666666666641</v>
      </c>
    </row>
    <row r="319" spans="2:9" s="36" customFormat="1" ht="16.2" customHeight="1" x14ac:dyDescent="0.25">
      <c r="B319" s="90" t="s">
        <v>414</v>
      </c>
      <c r="C319" s="81">
        <f>D309/2</f>
        <v>0.27500000000000002</v>
      </c>
      <c r="D319" s="91">
        <f>I309/2</f>
        <v>1.4</v>
      </c>
    </row>
    <row r="320" spans="2:9" s="36" customFormat="1" ht="16.2" customHeight="1" x14ac:dyDescent="0.25">
      <c r="B320" s="90" t="s">
        <v>415</v>
      </c>
      <c r="C320" s="81">
        <f>SQRT(C318^2+C319^2)</f>
        <v>0.27500000000000002</v>
      </c>
      <c r="D320" s="91">
        <f>SQRT(D318^2+D319^2)</f>
        <v>1.550627113281734</v>
      </c>
    </row>
    <row r="321" spans="2:4" s="21" customFormat="1" ht="16.2" customHeight="1" x14ac:dyDescent="0.25">
      <c r="B321" s="92" t="s">
        <v>416</v>
      </c>
      <c r="C321" s="115">
        <f>C320*2</f>
        <v>0.55000000000000004</v>
      </c>
      <c r="D321" s="116">
        <f>D320*2</f>
        <v>3.1012542265634679</v>
      </c>
    </row>
  </sheetData>
  <mergeCells count="153">
    <mergeCell ref="D41:D46"/>
    <mergeCell ref="I41:I46"/>
    <mergeCell ref="C20:D20"/>
    <mergeCell ref="C3:D3"/>
    <mergeCell ref="I3:J3"/>
    <mergeCell ref="C4:D4"/>
    <mergeCell ref="C5:D5"/>
    <mergeCell ref="B7:D7"/>
    <mergeCell ref="G7:I7"/>
    <mergeCell ref="D10:D15"/>
    <mergeCell ref="I10:I15"/>
    <mergeCell ref="C18:D18"/>
    <mergeCell ref="I18:J18"/>
    <mergeCell ref="C19:D19"/>
    <mergeCell ref="B22:D22"/>
    <mergeCell ref="G22:I22"/>
    <mergeCell ref="D25:D31"/>
    <mergeCell ref="I25:I31"/>
    <mergeCell ref="C34:D34"/>
    <mergeCell ref="I34:J34"/>
    <mergeCell ref="C35:D35"/>
    <mergeCell ref="C36:D36"/>
    <mergeCell ref="B38:D38"/>
    <mergeCell ref="G38:I38"/>
    <mergeCell ref="D87:D92"/>
    <mergeCell ref="I87:I92"/>
    <mergeCell ref="C67:D67"/>
    <mergeCell ref="C49:D49"/>
    <mergeCell ref="I49:J49"/>
    <mergeCell ref="C50:D50"/>
    <mergeCell ref="C51:D51"/>
    <mergeCell ref="B53:D53"/>
    <mergeCell ref="G53:I53"/>
    <mergeCell ref="D56:D61"/>
    <mergeCell ref="I56:I61"/>
    <mergeCell ref="C65:D65"/>
    <mergeCell ref="I65:J65"/>
    <mergeCell ref="C66:D66"/>
    <mergeCell ref="B69:D69"/>
    <mergeCell ref="G69:I69"/>
    <mergeCell ref="D72:D77"/>
    <mergeCell ref="I72:I77"/>
    <mergeCell ref="C80:D80"/>
    <mergeCell ref="I80:J80"/>
    <mergeCell ref="C81:D81"/>
    <mergeCell ref="C82:D82"/>
    <mergeCell ref="B84:D84"/>
    <mergeCell ref="G84:I84"/>
    <mergeCell ref="D133:D139"/>
    <mergeCell ref="I133:I139"/>
    <mergeCell ref="C113:D113"/>
    <mergeCell ref="C96:D96"/>
    <mergeCell ref="I96:J96"/>
    <mergeCell ref="C97:D97"/>
    <mergeCell ref="C98:D98"/>
    <mergeCell ref="B100:D100"/>
    <mergeCell ref="G100:I100"/>
    <mergeCell ref="D103:D108"/>
    <mergeCell ref="I103:I108"/>
    <mergeCell ref="C111:D111"/>
    <mergeCell ref="I111:J111"/>
    <mergeCell ref="C112:D112"/>
    <mergeCell ref="B115:D115"/>
    <mergeCell ref="G115:I115"/>
    <mergeCell ref="D118:D123"/>
    <mergeCell ref="I118:I123"/>
    <mergeCell ref="C126:D126"/>
    <mergeCell ref="I126:J126"/>
    <mergeCell ref="C127:D127"/>
    <mergeCell ref="C128:D128"/>
    <mergeCell ref="B130:D130"/>
    <mergeCell ref="G130:I130"/>
    <mergeCell ref="D181:D187"/>
    <mergeCell ref="I181:I187"/>
    <mergeCell ref="C160:D160"/>
    <mergeCell ref="C142:D142"/>
    <mergeCell ref="I142:J142"/>
    <mergeCell ref="C143:D143"/>
    <mergeCell ref="C144:D144"/>
    <mergeCell ref="B146:D146"/>
    <mergeCell ref="G146:I146"/>
    <mergeCell ref="D149:D155"/>
    <mergeCell ref="I149:I155"/>
    <mergeCell ref="C158:D158"/>
    <mergeCell ref="I158:J158"/>
    <mergeCell ref="C159:D159"/>
    <mergeCell ref="B162:D162"/>
    <mergeCell ref="G162:I162"/>
    <mergeCell ref="D165:D171"/>
    <mergeCell ref="I165:I171"/>
    <mergeCell ref="C174:D174"/>
    <mergeCell ref="I174:J174"/>
    <mergeCell ref="C175:D175"/>
    <mergeCell ref="C176:D176"/>
    <mergeCell ref="B178:D178"/>
    <mergeCell ref="G178:I178"/>
    <mergeCell ref="D229:D235"/>
    <mergeCell ref="I229:I235"/>
    <mergeCell ref="C208:D208"/>
    <mergeCell ref="C190:D190"/>
    <mergeCell ref="I190:J190"/>
    <mergeCell ref="C191:D191"/>
    <mergeCell ref="C192:D192"/>
    <mergeCell ref="B194:D194"/>
    <mergeCell ref="G194:I194"/>
    <mergeCell ref="D197:D203"/>
    <mergeCell ref="I197:I203"/>
    <mergeCell ref="C206:D206"/>
    <mergeCell ref="I206:J206"/>
    <mergeCell ref="C207:D207"/>
    <mergeCell ref="B210:D210"/>
    <mergeCell ref="G210:I210"/>
    <mergeCell ref="D213:D219"/>
    <mergeCell ref="I213:I219"/>
    <mergeCell ref="C222:D222"/>
    <mergeCell ref="I222:J222"/>
    <mergeCell ref="C223:D223"/>
    <mergeCell ref="C224:D224"/>
    <mergeCell ref="B226:D226"/>
    <mergeCell ref="G226:I226"/>
    <mergeCell ref="D277:D283"/>
    <mergeCell ref="I277:I283"/>
    <mergeCell ref="C256:D256"/>
    <mergeCell ref="C238:D238"/>
    <mergeCell ref="I238:J238"/>
    <mergeCell ref="C239:D239"/>
    <mergeCell ref="C240:D240"/>
    <mergeCell ref="B242:D242"/>
    <mergeCell ref="G242:I242"/>
    <mergeCell ref="D245:D251"/>
    <mergeCell ref="I245:I251"/>
    <mergeCell ref="C254:D254"/>
    <mergeCell ref="I254:J254"/>
    <mergeCell ref="C255:D255"/>
    <mergeCell ref="B258:D258"/>
    <mergeCell ref="G258:I258"/>
    <mergeCell ref="D261:D267"/>
    <mergeCell ref="I261:I267"/>
    <mergeCell ref="C270:D270"/>
    <mergeCell ref="I270:J270"/>
    <mergeCell ref="C271:D271"/>
    <mergeCell ref="C272:D272"/>
    <mergeCell ref="B274:D274"/>
    <mergeCell ref="G274:I274"/>
    <mergeCell ref="B314:C314"/>
    <mergeCell ref="G314:H314"/>
    <mergeCell ref="B316:B317"/>
    <mergeCell ref="B288:D288"/>
    <mergeCell ref="G288:I288"/>
    <mergeCell ref="B289:B290"/>
    <mergeCell ref="G289:G290"/>
    <mergeCell ref="B313:C313"/>
    <mergeCell ref="G313:H313"/>
  </mergeCells>
  <pageMargins left="0.7" right="0.7" top="0.75" bottom="0.75" header="0.3" footer="0.3"/>
  <pageSetup paperSize="9" scale="72" orientation="portrait" r:id="rId1"/>
  <rowBreaks count="4" manualBreakCount="4">
    <brk id="52" man="1"/>
    <brk id="114" man="1"/>
    <brk id="175" man="1"/>
    <brk id="235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C36"/>
  <sheetViews>
    <sheetView view="pageBreakPreview" topLeftCell="A12" zoomScale="110" zoomScaleSheetLayoutView="110" workbookViewId="0">
      <selection activeCell="B31" sqref="B31"/>
    </sheetView>
  </sheetViews>
  <sheetFormatPr defaultRowHeight="13.2" x14ac:dyDescent="0.25"/>
  <cols>
    <col min="1" max="1" width="17.5546875" style="261" customWidth="1"/>
    <col min="2" max="2" width="60.88671875" customWidth="1"/>
    <col min="3" max="3" width="10.6640625" style="215" customWidth="1"/>
  </cols>
  <sheetData>
    <row r="1" spans="1:3" x14ac:dyDescent="0.25">
      <c r="A1" s="370" t="s">
        <v>417</v>
      </c>
      <c r="B1" s="370"/>
      <c r="C1" s="370"/>
    </row>
    <row r="2" spans="1:3" x14ac:dyDescent="0.25">
      <c r="A2" s="260"/>
      <c r="B2" s="18"/>
      <c r="C2" s="16"/>
    </row>
    <row r="3" spans="1:3" x14ac:dyDescent="0.25">
      <c r="A3" s="192" t="s">
        <v>418</v>
      </c>
      <c r="B3" s="119" t="s">
        <v>419</v>
      </c>
      <c r="C3" s="119" t="s">
        <v>420</v>
      </c>
    </row>
    <row r="4" spans="1:3" x14ac:dyDescent="0.25">
      <c r="A4" s="260">
        <v>44525</v>
      </c>
      <c r="B4" s="18" t="s">
        <v>421</v>
      </c>
      <c r="C4" s="16" t="s">
        <v>422</v>
      </c>
    </row>
    <row r="5" spans="1:3" x14ac:dyDescent="0.25">
      <c r="A5" s="260">
        <v>44650</v>
      </c>
      <c r="B5" s="18" t="s">
        <v>423</v>
      </c>
      <c r="C5" s="16" t="s">
        <v>422</v>
      </c>
    </row>
    <row r="6" spans="1:3" x14ac:dyDescent="0.25">
      <c r="A6" s="260">
        <v>44705</v>
      </c>
      <c r="B6" s="18" t="s">
        <v>424</v>
      </c>
      <c r="C6" s="16" t="s">
        <v>422</v>
      </c>
    </row>
    <row r="7" spans="1:3" x14ac:dyDescent="0.25">
      <c r="A7" s="260">
        <v>44764</v>
      </c>
      <c r="B7" s="18" t="s">
        <v>425</v>
      </c>
      <c r="C7" s="16" t="s">
        <v>422</v>
      </c>
    </row>
    <row r="8" spans="1:3" x14ac:dyDescent="0.25">
      <c r="A8" s="260">
        <v>44880</v>
      </c>
      <c r="B8" s="121" t="s">
        <v>426</v>
      </c>
      <c r="C8" s="16" t="s">
        <v>422</v>
      </c>
    </row>
    <row r="9" spans="1:3" x14ac:dyDescent="0.25">
      <c r="A9" s="260">
        <v>44712</v>
      </c>
      <c r="B9" s="18" t="s">
        <v>424</v>
      </c>
      <c r="C9" s="16" t="s">
        <v>422</v>
      </c>
    </row>
    <row r="10" spans="1:3" x14ac:dyDescent="0.25">
      <c r="A10" s="260">
        <v>45214</v>
      </c>
      <c r="B10" s="18" t="s">
        <v>424</v>
      </c>
      <c r="C10" s="16" t="s">
        <v>422</v>
      </c>
    </row>
    <row r="11" spans="1:3" x14ac:dyDescent="0.25">
      <c r="A11" s="260">
        <v>45225</v>
      </c>
      <c r="B11" s="18" t="s">
        <v>427</v>
      </c>
      <c r="C11" s="16" t="s">
        <v>428</v>
      </c>
    </row>
    <row r="12" spans="1:3" x14ac:dyDescent="0.25">
      <c r="A12" s="260">
        <v>45225</v>
      </c>
      <c r="B12" s="18" t="s">
        <v>429</v>
      </c>
      <c r="C12" s="16" t="s">
        <v>428</v>
      </c>
    </row>
    <row r="13" spans="1:3" x14ac:dyDescent="0.25">
      <c r="A13" s="260">
        <v>45225</v>
      </c>
      <c r="B13" s="18" t="s">
        <v>430</v>
      </c>
      <c r="C13" s="16" t="s">
        <v>428</v>
      </c>
    </row>
    <row r="14" spans="1:3" x14ac:dyDescent="0.25">
      <c r="A14" s="260">
        <v>45225</v>
      </c>
      <c r="B14" s="18" t="s">
        <v>431</v>
      </c>
      <c r="C14" s="16" t="s">
        <v>428</v>
      </c>
    </row>
    <row r="15" spans="1:3" x14ac:dyDescent="0.25">
      <c r="A15" s="260">
        <v>45237</v>
      </c>
      <c r="B15" s="18" t="s">
        <v>432</v>
      </c>
      <c r="C15" s="16" t="s">
        <v>428</v>
      </c>
    </row>
    <row r="16" spans="1:3" x14ac:dyDescent="0.25">
      <c r="A16" s="260">
        <v>45266</v>
      </c>
      <c r="B16" s="18" t="s">
        <v>433</v>
      </c>
      <c r="C16" s="16" t="s">
        <v>428</v>
      </c>
    </row>
    <row r="17" spans="1:3" x14ac:dyDescent="0.25">
      <c r="A17" s="260">
        <v>45384</v>
      </c>
      <c r="B17" s="18" t="s">
        <v>434</v>
      </c>
      <c r="C17" s="16" t="s">
        <v>422</v>
      </c>
    </row>
    <row r="18" spans="1:3" x14ac:dyDescent="0.25">
      <c r="A18" s="192">
        <v>45468</v>
      </c>
      <c r="B18" s="209" t="s">
        <v>435</v>
      </c>
      <c r="C18" s="119" t="s">
        <v>422</v>
      </c>
    </row>
    <row r="19" spans="1:3" x14ac:dyDescent="0.25">
      <c r="A19" s="192">
        <v>45484</v>
      </c>
      <c r="B19" s="18" t="s">
        <v>425</v>
      </c>
      <c r="C19" s="119" t="s">
        <v>422</v>
      </c>
    </row>
    <row r="20" spans="1:3" x14ac:dyDescent="0.25">
      <c r="A20" s="192">
        <v>45488</v>
      </c>
      <c r="B20" s="18" t="s">
        <v>436</v>
      </c>
      <c r="C20" s="119" t="s">
        <v>422</v>
      </c>
    </row>
    <row r="21" spans="1:3" x14ac:dyDescent="0.25">
      <c r="A21" s="192">
        <v>45592</v>
      </c>
      <c r="B21" s="209" t="s">
        <v>435</v>
      </c>
      <c r="C21" s="119" t="s">
        <v>422</v>
      </c>
    </row>
    <row r="22" spans="1:3" x14ac:dyDescent="0.25">
      <c r="A22" s="192">
        <v>45592</v>
      </c>
      <c r="B22" s="209" t="s">
        <v>437</v>
      </c>
      <c r="C22" s="119" t="s">
        <v>422</v>
      </c>
    </row>
    <row r="23" spans="1:3" x14ac:dyDescent="0.25">
      <c r="A23" s="260">
        <v>45719</v>
      </c>
      <c r="B23" s="18" t="s">
        <v>438</v>
      </c>
      <c r="C23" s="16" t="s">
        <v>422</v>
      </c>
    </row>
    <row r="24" spans="1:3" x14ac:dyDescent="0.25">
      <c r="A24" s="260">
        <v>45808</v>
      </c>
      <c r="B24" s="18" t="s">
        <v>439</v>
      </c>
      <c r="C24" s="119" t="s">
        <v>422</v>
      </c>
    </row>
    <row r="25" spans="1:3" x14ac:dyDescent="0.25">
      <c r="A25" s="260">
        <v>45880</v>
      </c>
      <c r="B25" s="18" t="s">
        <v>440</v>
      </c>
      <c r="C25" s="119" t="s">
        <v>422</v>
      </c>
    </row>
    <row r="26" spans="1:3" x14ac:dyDescent="0.25">
      <c r="A26" s="260"/>
      <c r="B26" s="18"/>
      <c r="C26" s="16"/>
    </row>
    <row r="27" spans="1:3" x14ac:dyDescent="0.25">
      <c r="A27" s="260"/>
      <c r="B27" s="18"/>
      <c r="C27" s="16"/>
    </row>
    <row r="28" spans="1:3" x14ac:dyDescent="0.25">
      <c r="A28" s="260"/>
      <c r="B28" s="18"/>
      <c r="C28" s="16"/>
    </row>
    <row r="29" spans="1:3" x14ac:dyDescent="0.25">
      <c r="A29" s="260"/>
      <c r="B29" s="18"/>
      <c r="C29" s="16"/>
    </row>
    <row r="30" spans="1:3" x14ac:dyDescent="0.25">
      <c r="A30" s="260"/>
      <c r="B30" s="18"/>
      <c r="C30" s="16"/>
    </row>
    <row r="31" spans="1:3" x14ac:dyDescent="0.25">
      <c r="A31" s="260"/>
      <c r="B31" s="18"/>
      <c r="C31" s="16"/>
    </row>
    <row r="32" spans="1:3" x14ac:dyDescent="0.25">
      <c r="A32" s="260"/>
      <c r="B32" s="18"/>
      <c r="C32" s="16"/>
    </row>
    <row r="33" spans="1:3" x14ac:dyDescent="0.25">
      <c r="A33" s="260"/>
      <c r="B33" s="18"/>
      <c r="C33" s="16"/>
    </row>
    <row r="34" spans="1:3" x14ac:dyDescent="0.25">
      <c r="A34" s="260"/>
      <c r="B34" s="18"/>
      <c r="C34" s="16"/>
    </row>
    <row r="35" spans="1:3" x14ac:dyDescent="0.25">
      <c r="A35" s="260"/>
      <c r="B35" s="18"/>
      <c r="C35" s="16"/>
    </row>
    <row r="36" spans="1:3" x14ac:dyDescent="0.25">
      <c r="A36" s="260"/>
      <c r="B36" s="18"/>
      <c r="C36" s="16"/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ACTION</vt:lpstr>
      <vt:lpstr>INPUT DATA</vt:lpstr>
      <vt:lpstr>SERTIFIKAT</vt:lpstr>
      <vt:lpstr>Pilih Standar</vt:lpstr>
      <vt:lpstr>KETIDAKPASTIAN</vt:lpstr>
      <vt:lpstr>LAMPIRAN</vt:lpstr>
      <vt:lpstr>TABEL DATA</vt:lpstr>
      <vt:lpstr>KONTROL SUHU</vt:lpstr>
      <vt:lpstr>Riwayat</vt:lpstr>
      <vt:lpstr>'INPUT DATA'!Print_Area</vt:lpstr>
      <vt:lpstr>LAMPIRAN!Print_Area</vt:lpstr>
      <vt:lpstr>Riwayat!Print_Area</vt:lpstr>
      <vt:lpstr>SERTIFIKAT!Print_Area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PAS Calibration</dc:creator>
  <cp:keywords/>
  <dc:description/>
  <cp:lastModifiedBy>22-25-RAFI AKBAR HIBATULLAH</cp:lastModifiedBy>
  <cp:lastPrinted>2026-01-06T07:24:23Z</cp:lastPrinted>
  <dcterms:created xsi:type="dcterms:W3CDTF">2008-10-29T20:24:34Z</dcterms:created>
  <dcterms:modified xsi:type="dcterms:W3CDTF">2026-01-06T07:24:44Z</dcterms:modified>
  <cp:category/>
</cp:coreProperties>
</file>