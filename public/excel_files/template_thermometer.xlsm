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Laragon\laragon\www\calibration_action\public\excel_files\"/>
    </mc:Choice>
  </mc:AlternateContent>
  <xr:revisionPtr revIDLastSave="0" documentId="13_ncr:1_{6AA5D3A6-3294-44C8-A764-844FCE6D7CF2}" xr6:coauthVersionLast="47" xr6:coauthVersionMax="47" xr10:uidLastSave="{00000000-0000-0000-0000-000000000000}"/>
  <bookViews>
    <workbookView xWindow="-108" yWindow="-108" windowWidth="23256" windowHeight="13176" tabRatio="522" firstSheet="2" activeTab="3" xr2:uid="{00000000-000D-0000-FFFF-FFFF00000000}"/>
  </bookViews>
  <sheets>
    <sheet name="TABEL DATA" sheetId="21" state="hidden" r:id="rId1"/>
    <sheet name="STANDAR" sheetId="25" state="hidden" r:id="rId2"/>
    <sheet name="ACTION" sheetId="37" r:id="rId3"/>
    <sheet name="INPUT DATA" sheetId="16" r:id="rId4"/>
    <sheet name="KETIDAKPASTIAN" sheetId="26" state="hidden" r:id="rId5"/>
    <sheet name="Sheet7" sheetId="31" state="hidden" r:id="rId6"/>
    <sheet name="SERTIFIKAT" sheetId="17" r:id="rId7"/>
    <sheet name="LAMPIRAN" sheetId="18" r:id="rId8"/>
    <sheet name="LAMPIRAN SIIX" sheetId="34" state="hidden" r:id="rId9"/>
    <sheet name="Sheet2" sheetId="29" state="hidden" r:id="rId10"/>
    <sheet name="KONTROL SUHU" sheetId="36" state="hidden" r:id="rId11"/>
    <sheet name="Riwayat" sheetId="28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A" localSheetId="10">#REF!</definedName>
    <definedName name="A">#REF!</definedName>
    <definedName name="a_1" localSheetId="5">'[1]Entry Data'!$C$40</definedName>
    <definedName name="a_1">'[2]Entry Data'!$C$40</definedName>
    <definedName name="a_2" localSheetId="5">'[1]Entry Data'!$C$41</definedName>
    <definedName name="a_2">'[2]Entry Data'!$C$41</definedName>
    <definedName name="a_3" localSheetId="5">'[1]Entry Data'!$C$42</definedName>
    <definedName name="a_3">'[2]Entry Data'!$C$42</definedName>
    <definedName name="a_4" localSheetId="5">'[1]Entry Data'!$C$43</definedName>
    <definedName name="a_4">'[2]Entry Data'!$C$43</definedName>
    <definedName name="a0" localSheetId="5">'[1]Entry Data'!$C$39</definedName>
    <definedName name="a0">'[2]Entry Data'!$C$39</definedName>
    <definedName name="Akurasi" localSheetId="5">#REF!</definedName>
    <definedName name="Akurasi">#REF!</definedName>
    <definedName name="alpha" localSheetId="5">#REF!</definedName>
    <definedName name="alpha">#REF!</definedName>
    <definedName name="Apik" localSheetId="5">INDEX([3]Product!$B$5:$B$9,'[3]Entry Data'!$Q$24)</definedName>
    <definedName name="Apik">INDEX([4]Product!$B$5:$B$9,'[4]Entry Data'!$Q$24)</definedName>
    <definedName name="B" localSheetId="5">#REF!</definedName>
    <definedName name="B">#REF!</definedName>
    <definedName name="b_1">[5]Data!$C$32</definedName>
    <definedName name="b_3">[5]Data!$C$34</definedName>
    <definedName name="b_4">[5]Data!$C$35</definedName>
    <definedName name="bmc">[6]Ketidakpastian!$L$19</definedName>
    <definedName name="c_1">'[7]Data Input'!$C$35</definedName>
    <definedName name="CC" localSheetId="5">#REF!</definedName>
    <definedName name="CC">#REF!</definedName>
    <definedName name="cmc" localSheetId="5">[3]Uncertainty!$B$18</definedName>
    <definedName name="cmc">[4]Uncertainty!$B$18</definedName>
    <definedName name="d_1">'[7]Data Input'!$C$33</definedName>
    <definedName name="e_1_1">'[7]Data Input'!$C$35</definedName>
    <definedName name="Excel_BuiltIn_Print_Area_1" localSheetId="5">#REF!</definedName>
    <definedName name="Excel_BuiltIn_Print_Area_1">#REF!</definedName>
    <definedName name="Excel_BuiltIn_Print_Area_9" localSheetId="10">#REF!</definedName>
    <definedName name="Excel_BuiltIn_Print_Area_9" localSheetId="7">#REF!</definedName>
    <definedName name="Excel_BuiltIn_Print_Area_9" localSheetId="8">#REF!</definedName>
    <definedName name="Excel_BuiltIn_Print_Area_9" localSheetId="6">#REF!</definedName>
    <definedName name="Excel_BuiltIn_Print_Area_9" localSheetId="5">#REF!</definedName>
    <definedName name="Excel_BuiltIn_Print_Area_9">#REF!</definedName>
    <definedName name="Excel_BuiltIn_Print_Titles_1_1">([8]Scope!$A$2:$C$65534,[8]Scope!$5:$5)</definedName>
    <definedName name="Excel_BuiltIn_Print_Titles_1_1_1">([8]Scope!$A$3:$C$65534,[8]Scope!$5:$5)</definedName>
    <definedName name="fdens" localSheetId="5">#REF!</definedName>
    <definedName name="fdens">#REF!</definedName>
    <definedName name="Foto" localSheetId="5">[3]Product!$B$5:$B$9,'[3]Entry Data'!$Q$24</definedName>
    <definedName name="Foto">[4]Product!$B$5:$B$9,'[4]Entry Data'!$Q$24</definedName>
    <definedName name="gama" localSheetId="5">'[1]Entry Data'!$C$47</definedName>
    <definedName name="gama">'[2]Entry Data'!$C$47</definedName>
    <definedName name="gl" localSheetId="5">#REF!</definedName>
    <definedName name="gl">#REF!</definedName>
    <definedName name="gn" localSheetId="5">#REF!</definedName>
    <definedName name="gn">#REF!</definedName>
    <definedName name="h" localSheetId="5">[9]analisa!#REF!</definedName>
    <definedName name="h">[9]analisa!#REF!</definedName>
    <definedName name="kon" localSheetId="5">#REF!</definedName>
    <definedName name="kon">#REF!</definedName>
    <definedName name="konv" localSheetId="5">#REF!</definedName>
    <definedName name="konv">#REF!</definedName>
    <definedName name="M_0" localSheetId="5">#REF!</definedName>
    <definedName name="M_0">#REF!</definedName>
    <definedName name="M_1" localSheetId="5">#REF!</definedName>
    <definedName name="M_1">#REF!</definedName>
    <definedName name="M_10" localSheetId="5">#REF!</definedName>
    <definedName name="M_10">#REF!</definedName>
    <definedName name="M_11" localSheetId="5">#REF!</definedName>
    <definedName name="M_11">#REF!</definedName>
    <definedName name="M_12" localSheetId="5">#REF!</definedName>
    <definedName name="M_12">#REF!</definedName>
    <definedName name="M_13" localSheetId="5">#REF!</definedName>
    <definedName name="M_13">#REF!</definedName>
    <definedName name="M_14" localSheetId="5">#REF!</definedName>
    <definedName name="M_14">#REF!</definedName>
    <definedName name="M_15" localSheetId="5">#REF!</definedName>
    <definedName name="M_15">#REF!</definedName>
    <definedName name="M_2" localSheetId="5">#REF!</definedName>
    <definedName name="M_2">#REF!</definedName>
    <definedName name="M_3" localSheetId="5">#REF!</definedName>
    <definedName name="M_3">#REF!</definedName>
    <definedName name="M_4" localSheetId="5">#REF!</definedName>
    <definedName name="M_4">#REF!</definedName>
    <definedName name="M_5" localSheetId="5">#REF!</definedName>
    <definedName name="M_5">#REF!</definedName>
    <definedName name="M_6" localSheetId="5">#REF!</definedName>
    <definedName name="M_6">#REF!</definedName>
    <definedName name="M_7" localSheetId="5">#REF!</definedName>
    <definedName name="M_7">#REF!</definedName>
    <definedName name="M_8" localSheetId="5">#REF!</definedName>
    <definedName name="M_8">#REF!</definedName>
    <definedName name="M_9" localSheetId="5">#REF!</definedName>
    <definedName name="M_9">#REF!</definedName>
    <definedName name="micrometer" localSheetId="5">INDEX([3]Product!$A$1:$A$3,MATCH([3]Product!$C$1,[3]Product!$B$1:$B$3,0))</definedName>
    <definedName name="micrometer">INDEX([4]Product!$A$1:$A$3,MATCH([4]Product!$C$1,[4]Product!$B$1:$B$3,0))</definedName>
    <definedName name="NST" localSheetId="5">#REF!</definedName>
    <definedName name="NST">#REF!</definedName>
    <definedName name="_xlnm.Print_Area" localSheetId="4">KETIDAKPASTIAN!$A$1:$L$67</definedName>
    <definedName name="_xlnm.Print_Area" localSheetId="7">LAMPIRAN!$A$2:$U$43</definedName>
    <definedName name="_xlnm.Print_Area" localSheetId="8">'LAMPIRAN SIIX'!$A$2:$U$40</definedName>
    <definedName name="_xlnm.Print_Area" localSheetId="11">Riwayat!$A$1:$E$36</definedName>
    <definedName name="_xlnm.Print_Area" localSheetId="6">SERTIFIKAT!$A$2:$O$58</definedName>
    <definedName name="rho" localSheetId="5">#REF!</definedName>
    <definedName name="rho">#REF!</definedName>
    <definedName name="sat">[9]analisa!$C$7</definedName>
    <definedName name="sat_3" localSheetId="5">#REF!</definedName>
    <definedName name="sat_3">#REF!</definedName>
    <definedName name="SD046_09" localSheetId="5">'[10]DATA MENTAH'!#REF!</definedName>
    <definedName name="SD046_09">'[10]DATA MENTAH'!#REF!</definedName>
    <definedName name="st" localSheetId="5">#REF!</definedName>
    <definedName name="st">#REF!</definedName>
    <definedName name="suhu">'[11]entry data'!$P$14</definedName>
    <definedName name="TABELSTANDARNILAI" localSheetId="10">#REF!</definedName>
    <definedName name="TABELSTANDARNILAI" localSheetId="5">#REF!</definedName>
    <definedName name="TABELSTANDARNILAI">#REF!</definedName>
    <definedName name="TABELSTANDARNOMINAL" localSheetId="10">#REF!</definedName>
    <definedName name="TABELSTANDARNOMINAL">#REF!</definedName>
    <definedName name="TABELSTANDARU" localSheetId="10">#REF!</definedName>
    <definedName name="TABELSTANDARU">#REF!</definedName>
    <definedName name="temp.ruang">'[12]DATA MENTAH'!$E$8</definedName>
    <definedName name="temp.ruang1">'[12]DATA MENTAH'!$E$8</definedName>
    <definedName name="temperature">'[12]DATA MENTAH'!#REF!</definedName>
    <definedName name="Toleransi" localSheetId="5">'[1]Entry Data'!$B$10</definedName>
    <definedName name="Toleransi">'[2]Entry Data'!$B$10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2" i="16" l="1"/>
  <c r="B309" i="36"/>
  <c r="G309" i="36"/>
  <c r="I308" i="36"/>
  <c r="G308" i="36"/>
  <c r="D308" i="36"/>
  <c r="I307" i="36"/>
  <c r="G307" i="36"/>
  <c r="D307" i="36"/>
  <c r="I306" i="36"/>
  <c r="G306" i="36"/>
  <c r="D306" i="36"/>
  <c r="I305" i="36"/>
  <c r="G305" i="36"/>
  <c r="D305" i="36"/>
  <c r="I304" i="36"/>
  <c r="G304" i="36"/>
  <c r="D304" i="36"/>
  <c r="I303" i="36"/>
  <c r="G303" i="36"/>
  <c r="D303" i="36"/>
  <c r="I302" i="36"/>
  <c r="G302" i="36"/>
  <c r="D302" i="36"/>
  <c r="I301" i="36"/>
  <c r="G301" i="36"/>
  <c r="D301" i="36"/>
  <c r="I300" i="36"/>
  <c r="G300" i="36"/>
  <c r="D300" i="36"/>
  <c r="I299" i="36"/>
  <c r="G299" i="36"/>
  <c r="D299" i="36"/>
  <c r="I298" i="36"/>
  <c r="G298" i="36"/>
  <c r="D298" i="36"/>
  <c r="I297" i="36"/>
  <c r="G297" i="36"/>
  <c r="D297" i="36"/>
  <c r="I296" i="36"/>
  <c r="G296" i="36"/>
  <c r="D296" i="36"/>
  <c r="I295" i="36"/>
  <c r="G295" i="36"/>
  <c r="D295" i="36"/>
  <c r="I294" i="36"/>
  <c r="G294" i="36"/>
  <c r="D294" i="36"/>
  <c r="I293" i="36"/>
  <c r="G293" i="36"/>
  <c r="D293" i="36"/>
  <c r="I292" i="36"/>
  <c r="G292" i="36"/>
  <c r="D292" i="36"/>
  <c r="I291" i="36"/>
  <c r="G291" i="36"/>
  <c r="D291" i="36"/>
  <c r="H266" i="36"/>
  <c r="G266" i="36"/>
  <c r="C266" i="36"/>
  <c r="B266" i="36"/>
  <c r="H261" i="36"/>
  <c r="G261" i="36"/>
  <c r="C261" i="36"/>
  <c r="B261" i="36"/>
  <c r="H250" i="36"/>
  <c r="G250" i="36"/>
  <c r="C250" i="36"/>
  <c r="B250" i="36"/>
  <c r="H245" i="36"/>
  <c r="G245" i="36"/>
  <c r="C245" i="36"/>
  <c r="B245" i="36"/>
  <c r="H234" i="36"/>
  <c r="G234" i="36"/>
  <c r="C234" i="36"/>
  <c r="B234" i="36"/>
  <c r="H229" i="36"/>
  <c r="G229" i="36"/>
  <c r="C229" i="36"/>
  <c r="B229" i="36"/>
  <c r="H218" i="36"/>
  <c r="G218" i="36"/>
  <c r="C218" i="36"/>
  <c r="B218" i="36"/>
  <c r="H213" i="36"/>
  <c r="G213" i="36"/>
  <c r="C213" i="36"/>
  <c r="B213" i="36"/>
  <c r="H202" i="36"/>
  <c r="G202" i="36"/>
  <c r="C202" i="36"/>
  <c r="B202" i="36"/>
  <c r="H197" i="36"/>
  <c r="G197" i="36"/>
  <c r="C197" i="36"/>
  <c r="B197" i="36"/>
  <c r="H186" i="36"/>
  <c r="G186" i="36"/>
  <c r="C186" i="36"/>
  <c r="B186" i="36"/>
  <c r="H181" i="36"/>
  <c r="G181" i="36"/>
  <c r="C181" i="36"/>
  <c r="B181" i="36"/>
  <c r="H170" i="36"/>
  <c r="G170" i="36"/>
  <c r="C170" i="36"/>
  <c r="B170" i="36"/>
  <c r="H165" i="36"/>
  <c r="G165" i="36"/>
  <c r="C165" i="36"/>
  <c r="B165" i="36"/>
  <c r="H154" i="36"/>
  <c r="G154" i="36"/>
  <c r="C154" i="36"/>
  <c r="B154" i="36"/>
  <c r="H149" i="36"/>
  <c r="G149" i="36"/>
  <c r="C149" i="36"/>
  <c r="B149" i="36"/>
  <c r="H138" i="36"/>
  <c r="G138" i="36"/>
  <c r="C138" i="36"/>
  <c r="B138" i="36"/>
  <c r="H133" i="36"/>
  <c r="G133" i="36"/>
  <c r="C133" i="36"/>
  <c r="B133" i="36"/>
  <c r="H87" i="36"/>
  <c r="G87" i="36"/>
  <c r="C87" i="36"/>
  <c r="B87" i="36"/>
  <c r="H56" i="36"/>
  <c r="G56" i="36"/>
  <c r="C56" i="36"/>
  <c r="B56" i="36"/>
  <c r="H30" i="36"/>
  <c r="G30" i="36"/>
  <c r="C30" i="36"/>
  <c r="B30" i="36"/>
  <c r="H25" i="36"/>
  <c r="G25" i="36"/>
  <c r="C25" i="36"/>
  <c r="B25" i="36"/>
  <c r="AH47" i="26"/>
  <c r="AG47" i="26"/>
  <c r="AF47" i="26"/>
  <c r="AH45" i="26"/>
  <c r="AG45" i="26"/>
  <c r="AF45" i="26"/>
  <c r="AE45" i="26"/>
  <c r="AD45" i="26"/>
  <c r="AC45" i="26"/>
  <c r="Q14" i="16"/>
  <c r="AA45" i="26"/>
  <c r="Z45" i="26"/>
  <c r="Y45" i="26"/>
  <c r="X45" i="26"/>
  <c r="W45" i="26"/>
  <c r="V45" i="26"/>
  <c r="U45" i="26"/>
  <c r="T45" i="26"/>
  <c r="Q18" i="16"/>
  <c r="Q16" i="16"/>
  <c r="Q13" i="16"/>
  <c r="I309" i="36" l="1"/>
  <c r="D319" i="36" s="1"/>
  <c r="D309" i="36"/>
  <c r="C319" i="36" s="1"/>
  <c r="AC17" i="25"/>
  <c r="Y33" i="25"/>
  <c r="Z33" i="25" s="1"/>
  <c r="AR33" i="25" s="1"/>
  <c r="Y32" i="25"/>
  <c r="Y31" i="25"/>
  <c r="Y30" i="25"/>
  <c r="Y29" i="25"/>
  <c r="Y28" i="25"/>
  <c r="Y27" i="25"/>
  <c r="Y26" i="25"/>
  <c r="Y25" i="25"/>
  <c r="Y24" i="25"/>
  <c r="Y23" i="25"/>
  <c r="AA16" i="25"/>
  <c r="AA15" i="25"/>
  <c r="AA14" i="25"/>
  <c r="AA13" i="25"/>
  <c r="AA12" i="25"/>
  <c r="AA11" i="25"/>
  <c r="K92" i="26"/>
  <c r="C42" i="26"/>
  <c r="E52" i="26"/>
  <c r="F53" i="26"/>
  <c r="F52" i="26"/>
  <c r="F51" i="26"/>
  <c r="H51" i="26" s="1"/>
  <c r="J51" i="26" s="1"/>
  <c r="F50" i="26"/>
  <c r="H50" i="26" s="1"/>
  <c r="J50" i="26" s="1"/>
  <c r="F49" i="26"/>
  <c r="F48" i="26"/>
  <c r="E48" i="26"/>
  <c r="F47" i="26"/>
  <c r="F46" i="26"/>
  <c r="Z23" i="25" l="1"/>
  <c r="AQ23" i="25" s="1"/>
  <c r="Z27" i="25"/>
  <c r="AQ27" i="25" s="1"/>
  <c r="Z31" i="25"/>
  <c r="AQ31" i="25" s="1"/>
  <c r="H48" i="26"/>
  <c r="J48" i="26" s="1"/>
  <c r="L48" i="26" s="1"/>
  <c r="Z24" i="25"/>
  <c r="AQ24" i="25" s="1"/>
  <c r="Z28" i="25"/>
  <c r="AQ28" i="25" s="1"/>
  <c r="Z32" i="25"/>
  <c r="AQ32" i="25" s="1"/>
  <c r="Z25" i="25"/>
  <c r="AR25" i="25" s="1"/>
  <c r="Z29" i="25"/>
  <c r="AR29" i="25" s="1"/>
  <c r="Z26" i="25"/>
  <c r="AS26" i="25" s="1"/>
  <c r="Z30" i="25"/>
  <c r="AS30" i="25" s="1"/>
  <c r="AS47" i="25"/>
  <c r="AR47" i="25"/>
  <c r="AQ47" i="25"/>
  <c r="AQ33" i="25"/>
  <c r="AS33" i="25"/>
  <c r="H52" i="26"/>
  <c r="J52" i="26" s="1"/>
  <c r="L52" i="26" s="1"/>
  <c r="L50" i="26"/>
  <c r="K50" i="26"/>
  <c r="K51" i="26"/>
  <c r="L51" i="26"/>
  <c r="AS41" i="25" l="1"/>
  <c r="AQ38" i="25"/>
  <c r="AR24" i="25"/>
  <c r="AR31" i="25"/>
  <c r="AS45" i="25"/>
  <c r="AR37" i="25"/>
  <c r="AS23" i="25"/>
  <c r="AS27" i="25"/>
  <c r="AR28" i="25"/>
  <c r="AS24" i="25"/>
  <c r="AR26" i="25"/>
  <c r="AQ37" i="25"/>
  <c r="AS37" i="25"/>
  <c r="AR23" i="25"/>
  <c r="AS29" i="25"/>
  <c r="AR27" i="25"/>
  <c r="AQ29" i="25"/>
  <c r="AQ41" i="25"/>
  <c r="AR41" i="25"/>
  <c r="AQ43" i="25"/>
  <c r="AR38" i="25"/>
  <c r="K48" i="26"/>
  <c r="AR32" i="25"/>
  <c r="AS28" i="25"/>
  <c r="AQ40" i="25"/>
  <c r="AS38" i="25"/>
  <c r="AR44" i="25"/>
  <c r="AS42" i="25"/>
  <c r="AQ26" i="25"/>
  <c r="AQ42" i="25"/>
  <c r="AR42" i="25"/>
  <c r="AR43" i="25"/>
  <c r="AS43" i="25"/>
  <c r="AR39" i="25"/>
  <c r="AS32" i="25"/>
  <c r="AQ25" i="25"/>
  <c r="AS46" i="25"/>
  <c r="AS40" i="25"/>
  <c r="AS25" i="25"/>
  <c r="AS31" i="25"/>
  <c r="AQ46" i="25"/>
  <c r="AQ45" i="25"/>
  <c r="AR46" i="25"/>
  <c r="AQ30" i="25"/>
  <c r="AR30" i="25"/>
  <c r="AQ39" i="25"/>
  <c r="AQ44" i="25"/>
  <c r="AR45" i="25"/>
  <c r="AR40" i="25"/>
  <c r="AS39" i="25"/>
  <c r="AS44" i="25"/>
  <c r="K52" i="26"/>
  <c r="C23" i="17"/>
  <c r="G16" i="34" l="1"/>
  <c r="F11" i="34"/>
  <c r="C71" i="16"/>
  <c r="C72" i="16" s="1"/>
  <c r="E74" i="16"/>
  <c r="E71" i="16"/>
  <c r="E68" i="16"/>
  <c r="C74" i="16"/>
  <c r="C75" i="16" s="1"/>
  <c r="C68" i="16"/>
  <c r="C69" i="16" s="1"/>
  <c r="AD47" i="26"/>
  <c r="AB47" i="26"/>
  <c r="Y47" i="26"/>
  <c r="X47" i="26"/>
  <c r="W47" i="26"/>
  <c r="V47" i="26"/>
  <c r="U47" i="26"/>
  <c r="T47" i="26"/>
  <c r="AE47" i="26"/>
  <c r="AC47" i="26"/>
  <c r="AA47" i="26"/>
  <c r="Z47" i="26"/>
  <c r="AB45" i="26"/>
  <c r="Y28" i="26"/>
  <c r="I18" i="25"/>
  <c r="K19" i="25"/>
  <c r="E75" i="16" l="1"/>
  <c r="P57" i="16" s="1"/>
  <c r="E72" i="16"/>
  <c r="P56" i="16" s="1"/>
  <c r="E69" i="16"/>
  <c r="P55" i="16" s="1"/>
  <c r="AT36" i="25"/>
  <c r="O11" i="25" l="1"/>
  <c r="E17" i="25" l="1"/>
  <c r="C16" i="25"/>
  <c r="W17" i="25" l="1"/>
  <c r="U16" i="25"/>
  <c r="U15" i="25"/>
  <c r="U14" i="25"/>
  <c r="U13" i="25"/>
  <c r="U12" i="25"/>
  <c r="U11" i="25"/>
  <c r="Q17" i="25"/>
  <c r="O16" i="25"/>
  <c r="O15" i="25"/>
  <c r="O14" i="25"/>
  <c r="O13" i="25"/>
  <c r="O12" i="25"/>
  <c r="Z26" i="26"/>
  <c r="Z25" i="26"/>
  <c r="Z24" i="26"/>
  <c r="Z23" i="26"/>
  <c r="Z22" i="26"/>
  <c r="Z21" i="26"/>
  <c r="Z20" i="26"/>
  <c r="Z28" i="26" s="1"/>
  <c r="X19" i="26"/>
  <c r="Z19" i="26" s="1"/>
  <c r="Y18" i="26"/>
  <c r="Z18" i="26" s="1"/>
  <c r="E4" i="16"/>
  <c r="E3" i="16"/>
  <c r="E22" i="26" l="1"/>
  <c r="E46" i="26"/>
  <c r="H46" i="26" s="1"/>
  <c r="J46" i="26" s="1"/>
  <c r="I17" i="25"/>
  <c r="I16" i="25"/>
  <c r="I15" i="25"/>
  <c r="I14" i="25"/>
  <c r="I13" i="25"/>
  <c r="I12" i="25"/>
  <c r="I11" i="25"/>
  <c r="L46" i="26" l="1"/>
  <c r="K46" i="26"/>
  <c r="H49" i="16"/>
  <c r="A20" i="34" l="1"/>
  <c r="H35" i="16"/>
  <c r="H36" i="16"/>
  <c r="F10" i="34" s="1"/>
  <c r="F3" i="34" s="1"/>
  <c r="E56" i="16" l="1"/>
  <c r="E50" i="16"/>
  <c r="E53" i="16"/>
  <c r="C56" i="16"/>
  <c r="C57" i="16" s="1"/>
  <c r="C53" i="16"/>
  <c r="C54" i="16" s="1"/>
  <c r="C50" i="16"/>
  <c r="C5" i="17"/>
  <c r="C15" i="25"/>
  <c r="C14" i="25"/>
  <c r="C13" i="25"/>
  <c r="C12" i="25"/>
  <c r="C11" i="25"/>
  <c r="G11" i="16"/>
  <c r="E21" i="26"/>
  <c r="E20" i="26"/>
  <c r="S47" i="26"/>
  <c r="AI47" i="26" s="1"/>
  <c r="S45" i="26"/>
  <c r="N15" i="26"/>
  <c r="AI45" i="26" l="1"/>
  <c r="E26" i="26" s="1"/>
  <c r="E49" i="26"/>
  <c r="H49" i="26" s="1"/>
  <c r="J49" i="26" s="1"/>
  <c r="K49" i="26" s="1"/>
  <c r="E54" i="16"/>
  <c r="P50" i="16" s="1"/>
  <c r="C51" i="16"/>
  <c r="N49" i="16" s="1"/>
  <c r="E51" i="16"/>
  <c r="P49" i="16"/>
  <c r="E57" i="16"/>
  <c r="P51" i="16" s="1"/>
  <c r="E80" i="16"/>
  <c r="C80" i="16"/>
  <c r="C81" i="16" s="1"/>
  <c r="E77" i="16"/>
  <c r="C77" i="16"/>
  <c r="C78" i="16" s="1"/>
  <c r="E65" i="16"/>
  <c r="E62" i="16"/>
  <c r="E59" i="16"/>
  <c r="C65" i="16"/>
  <c r="C66" i="16" s="1"/>
  <c r="C62" i="16"/>
  <c r="C63" i="16" s="1"/>
  <c r="C59" i="16"/>
  <c r="C60" i="16" s="1"/>
  <c r="E27" i="26" l="1"/>
  <c r="L49" i="26"/>
  <c r="E81" i="16"/>
  <c r="P59" i="16" s="1"/>
  <c r="E66" i="16"/>
  <c r="P54" i="16" s="1"/>
  <c r="E60" i="16"/>
  <c r="P52" i="16" s="1"/>
  <c r="E78" i="16"/>
  <c r="P58" i="16" s="1"/>
  <c r="E63" i="16"/>
  <c r="P53" i="16" s="1"/>
  <c r="F41" i="16"/>
  <c r="F40" i="16"/>
  <c r="C38" i="17"/>
  <c r="C41" i="17"/>
  <c r="P60" i="16" l="1"/>
  <c r="E47" i="26" s="1"/>
  <c r="G40" i="16"/>
  <c r="C318" i="36" s="1"/>
  <c r="C320" i="36" s="1"/>
  <c r="C321" i="36" s="1"/>
  <c r="J40" i="16" s="1"/>
  <c r="G41" i="16"/>
  <c r="D318" i="36" s="1"/>
  <c r="D320" i="36" s="1"/>
  <c r="D321" i="36" s="1"/>
  <c r="J41" i="16" s="1"/>
  <c r="L49" i="16"/>
  <c r="G23" i="25" s="1"/>
  <c r="H23" i="25" s="1"/>
  <c r="J49" i="16"/>
  <c r="D20" i="34" s="1"/>
  <c r="AT22" i="25"/>
  <c r="C48" i="17"/>
  <c r="C45" i="17"/>
  <c r="C44" i="17"/>
  <c r="B312" i="36" l="1"/>
  <c r="G312" i="36"/>
  <c r="T12" i="34"/>
  <c r="T11" i="34"/>
  <c r="S23" i="25"/>
  <c r="T23" i="25" s="1"/>
  <c r="M23" i="25"/>
  <c r="N23" i="25" s="1"/>
  <c r="AM23" i="25" s="1"/>
  <c r="A23" i="25"/>
  <c r="AI37" i="25"/>
  <c r="C15" i="26"/>
  <c r="F28" i="26"/>
  <c r="F27" i="26"/>
  <c r="F26" i="26"/>
  <c r="F25" i="26"/>
  <c r="H25" i="26" s="1"/>
  <c r="J25" i="26" s="1"/>
  <c r="F24" i="26"/>
  <c r="H24" i="26" s="1"/>
  <c r="J24" i="26" s="1"/>
  <c r="F23" i="26"/>
  <c r="H23" i="26" s="1"/>
  <c r="J23" i="26" s="1"/>
  <c r="G155" i="36" l="1"/>
  <c r="H155" i="36" s="1"/>
  <c r="H300" i="36" s="1"/>
  <c r="G61" i="36"/>
  <c r="H61" i="36" s="1"/>
  <c r="H294" i="36" s="1"/>
  <c r="G203" i="36"/>
  <c r="H203" i="36" s="1"/>
  <c r="H303" i="36" s="1"/>
  <c r="G15" i="36"/>
  <c r="H15" i="36" s="1"/>
  <c r="H291" i="36" s="1"/>
  <c r="G251" i="36"/>
  <c r="H251" i="36" s="1"/>
  <c r="H306" i="36" s="1"/>
  <c r="G171" i="36"/>
  <c r="H171" i="36" s="1"/>
  <c r="H301" i="36" s="1"/>
  <c r="G46" i="36"/>
  <c r="H46" i="36" s="1"/>
  <c r="H293" i="36" s="1"/>
  <c r="G92" i="36"/>
  <c r="H92" i="36" s="1"/>
  <c r="H296" i="36" s="1"/>
  <c r="G123" i="36"/>
  <c r="H123" i="36" s="1"/>
  <c r="H298" i="36" s="1"/>
  <c r="G108" i="36"/>
  <c r="H108" i="36" s="1"/>
  <c r="H297" i="36" s="1"/>
  <c r="G219" i="36"/>
  <c r="H219" i="36" s="1"/>
  <c r="H304" i="36" s="1"/>
  <c r="G31" i="36"/>
  <c r="H31" i="36" s="1"/>
  <c r="H292" i="36" s="1"/>
  <c r="G139" i="36"/>
  <c r="H139" i="36" s="1"/>
  <c r="H299" i="36" s="1"/>
  <c r="G187" i="36"/>
  <c r="H187" i="36" s="1"/>
  <c r="H302" i="36" s="1"/>
  <c r="G283" i="36"/>
  <c r="H283" i="36" s="1"/>
  <c r="H308" i="36" s="1"/>
  <c r="G77" i="36"/>
  <c r="H77" i="36" s="1"/>
  <c r="H295" i="36" s="1"/>
  <c r="G235" i="36"/>
  <c r="H235" i="36" s="1"/>
  <c r="H305" i="36" s="1"/>
  <c r="G267" i="36"/>
  <c r="H267" i="36" s="1"/>
  <c r="H307" i="36" s="1"/>
  <c r="H309" i="36" s="1"/>
  <c r="H312" i="36" s="1"/>
  <c r="G314" i="36" s="1"/>
  <c r="H41" i="16" s="1"/>
  <c r="R12" i="34" s="1"/>
  <c r="B155" i="36"/>
  <c r="C155" i="36" s="1"/>
  <c r="C300" i="36" s="1"/>
  <c r="C309" i="36" s="1"/>
  <c r="C312" i="36" s="1"/>
  <c r="B314" i="36" s="1"/>
  <c r="H40" i="16" s="1"/>
  <c r="R11" i="34" s="1"/>
  <c r="B61" i="36"/>
  <c r="C61" i="36" s="1"/>
  <c r="C294" i="36" s="1"/>
  <c r="B77" i="36"/>
  <c r="C77" i="36" s="1"/>
  <c r="C295" i="36" s="1"/>
  <c r="B203" i="36"/>
  <c r="C203" i="36" s="1"/>
  <c r="C303" i="36" s="1"/>
  <c r="B15" i="36"/>
  <c r="C15" i="36" s="1"/>
  <c r="C291" i="36" s="1"/>
  <c r="B139" i="36"/>
  <c r="C139" i="36" s="1"/>
  <c r="C299" i="36" s="1"/>
  <c r="B187" i="36"/>
  <c r="C187" i="36" s="1"/>
  <c r="C302" i="36" s="1"/>
  <c r="B251" i="36"/>
  <c r="C251" i="36" s="1"/>
  <c r="C306" i="36" s="1"/>
  <c r="B123" i="36"/>
  <c r="C123" i="36" s="1"/>
  <c r="C298" i="36" s="1"/>
  <c r="B235" i="36"/>
  <c r="C235" i="36" s="1"/>
  <c r="C305" i="36" s="1"/>
  <c r="B171" i="36"/>
  <c r="C171" i="36" s="1"/>
  <c r="C301" i="36" s="1"/>
  <c r="B108" i="36"/>
  <c r="C108" i="36" s="1"/>
  <c r="C297" i="36" s="1"/>
  <c r="B46" i="36"/>
  <c r="C46" i="36" s="1"/>
  <c r="C293" i="36" s="1"/>
  <c r="B283" i="36"/>
  <c r="C283" i="36" s="1"/>
  <c r="C308" i="36" s="1"/>
  <c r="B219" i="36"/>
  <c r="C219" i="36" s="1"/>
  <c r="C304" i="36" s="1"/>
  <c r="B92" i="36"/>
  <c r="C92" i="36" s="1"/>
  <c r="C296" i="36" s="1"/>
  <c r="B31" i="36"/>
  <c r="C31" i="36" s="1"/>
  <c r="C292" i="36" s="1"/>
  <c r="B267" i="36"/>
  <c r="C267" i="36" s="1"/>
  <c r="C307" i="36" s="1"/>
  <c r="AK37" i="25"/>
  <c r="AH37" i="25"/>
  <c r="AJ37" i="25"/>
  <c r="AJ23" i="25"/>
  <c r="AH23" i="25"/>
  <c r="AI23" i="25"/>
  <c r="B23" i="25"/>
  <c r="H26" i="26"/>
  <c r="J26" i="26" s="1"/>
  <c r="L26" i="26" s="1"/>
  <c r="H28" i="26"/>
  <c r="J28" i="26" s="1"/>
  <c r="L28" i="26" s="1"/>
  <c r="H27" i="26"/>
  <c r="J27" i="26" s="1"/>
  <c r="K27" i="26" s="1"/>
  <c r="K23" i="26"/>
  <c r="L23" i="26"/>
  <c r="L24" i="26"/>
  <c r="K24" i="26"/>
  <c r="L25" i="26"/>
  <c r="K25" i="26"/>
  <c r="AE23" i="25" l="1"/>
  <c r="AP37" i="25"/>
  <c r="AO23" i="25"/>
  <c r="AP23" i="25"/>
  <c r="AN23" i="25"/>
  <c r="AM37" i="25"/>
  <c r="AK23" i="25"/>
  <c r="AO37" i="25"/>
  <c r="AL37" i="25"/>
  <c r="AL23" i="25"/>
  <c r="AN37" i="25"/>
  <c r="AG37" i="25"/>
  <c r="AF37" i="25"/>
  <c r="AE37" i="25"/>
  <c r="AG23" i="25"/>
  <c r="AF23" i="25"/>
  <c r="K28" i="26"/>
  <c r="K26" i="26"/>
  <c r="L27" i="26"/>
  <c r="G16" i="18"/>
  <c r="F18" i="26"/>
  <c r="AT37" i="25" l="1"/>
  <c r="AT23" i="25"/>
  <c r="F21" i="26"/>
  <c r="F20" i="26"/>
  <c r="C17" i="17" l="1"/>
  <c r="C20" i="17"/>
  <c r="I57" i="17"/>
  <c r="F23" i="17"/>
  <c r="F22" i="26"/>
  <c r="H22" i="26" s="1"/>
  <c r="J22" i="26" s="1"/>
  <c r="H20" i="26"/>
  <c r="J20" i="26" s="1"/>
  <c r="C4" i="21"/>
  <c r="N59" i="16"/>
  <c r="N58" i="16"/>
  <c r="N57" i="16"/>
  <c r="N56" i="16"/>
  <c r="N55" i="16"/>
  <c r="N54" i="16"/>
  <c r="N53" i="16"/>
  <c r="N52" i="16"/>
  <c r="N51" i="16"/>
  <c r="N50" i="16"/>
  <c r="L50" i="16"/>
  <c r="L51" i="16"/>
  <c r="L52" i="16"/>
  <c r="L53" i="16"/>
  <c r="L54" i="16"/>
  <c r="L55" i="16"/>
  <c r="L56" i="16"/>
  <c r="L57" i="16"/>
  <c r="L58" i="16"/>
  <c r="L59" i="16"/>
  <c r="J59" i="16"/>
  <c r="J58" i="16"/>
  <c r="J57" i="16"/>
  <c r="E28" i="18" s="1"/>
  <c r="J56" i="16"/>
  <c r="E27" i="18" s="1"/>
  <c r="J55" i="16"/>
  <c r="E26" i="18" s="1"/>
  <c r="J54" i="16"/>
  <c r="J53" i="16"/>
  <c r="J52" i="16"/>
  <c r="J51" i="16"/>
  <c r="J50" i="16"/>
  <c r="E20" i="18"/>
  <c r="H59" i="16"/>
  <c r="H58" i="16"/>
  <c r="H57" i="16"/>
  <c r="B28" i="18" s="1"/>
  <c r="H56" i="16"/>
  <c r="B27" i="18" s="1"/>
  <c r="H55" i="16"/>
  <c r="B26" i="18" s="1"/>
  <c r="H54" i="16"/>
  <c r="A25" i="34" s="1"/>
  <c r="H53" i="16"/>
  <c r="A24" i="34" s="1"/>
  <c r="H52" i="16"/>
  <c r="A23" i="34" s="1"/>
  <c r="H51" i="16"/>
  <c r="H50" i="16"/>
  <c r="E3" i="21"/>
  <c r="F11" i="18"/>
  <c r="C33" i="17"/>
  <c r="C32" i="17"/>
  <c r="C30" i="17"/>
  <c r="C29" i="17"/>
  <c r="C14" i="17"/>
  <c r="C11" i="17"/>
  <c r="F10" i="18"/>
  <c r="F3" i="18" s="1"/>
  <c r="C2" i="17"/>
  <c r="H6" i="16"/>
  <c r="F6" i="16"/>
  <c r="E6" i="16"/>
  <c r="A21" i="34" l="1"/>
  <c r="J79" i="26"/>
  <c r="K79" i="26" s="1"/>
  <c r="G76" i="26"/>
  <c r="G86" i="26"/>
  <c r="H86" i="26" s="1"/>
  <c r="K89" i="26" s="1"/>
  <c r="N60" i="16"/>
  <c r="E53" i="26" s="1"/>
  <c r="H53" i="26" s="1"/>
  <c r="J53" i="26" s="1"/>
  <c r="G33" i="25"/>
  <c r="S33" i="25"/>
  <c r="M33" i="25"/>
  <c r="G32" i="25"/>
  <c r="M32" i="25"/>
  <c r="S32" i="25"/>
  <c r="F8" i="18"/>
  <c r="F8" i="34"/>
  <c r="F7" i="18"/>
  <c r="F7" i="34"/>
  <c r="F6" i="18"/>
  <c r="F6" i="34"/>
  <c r="F5" i="18"/>
  <c r="F5" i="34"/>
  <c r="F2" i="18"/>
  <c r="F2" i="34"/>
  <c r="E25" i="18"/>
  <c r="D25" i="34"/>
  <c r="E21" i="18"/>
  <c r="D21" i="34"/>
  <c r="B22" i="18"/>
  <c r="A22" i="34"/>
  <c r="E23" i="18"/>
  <c r="D23" i="34"/>
  <c r="E24" i="18"/>
  <c r="D24" i="34"/>
  <c r="E22" i="18"/>
  <c r="D22" i="34"/>
  <c r="G31" i="25"/>
  <c r="S31" i="25"/>
  <c r="M31" i="25"/>
  <c r="G30" i="25"/>
  <c r="S30" i="25"/>
  <c r="M30" i="25"/>
  <c r="S29" i="25"/>
  <c r="M29" i="25"/>
  <c r="M28" i="25"/>
  <c r="S28" i="25"/>
  <c r="M27" i="25"/>
  <c r="S27" i="25"/>
  <c r="S26" i="25"/>
  <c r="M26" i="25"/>
  <c r="S25" i="25"/>
  <c r="M25" i="25"/>
  <c r="M24" i="25"/>
  <c r="S24" i="25"/>
  <c r="K90" i="26"/>
  <c r="A33" i="25"/>
  <c r="B33" i="25" s="1"/>
  <c r="A32" i="25"/>
  <c r="B32" i="25" s="1"/>
  <c r="A31" i="25"/>
  <c r="B31" i="25" s="1"/>
  <c r="A30" i="25"/>
  <c r="B30" i="25" s="1"/>
  <c r="A29" i="25"/>
  <c r="B29" i="25" s="1"/>
  <c r="G29" i="25"/>
  <c r="G28" i="25"/>
  <c r="A28" i="25"/>
  <c r="B28" i="25" s="1"/>
  <c r="G24" i="25"/>
  <c r="A24" i="25"/>
  <c r="B24" i="25" s="1"/>
  <c r="G26" i="25"/>
  <c r="A26" i="25"/>
  <c r="B26" i="25" s="1"/>
  <c r="G25" i="25"/>
  <c r="A25" i="25"/>
  <c r="B25" i="25" s="1"/>
  <c r="A27" i="25"/>
  <c r="B27" i="25" s="1"/>
  <c r="G27" i="25"/>
  <c r="T12" i="18"/>
  <c r="B24" i="18"/>
  <c r="B25" i="18"/>
  <c r="B23" i="18"/>
  <c r="B21" i="18"/>
  <c r="H21" i="26"/>
  <c r="J21" i="26" s="1"/>
  <c r="L21" i="26" s="1"/>
  <c r="L20" i="26"/>
  <c r="K20" i="26"/>
  <c r="L22" i="26"/>
  <c r="K22" i="26"/>
  <c r="B20" i="18"/>
  <c r="T11" i="18"/>
  <c r="H76" i="26" l="1"/>
  <c r="K88" i="26" s="1"/>
  <c r="K53" i="26"/>
  <c r="L53" i="26"/>
  <c r="E18" i="26"/>
  <c r="H18" i="26" s="1"/>
  <c r="J18" i="26" s="1"/>
  <c r="K18" i="26" s="1"/>
  <c r="H47" i="26"/>
  <c r="J47" i="26" s="1"/>
  <c r="N33" i="25"/>
  <c r="AM47" i="25" s="1"/>
  <c r="H32" i="25"/>
  <c r="AH46" i="25" s="1"/>
  <c r="T32" i="25"/>
  <c r="AN46" i="25" s="1"/>
  <c r="T33" i="25"/>
  <c r="AO47" i="25" s="1"/>
  <c r="N32" i="25"/>
  <c r="H33" i="25"/>
  <c r="H28" i="25"/>
  <c r="AI42" i="25" s="1"/>
  <c r="T28" i="25"/>
  <c r="AP42" i="25" s="1"/>
  <c r="N28" i="25"/>
  <c r="AM42" i="25" s="1"/>
  <c r="H25" i="25"/>
  <c r="AI39" i="25" s="1"/>
  <c r="H24" i="25"/>
  <c r="AI38" i="25" s="1"/>
  <c r="N25" i="25"/>
  <c r="AM39" i="25" s="1"/>
  <c r="T27" i="25"/>
  <c r="AP41" i="25" s="1"/>
  <c r="H27" i="25"/>
  <c r="AI41" i="25" s="1"/>
  <c r="T25" i="25"/>
  <c r="AP39" i="25" s="1"/>
  <c r="N27" i="25"/>
  <c r="AM41" i="25" s="1"/>
  <c r="H26" i="25"/>
  <c r="AI40" i="25" s="1"/>
  <c r="T24" i="25"/>
  <c r="AP38" i="25" s="1"/>
  <c r="N26" i="25"/>
  <c r="AM40" i="25" s="1"/>
  <c r="N24" i="25"/>
  <c r="AM38" i="25" s="1"/>
  <c r="T26" i="25"/>
  <c r="AP40" i="25" s="1"/>
  <c r="H30" i="25"/>
  <c r="AI44" i="25" s="1"/>
  <c r="N30" i="25"/>
  <c r="AM44" i="25" s="1"/>
  <c r="T31" i="25"/>
  <c r="AP45" i="25" s="1"/>
  <c r="H29" i="25"/>
  <c r="AI43" i="25" s="1"/>
  <c r="T30" i="25"/>
  <c r="AP44" i="25" s="1"/>
  <c r="H31" i="25"/>
  <c r="AI45" i="25" s="1"/>
  <c r="N29" i="25"/>
  <c r="AM43" i="25" s="1"/>
  <c r="T29" i="25"/>
  <c r="AP43" i="25" s="1"/>
  <c r="N31" i="25"/>
  <c r="AM45" i="25" s="1"/>
  <c r="AF41" i="25"/>
  <c r="AG41" i="25"/>
  <c r="AE41" i="25"/>
  <c r="AE39" i="25"/>
  <c r="AG39" i="25"/>
  <c r="AF39" i="25"/>
  <c r="AE38" i="25"/>
  <c r="AF38" i="25"/>
  <c r="AG38" i="25"/>
  <c r="AE46" i="25"/>
  <c r="AF46" i="25"/>
  <c r="AG46" i="25"/>
  <c r="AF45" i="25"/>
  <c r="AE45" i="25"/>
  <c r="AG45" i="25"/>
  <c r="AE43" i="25"/>
  <c r="AG43" i="25"/>
  <c r="AF43" i="25"/>
  <c r="AG47" i="25"/>
  <c r="AE47" i="25"/>
  <c r="AF47" i="25"/>
  <c r="AG40" i="25"/>
  <c r="AF40" i="25"/>
  <c r="AE40" i="25"/>
  <c r="AE42" i="25"/>
  <c r="AF42" i="25"/>
  <c r="AG42" i="25"/>
  <c r="AG44" i="25"/>
  <c r="AE44" i="25"/>
  <c r="AF44" i="25"/>
  <c r="AG27" i="25"/>
  <c r="AG24" i="25"/>
  <c r="AG32" i="25"/>
  <c r="AG31" i="25"/>
  <c r="AG25" i="25"/>
  <c r="AG29" i="25"/>
  <c r="AG33" i="25"/>
  <c r="AG26" i="25"/>
  <c r="AG28" i="25"/>
  <c r="AG30" i="25"/>
  <c r="AE28" i="25"/>
  <c r="AF28" i="25"/>
  <c r="AE27" i="25"/>
  <c r="AF27" i="25"/>
  <c r="AE31" i="25"/>
  <c r="AF31" i="25"/>
  <c r="AE26" i="25"/>
  <c r="AF26" i="25"/>
  <c r="AE25" i="25"/>
  <c r="AF25" i="25"/>
  <c r="AE24" i="25"/>
  <c r="AF24" i="25"/>
  <c r="AE32" i="25"/>
  <c r="AF32" i="25"/>
  <c r="AE30" i="25"/>
  <c r="AF30" i="25"/>
  <c r="AE29" i="25"/>
  <c r="AF29" i="25"/>
  <c r="AE33" i="25"/>
  <c r="AF33" i="25"/>
  <c r="R12" i="18"/>
  <c r="R11" i="18"/>
  <c r="K21" i="26"/>
  <c r="K94" i="26" l="1"/>
  <c r="I30" i="18" s="1"/>
  <c r="L18" i="26"/>
  <c r="K47" i="26"/>
  <c r="L47" i="26"/>
  <c r="AI46" i="25"/>
  <c r="AL47" i="25"/>
  <c r="AO46" i="25"/>
  <c r="AI33" i="25"/>
  <c r="AJ33" i="25"/>
  <c r="AH33" i="25"/>
  <c r="AL32" i="25"/>
  <c r="AK32" i="25"/>
  <c r="AM32" i="25"/>
  <c r="AJ47" i="25"/>
  <c r="AL46" i="25"/>
  <c r="AT46" i="25" s="1"/>
  <c r="AN47" i="25"/>
  <c r="AJ46" i="25"/>
  <c r="AK47" i="25"/>
  <c r="AH47" i="25"/>
  <c r="AK46" i="25"/>
  <c r="AP46" i="25"/>
  <c r="AN32" i="25"/>
  <c r="AO32" i="25"/>
  <c r="AP32" i="25"/>
  <c r="AI47" i="25"/>
  <c r="AM46" i="25"/>
  <c r="AP47" i="25"/>
  <c r="AO33" i="25"/>
  <c r="AP33" i="25"/>
  <c r="AN33" i="25"/>
  <c r="AH32" i="25"/>
  <c r="AI32" i="25"/>
  <c r="AJ32" i="25"/>
  <c r="AL33" i="25"/>
  <c r="AK33" i="25"/>
  <c r="AM33" i="25"/>
  <c r="AO28" i="25"/>
  <c r="AN28" i="25"/>
  <c r="AJ24" i="25"/>
  <c r="AP28" i="25"/>
  <c r="AL27" i="25"/>
  <c r="AH27" i="25"/>
  <c r="AK24" i="25"/>
  <c r="AL24" i="25"/>
  <c r="AO26" i="25"/>
  <c r="AI26" i="25"/>
  <c r="AJ27" i="25"/>
  <c r="AO24" i="25"/>
  <c r="AL38" i="25"/>
  <c r="AH40" i="25"/>
  <c r="AJ41" i="25"/>
  <c r="AH38" i="25"/>
  <c r="AO27" i="25"/>
  <c r="AP27" i="25"/>
  <c r="AN26" i="25"/>
  <c r="AP26" i="25"/>
  <c r="AP24" i="25"/>
  <c r="AN27" i="25"/>
  <c r="AN40" i="25"/>
  <c r="AN41" i="25"/>
  <c r="AK25" i="25"/>
  <c r="AN42" i="25"/>
  <c r="AI27" i="25"/>
  <c r="AK28" i="25"/>
  <c r="AH26" i="25"/>
  <c r="AL28" i="25"/>
  <c r="AL42" i="25"/>
  <c r="AM26" i="25"/>
  <c r="AK26" i="25"/>
  <c r="AN24" i="25"/>
  <c r="AL40" i="25"/>
  <c r="AN38" i="25"/>
  <c r="AK39" i="25"/>
  <c r="AM28" i="25"/>
  <c r="AJ42" i="25"/>
  <c r="AL26" i="25"/>
  <c r="AK38" i="25"/>
  <c r="AK40" i="25"/>
  <c r="AO38" i="25"/>
  <c r="AO41" i="25"/>
  <c r="AK42" i="25"/>
  <c r="AO42" i="25"/>
  <c r="AH42" i="25"/>
  <c r="AH25" i="25"/>
  <c r="AJ25" i="25"/>
  <c r="AN25" i="25"/>
  <c r="AM27" i="25"/>
  <c r="AI25" i="25"/>
  <c r="AI24" i="25"/>
  <c r="AL25" i="25"/>
  <c r="AP25" i="25"/>
  <c r="AO40" i="25"/>
  <c r="AL41" i="25"/>
  <c r="AO39" i="25"/>
  <c r="AH41" i="25"/>
  <c r="AM25" i="25"/>
  <c r="AJ39" i="25"/>
  <c r="AH24" i="25"/>
  <c r="AJ26" i="25"/>
  <c r="AK27" i="25"/>
  <c r="AO25" i="25"/>
  <c r="AM24" i="25"/>
  <c r="AJ40" i="25"/>
  <c r="AK41" i="25"/>
  <c r="AN39" i="25"/>
  <c r="AL39" i="25"/>
  <c r="AJ38" i="25"/>
  <c r="AH39" i="25"/>
  <c r="AK44" i="25"/>
  <c r="AN43" i="25"/>
  <c r="AO43" i="25"/>
  <c r="AL45" i="25"/>
  <c r="AH43" i="25"/>
  <c r="AK45" i="25"/>
  <c r="AN45" i="25"/>
  <c r="AL43" i="25"/>
  <c r="AJ43" i="25"/>
  <c r="AO45" i="25"/>
  <c r="AJ45" i="25"/>
  <c r="AO44" i="25"/>
  <c r="AJ44" i="25"/>
  <c r="AK43" i="25"/>
  <c r="AH45" i="25"/>
  <c r="AN44" i="25"/>
  <c r="AL44" i="25"/>
  <c r="AH44" i="25"/>
  <c r="AH31" i="25"/>
  <c r="AJ30" i="25"/>
  <c r="AI30" i="25"/>
  <c r="AP30" i="25"/>
  <c r="AH30" i="25"/>
  <c r="AN30" i="25"/>
  <c r="AO29" i="25"/>
  <c r="AK31" i="25"/>
  <c r="AK29" i="25"/>
  <c r="AK30" i="25"/>
  <c r="AN29" i="25"/>
  <c r="AM31" i="25"/>
  <c r="AL31" i="25"/>
  <c r="AL29" i="25"/>
  <c r="AL30" i="25"/>
  <c r="AP29" i="25"/>
  <c r="AO31" i="25"/>
  <c r="AI31" i="25"/>
  <c r="AO30" i="25"/>
  <c r="AM30" i="25"/>
  <c r="AJ31" i="25"/>
  <c r="AN31" i="25"/>
  <c r="AP31" i="25"/>
  <c r="AM29" i="25"/>
  <c r="AH29" i="25"/>
  <c r="AI29" i="25"/>
  <c r="AJ29" i="25"/>
  <c r="AI28" i="25"/>
  <c r="AJ28" i="25"/>
  <c r="AH28" i="25"/>
  <c r="Q49" i="16"/>
  <c r="AT41" i="25" l="1"/>
  <c r="AT44" i="25"/>
  <c r="AT31" i="25"/>
  <c r="AT40" i="25"/>
  <c r="AT30" i="25"/>
  <c r="AT42" i="25"/>
  <c r="AT28" i="25"/>
  <c r="AT33" i="25"/>
  <c r="Q59" i="16" s="1"/>
  <c r="S59" i="16" s="1"/>
  <c r="AT38" i="25"/>
  <c r="AT25" i="25"/>
  <c r="Q51" i="16" s="1"/>
  <c r="AT27" i="25"/>
  <c r="Q53" i="16" s="1"/>
  <c r="I24" i="34" s="1"/>
  <c r="N24" i="34" s="1"/>
  <c r="S24" i="34" s="1"/>
  <c r="AT43" i="25"/>
  <c r="AT29" i="25"/>
  <c r="AT45" i="25"/>
  <c r="AT26" i="25"/>
  <c r="AT24" i="25"/>
  <c r="Q50" i="16" s="1"/>
  <c r="I21" i="34" s="1"/>
  <c r="N21" i="34" s="1"/>
  <c r="S21" i="34" s="1"/>
  <c r="AT32" i="25"/>
  <c r="AT39" i="25"/>
  <c r="AT47" i="25"/>
  <c r="S49" i="16"/>
  <c r="I20" i="34"/>
  <c r="N20" i="34" s="1"/>
  <c r="S20" i="34" s="1"/>
  <c r="J20" i="18"/>
  <c r="O20" i="18" s="1"/>
  <c r="AT48" i="25" l="1"/>
  <c r="E19" i="26" s="1"/>
  <c r="J22" i="18"/>
  <c r="O22" i="18" s="1"/>
  <c r="I22" i="34"/>
  <c r="N22" i="34" s="1"/>
  <c r="S22" i="34" s="1"/>
  <c r="S51" i="16"/>
  <c r="Q52" i="16"/>
  <c r="J24" i="18"/>
  <c r="O24" i="18" s="1"/>
  <c r="S53" i="16"/>
  <c r="Q57" i="16"/>
  <c r="Q55" i="16"/>
  <c r="Q54" i="16"/>
  <c r="I25" i="34" s="1"/>
  <c r="N25" i="34" s="1"/>
  <c r="S25" i="34" s="1"/>
  <c r="Q58" i="16"/>
  <c r="S58" i="16" s="1"/>
  <c r="Q56" i="16"/>
  <c r="J21" i="18"/>
  <c r="O21" i="18" s="1"/>
  <c r="S50" i="16"/>
  <c r="E45" i="26" l="1"/>
  <c r="H45" i="26" s="1"/>
  <c r="J45" i="26" s="1"/>
  <c r="L45" i="26" s="1"/>
  <c r="L54" i="26" s="1"/>
  <c r="S55" i="16"/>
  <c r="J26" i="18"/>
  <c r="O26" i="18" s="1"/>
  <c r="S56" i="16"/>
  <c r="J27" i="18"/>
  <c r="O27" i="18" s="1"/>
  <c r="S57" i="16"/>
  <c r="J28" i="18"/>
  <c r="O28" i="18" s="1"/>
  <c r="J23" i="18"/>
  <c r="O23" i="18" s="1"/>
  <c r="I23" i="34"/>
  <c r="N23" i="34" s="1"/>
  <c r="S23" i="34" s="1"/>
  <c r="H19" i="26"/>
  <c r="J19" i="26" s="1"/>
  <c r="S52" i="16"/>
  <c r="S54" i="16"/>
  <c r="J25" i="18"/>
  <c r="O25" i="18" s="1"/>
  <c r="K45" i="26" l="1"/>
  <c r="J54" i="26" s="1"/>
  <c r="J55" i="26" s="1"/>
  <c r="J56" i="26" s="1"/>
  <c r="J57" i="26" s="1"/>
  <c r="J58" i="26" s="1"/>
  <c r="J59" i="26" s="1"/>
  <c r="K19" i="26"/>
  <c r="J29" i="26" s="1"/>
  <c r="J30" i="26" s="1"/>
  <c r="L19" i="26"/>
  <c r="L29" i="26" s="1"/>
  <c r="J31" i="26" l="1"/>
  <c r="J32" i="26" s="1"/>
  <c r="J33" i="26" s="1"/>
  <c r="J34" i="26" s="1"/>
  <c r="I27" i="34" l="1"/>
</calcChain>
</file>

<file path=xl/sharedStrings.xml><?xml version="1.0" encoding="utf-8"?>
<sst xmlns="http://schemas.openxmlformats.org/spreadsheetml/2006/main" count="1371" uniqueCount="457">
  <si>
    <t>Repeatability</t>
  </si>
  <si>
    <t>mm</t>
  </si>
  <si>
    <t>Satuan</t>
  </si>
  <si>
    <t>Daya baca alat</t>
  </si>
  <si>
    <t>Nama Alat</t>
  </si>
  <si>
    <t>Tanggal Kalibrasi</t>
  </si>
  <si>
    <t>Tempat Kalibrasi</t>
  </si>
  <si>
    <t>Koreksi</t>
  </si>
  <si>
    <t>:</t>
  </si>
  <si>
    <t>Distribusi</t>
  </si>
  <si>
    <t>normal</t>
  </si>
  <si>
    <t>rect.</t>
  </si>
  <si>
    <t>±</t>
  </si>
  <si>
    <t>Standar yang digunakan</t>
  </si>
  <si>
    <t>Certificate Number</t>
  </si>
  <si>
    <t>Page</t>
  </si>
  <si>
    <t>Nomor Sertifikat</t>
  </si>
  <si>
    <t>Date of Issue</t>
  </si>
  <si>
    <t>INSTRUMENT DETAILS</t>
  </si>
  <si>
    <t>IDENTITAS ALAT</t>
  </si>
  <si>
    <t>Merek Pabrik</t>
  </si>
  <si>
    <t>PRINCIPAL IDENTIFICATION</t>
  </si>
  <si>
    <t>IDENTITAS PEMILIK</t>
  </si>
  <si>
    <t>Designation</t>
  </si>
  <si>
    <t>Nama</t>
  </si>
  <si>
    <t>Address</t>
  </si>
  <si>
    <t>Alamat</t>
  </si>
  <si>
    <t>CALIBRATION METHOD AND STANDARD</t>
  </si>
  <si>
    <t>METODE DAN STANDAR KALIBRASI</t>
  </si>
  <si>
    <t>Calibration Method</t>
  </si>
  <si>
    <t>Metode Kalibrasi</t>
  </si>
  <si>
    <t>Reference</t>
  </si>
  <si>
    <t>Acuan</t>
  </si>
  <si>
    <t>Reference Standard</t>
  </si>
  <si>
    <t>Standar Kalibrasi</t>
  </si>
  <si>
    <t>Traceability</t>
  </si>
  <si>
    <t>Disetujui oleh,</t>
  </si>
  <si>
    <t>of</t>
  </si>
  <si>
    <t>dari</t>
  </si>
  <si>
    <t>Correction</t>
  </si>
  <si>
    <t>Note :</t>
  </si>
  <si>
    <t>CALIBRATION RESULT</t>
  </si>
  <si>
    <t>Standar</t>
  </si>
  <si>
    <t>September</t>
  </si>
  <si>
    <t>PAS</t>
  </si>
  <si>
    <t>09</t>
  </si>
  <si>
    <t>No. Sertifikat</t>
  </si>
  <si>
    <t>%</t>
  </si>
  <si>
    <t>01</t>
  </si>
  <si>
    <t>Januari</t>
  </si>
  <si>
    <t>02</t>
  </si>
  <si>
    <t>Februari</t>
  </si>
  <si>
    <t>03</t>
  </si>
  <si>
    <t>Maret</t>
  </si>
  <si>
    <t>04</t>
  </si>
  <si>
    <t>April</t>
  </si>
  <si>
    <t>05</t>
  </si>
  <si>
    <t>Mei</t>
  </si>
  <si>
    <t>06</t>
  </si>
  <si>
    <t>07</t>
  </si>
  <si>
    <t>Juli</t>
  </si>
  <si>
    <t>08</t>
  </si>
  <si>
    <t>Agustus</t>
  </si>
  <si>
    <t>10</t>
  </si>
  <si>
    <t>Oktober</t>
  </si>
  <si>
    <t>11</t>
  </si>
  <si>
    <t>November</t>
  </si>
  <si>
    <t>12</t>
  </si>
  <si>
    <t>Desember</t>
  </si>
  <si>
    <t>Hal.</t>
  </si>
  <si>
    <t>Kondisi Tempat Kalibrasi</t>
  </si>
  <si>
    <t>Tipe / No. Seri</t>
  </si>
  <si>
    <t>HASIL KALIBRASI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</si>
  <si>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</si>
  <si>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</si>
  <si>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Manufacture</t>
  </si>
  <si>
    <t>Tipe / Nomor Seri</t>
  </si>
  <si>
    <t>Kapasitas / Resolusi</t>
  </si>
  <si>
    <t>Ketertelusuran</t>
  </si>
  <si>
    <t>Approved,</t>
  </si>
  <si>
    <t>Merk</t>
  </si>
  <si>
    <t>21</t>
  </si>
  <si>
    <t>24</t>
  </si>
  <si>
    <t>27</t>
  </si>
  <si>
    <t>26</t>
  </si>
  <si>
    <t>MERK</t>
  </si>
  <si>
    <t>TANGGAL KALIBRASI</t>
  </si>
  <si>
    <t>TEMPAT KALIBRASI</t>
  </si>
  <si>
    <t>KOREKSI</t>
  </si>
  <si>
    <t>13</t>
  </si>
  <si>
    <t>14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</si>
  <si>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</si>
  <si>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</si>
  <si>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</si>
  <si>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</si>
  <si>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</si>
  <si>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</si>
  <si>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</si>
  <si>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</si>
  <si>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</si>
  <si>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28</t>
  </si>
  <si>
    <t>29</t>
  </si>
  <si>
    <t>30</t>
  </si>
  <si>
    <t>31</t>
  </si>
  <si>
    <t>Tambahkan nama alat pada kolom berikut jika belum tercantum pada pilihan diatas.</t>
  </si>
  <si>
    <t>NOMOR SERI</t>
  </si>
  <si>
    <t>*  Perhitungan ketidakpastian pengukuran mengacu ke ISO GUM 2008.</t>
  </si>
  <si>
    <t xml:space="preserve">    Calculation of measurement uncertainty refers to ISO GUM 2008.</t>
  </si>
  <si>
    <t>STDEV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</si>
  <si>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</si>
  <si>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</si>
  <si>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</si>
  <si>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</si>
  <si>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</si>
  <si>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</si>
  <si>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</si>
  <si>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</si>
  <si>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</si>
  <si>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</si>
  <si>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</si>
  <si>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UNCERTAINTY BUDGET SEBAGAI PENDUKUNG KLAIM CMC</t>
  </si>
  <si>
    <t>Besaran yang diukur</t>
  </si>
  <si>
    <t>Jenis alat yang dikalibrasi</t>
  </si>
  <si>
    <t>Model matematis pengukuran</t>
  </si>
  <si>
    <t>Rentang ukur</t>
  </si>
  <si>
    <t>Komponen</t>
  </si>
  <si>
    <t>u</t>
  </si>
  <si>
    <t>Pembagi</t>
  </si>
  <si>
    <r>
      <t>u</t>
    </r>
    <r>
      <rPr>
        <vertAlign val="subscript"/>
        <sz val="10"/>
        <rFont val="Arial"/>
        <family val="2"/>
      </rPr>
      <t>i</t>
    </r>
  </si>
  <si>
    <r>
      <t>c</t>
    </r>
    <r>
      <rPr>
        <vertAlign val="subscript"/>
        <sz val="10"/>
        <rFont val="Arial"/>
        <family val="2"/>
      </rPr>
      <t>i</t>
    </r>
  </si>
  <si>
    <r>
      <t>u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</si>
  <si>
    <r>
      <t>(u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2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</si>
  <si>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</si>
  <si>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</si>
  <si>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</si>
  <si>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</si>
  <si>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</si>
  <si>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</si>
  <si>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</si>
  <si>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</si>
  <si>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</si>
  <si>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</si>
  <si>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</si>
  <si>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Sums</t>
  </si>
  <si>
    <t>Derajat kebebasan efektif, neff</t>
  </si>
  <si>
    <t>Faktor cakupan, k-student’s untuk neff dan CL 95 %</t>
  </si>
  <si>
    <t>TANGGAL HARI INI</t>
  </si>
  <si>
    <t>TANGGAL TERBIT SERTIFIKAT</t>
  </si>
  <si>
    <t>NOMOR SERTIFIKAT</t>
  </si>
  <si>
    <t>ALAT &amp; SPESIFIKASI</t>
  </si>
  <si>
    <t>NAMA ALAT</t>
  </si>
  <si>
    <t>TIPE</t>
  </si>
  <si>
    <t>PASTIKAN SEMUA DATA PADA LEMBAR KERJA SUDAH LENGKAP SEBELUM MELAKUKAN INPUT DATA</t>
  </si>
  <si>
    <t>RESOLUSI/ SKALA TERKECIL</t>
  </si>
  <si>
    <t>IDENTITAS PEMILIK ALAT</t>
  </si>
  <si>
    <t>CABANG/ DIVISI/ UNIT</t>
  </si>
  <si>
    <t>ALAMAT</t>
  </si>
  <si>
    <t>RINCIAN KALIBRASI</t>
  </si>
  <si>
    <t>SUHU RUANGAN</t>
  </si>
  <si>
    <t>KELEMBAPAN RUANGAN</t>
  </si>
  <si>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</t>
    </r>
  </si>
  <si>
    <t>PENANDATANGAN SERTIFIKAT</t>
  </si>
  <si>
    <t>METODE KALIBRASI</t>
  </si>
  <si>
    <t>ACUAN REFERENSI</t>
  </si>
  <si>
    <t>NAMA PERUSAHAAN</t>
  </si>
  <si>
    <t>MOHON PERIKSA KEMBALI SEBELUM MENCETAK SERTIFIKAT</t>
  </si>
  <si>
    <r>
      <t xml:space="preserve">Equipment </t>
    </r>
    <r>
      <rPr>
        <sz val="10"/>
        <rFont val="Segoe UI"/>
        <family val="2"/>
      </rPr>
      <t>/</t>
    </r>
    <r>
      <rPr>
        <i/>
        <sz val="10"/>
        <rFont val="Segoe UI"/>
        <family val="2"/>
      </rPr>
      <t xml:space="preserve"> Instrument</t>
    </r>
  </si>
  <si>
    <r>
      <t xml:space="preserve">Type </t>
    </r>
    <r>
      <rPr>
        <sz val="10"/>
        <rFont val="Segoe UI"/>
        <family val="2"/>
      </rPr>
      <t xml:space="preserve">/ </t>
    </r>
    <r>
      <rPr>
        <i/>
        <sz val="10"/>
        <rFont val="Segoe UI"/>
        <family val="2"/>
      </rPr>
      <t>Serial Number</t>
    </r>
  </si>
  <si>
    <r>
      <t xml:space="preserve">Capacity </t>
    </r>
    <r>
      <rPr>
        <sz val="10"/>
        <rFont val="Segoe UI"/>
        <family val="2"/>
      </rPr>
      <t>/</t>
    </r>
    <r>
      <rPr>
        <i/>
        <sz val="10"/>
        <rFont val="Segoe UI"/>
        <family val="2"/>
      </rPr>
      <t xml:space="preserve"> Resolution</t>
    </r>
  </si>
  <si>
    <t xml:space="preserve"> RT</t>
  </si>
  <si>
    <r>
      <rPr>
        <vertAlign val="superscript"/>
        <sz val="10"/>
        <rFont val="Segoe UI"/>
        <family val="2"/>
      </rPr>
      <t>o</t>
    </r>
    <r>
      <rPr>
        <sz val="10"/>
        <rFont val="Segoe UI"/>
        <family val="2"/>
      </rPr>
      <t>C</t>
    </r>
  </si>
  <si>
    <t xml:space="preserve"> RH</t>
  </si>
  <si>
    <t>THERMOHYGROMETER PT PANANJUNG ANUGRAH SOLUTION</t>
  </si>
  <si>
    <t>TYPE/ MODEL</t>
  </si>
  <si>
    <t>NO. SERI</t>
  </si>
  <si>
    <t>TEMPERATURE</t>
  </si>
  <si>
    <t>HUMIDITY</t>
  </si>
  <si>
    <t>PEMBACAAN ALAT</t>
  </si>
  <si>
    <t>U95</t>
  </si>
  <si>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</t>
    </r>
  </si>
  <si>
    <t>ALAT</t>
  </si>
  <si>
    <t>Temperature Terkoreksi</t>
  </si>
  <si>
    <t>Humidity Terkoreksi</t>
  </si>
  <si>
    <t>FORMULA</t>
  </si>
  <si>
    <t>U. STD</t>
  </si>
  <si>
    <t>UC</t>
  </si>
  <si>
    <t>EXP</t>
  </si>
  <si>
    <t>THERMOHYGROMETER</t>
  </si>
  <si>
    <t>TANGGAL</t>
  </si>
  <si>
    <t>BULAN</t>
  </si>
  <si>
    <t>Juni</t>
  </si>
  <si>
    <t>TTD</t>
  </si>
  <si>
    <t>LOKASI</t>
  </si>
  <si>
    <t>NAMA ALAT STANDAR</t>
  </si>
  <si>
    <t>Precision Thermometer Standard</t>
  </si>
  <si>
    <t>SIKA</t>
  </si>
  <si>
    <t>MODEL</t>
  </si>
  <si>
    <t>Ketidakpastian</t>
  </si>
  <si>
    <t>Suhu Sebenarnya</t>
  </si>
  <si>
    <t>Alat</t>
  </si>
  <si>
    <t>Setting Suhu</t>
  </si>
  <si>
    <t>Penunjukkan Suhu</t>
  </si>
  <si>
    <t>Temperature</t>
  </si>
  <si>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</si>
  <si>
    <t>Daya baca standard</t>
  </si>
  <si>
    <t>Drift Standard</t>
  </si>
  <si>
    <r>
      <t>Ketidakpastian baku gabungan, uc, (</t>
    </r>
    <r>
      <rPr>
        <i/>
        <vertAlign val="superscript"/>
        <sz val="10"/>
        <color theme="1"/>
        <rFont val="Arial"/>
        <family val="2"/>
      </rPr>
      <t>o</t>
    </r>
    <r>
      <rPr>
        <i/>
        <sz val="10"/>
        <color theme="1"/>
        <rFont val="Arial"/>
        <family val="2"/>
      </rPr>
      <t>C)</t>
    </r>
  </si>
  <si>
    <r>
      <t>Ketidakpastian bentangan, U = kuc,  (</t>
    </r>
    <r>
      <rPr>
        <i/>
        <vertAlign val="superscript"/>
        <sz val="10"/>
        <color theme="1"/>
        <rFont val="Arial"/>
        <family val="2"/>
      </rPr>
      <t>o</t>
    </r>
    <r>
      <rPr>
        <i/>
        <sz val="10"/>
        <color theme="1"/>
        <rFont val="Arial"/>
        <family val="2"/>
      </rPr>
      <t>C)</t>
    </r>
  </si>
  <si>
    <t>JARAK</t>
  </si>
  <si>
    <t>cm</t>
  </si>
  <si>
    <t>Penunjukkan Standar</t>
  </si>
  <si>
    <t>Standard Reading</t>
  </si>
  <si>
    <t>Koreksi Alat</t>
  </si>
  <si>
    <t>Lab. Kalibrasi Suhu PT Pananjung Anugrah Solution, Cikarang.</t>
  </si>
  <si>
    <t>Penunjukkan UUT</t>
  </si>
  <si>
    <t>DIGITAL THERMOMETER</t>
  </si>
  <si>
    <t>Digital Thermometer Standard</t>
  </si>
  <si>
    <t>Evaluasi cmc</t>
  </si>
  <si>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</t>
    </r>
  </si>
  <si>
    <t>MAX STDEV</t>
  </si>
  <si>
    <t>Penunjukkan Alat</t>
  </si>
  <si>
    <t>Instrument Reading</t>
  </si>
  <si>
    <t>Measurement Uncertainty</t>
  </si>
  <si>
    <t>PAS-IK-1102-030</t>
  </si>
  <si>
    <t>Micro Oilbath, Sika, TPM165S, 1704424 (Media)</t>
  </si>
  <si>
    <t>RENTANG UKUR/ KAPASITAS</t>
  </si>
  <si>
    <t>Septya Nugroho</t>
  </si>
  <si>
    <t>Rudi Eko Suryono</t>
  </si>
  <si>
    <t>Manajemen Laboratorium</t>
  </si>
  <si>
    <t>M. Iqbal Fauzi</t>
  </si>
  <si>
    <t>DEKKO</t>
  </si>
  <si>
    <t>642N</t>
  </si>
  <si>
    <t>TH-01</t>
  </si>
  <si>
    <t>TH-02</t>
  </si>
  <si>
    <t>TH-03</t>
  </si>
  <si>
    <t>TH-04</t>
  </si>
  <si>
    <t>TH-05</t>
  </si>
  <si>
    <t>TH-06</t>
  </si>
  <si>
    <t>TH-07</t>
  </si>
  <si>
    <t>TH-08</t>
  </si>
  <si>
    <t>Titik Ukur</t>
  </si>
  <si>
    <t>Set Point</t>
  </si>
  <si>
    <r>
      <t xml:space="preserve">( </t>
    </r>
    <r>
      <rPr>
        <sz val="10"/>
        <rFont val="Calibri"/>
        <family val="2"/>
      </rPr>
      <t>°</t>
    </r>
    <r>
      <rPr>
        <sz val="10"/>
        <rFont val="Segoe UI"/>
        <family val="2"/>
      </rPr>
      <t>C )</t>
    </r>
  </si>
  <si>
    <t>( °C )</t>
  </si>
  <si>
    <t>Ketidakpastian Pengukuran</t>
  </si>
  <si>
    <t>Nomer Identitas</t>
  </si>
  <si>
    <t>ID Number</t>
  </si>
  <si>
    <r>
      <rPr>
        <sz val="10"/>
        <rFont val="Calibri"/>
        <family val="2"/>
      </rPr>
      <t>°</t>
    </r>
    <r>
      <rPr>
        <sz val="10"/>
        <rFont val="Segoe UI"/>
        <family val="2"/>
      </rPr>
      <t>C   /</t>
    </r>
  </si>
  <si>
    <r>
      <rPr>
        <sz val="10"/>
        <rFont val="Calibri"/>
        <family val="2"/>
      </rPr>
      <t>°</t>
    </r>
    <r>
      <rPr>
        <sz val="10"/>
        <rFont val="Segoe UI"/>
        <family val="2"/>
      </rPr>
      <t>C</t>
    </r>
  </si>
  <si>
    <t>K</t>
  </si>
  <si>
    <t>PT PAS (LK-150-IDN)</t>
  </si>
  <si>
    <t>Riwayat Perubahan Template</t>
  </si>
  <si>
    <t>Deskripsi</t>
  </si>
  <si>
    <t>Petugas</t>
  </si>
  <si>
    <t>THERMOCOUPLE</t>
  </si>
  <si>
    <r>
      <rPr>
        <b/>
        <sz val="10"/>
        <rFont val="Calibri"/>
        <family val="2"/>
      </rPr>
      <t>°</t>
    </r>
    <r>
      <rPr>
        <b/>
        <sz val="10"/>
        <rFont val="Segoe UI"/>
        <family val="2"/>
      </rPr>
      <t>C</t>
    </r>
  </si>
  <si>
    <t>Standard Thermokopel</t>
  </si>
  <si>
    <t xml:space="preserve">Kedalaman Pencelupan :               </t>
  </si>
  <si>
    <t>KEDALAMAN PENCELUPAN</t>
  </si>
  <si>
    <t>MM</t>
  </si>
  <si>
    <r>
      <t xml:space="preserve">--- Akhir Sertifikat / </t>
    </r>
    <r>
      <rPr>
        <i/>
        <sz val="10"/>
        <rFont val="Segoe UI"/>
        <family val="2"/>
      </rPr>
      <t xml:space="preserve">End of Certificate </t>
    </r>
    <r>
      <rPr>
        <sz val="10"/>
        <rFont val="Segoe UI"/>
        <family val="2"/>
      </rPr>
      <t>---</t>
    </r>
  </si>
  <si>
    <r>
      <t>*  Nilai pembacaan alat sebenarnya adalah pembacaan alat</t>
    </r>
    <r>
      <rPr>
        <sz val="8"/>
        <rFont val="Segoe UI"/>
        <family val="2"/>
      </rPr>
      <t xml:space="preserve"> ditambahkan dengan nilai koreksi.</t>
    </r>
  </si>
  <si>
    <t xml:space="preserve">   Correction are added to the instrument reading for obtaining true reading.</t>
  </si>
  <si>
    <t>update nilai standar</t>
  </si>
  <si>
    <t>Nugi</t>
  </si>
  <si>
    <t>Update nilai thermohygro</t>
  </si>
  <si>
    <t>Menambahkan filter ketidakpastian</t>
  </si>
  <si>
    <t>Drift DUC</t>
  </si>
  <si>
    <t>Self-heating (RTD)</t>
  </si>
  <si>
    <t>Keseragaman media</t>
  </si>
  <si>
    <t>Kesetabilan media</t>
  </si>
  <si>
    <t>Interpolasi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</si>
  <si>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</si>
  <si>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</si>
  <si>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</si>
  <si>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</si>
  <si>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</si>
  <si>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</si>
  <si>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</si>
  <si>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</si>
  <si>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</si>
  <si>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</si>
  <si>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</si>
  <si>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</si>
  <si>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</si>
  <si>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</si>
  <si>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</si>
  <si>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</si>
  <si>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</si>
  <si>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</si>
  <si>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</si>
  <si>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</si>
  <si>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</si>
  <si>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95,0%</t>
  </si>
  <si>
    <t>Upper 95,0%</t>
  </si>
  <si>
    <t>Intercept</t>
  </si>
  <si>
    <t>X Variable 1</t>
  </si>
  <si>
    <t>Microbath</t>
  </si>
  <si>
    <t>Dry Block</t>
  </si>
  <si>
    <t>Keseragaman</t>
  </si>
  <si>
    <t>Stabilitas</t>
  </si>
  <si>
    <t>Precision Thermometer Standard, Sika, UM RTD.2, WEM41021-012C</t>
  </si>
  <si>
    <t>STD Terpilih</t>
  </si>
  <si>
    <t>V-LookUp</t>
  </si>
  <si>
    <t>Rata Rata Alat</t>
  </si>
  <si>
    <t>Rata Rata Standar</t>
  </si>
  <si>
    <t>Standar Terkoreksi</t>
  </si>
  <si>
    <t>Nilai Standar</t>
  </si>
  <si>
    <t>U95 Terpilih</t>
  </si>
  <si>
    <t>PAS-IK-1102-032</t>
  </si>
  <si>
    <t>Thermometer Digital</t>
  </si>
  <si>
    <t>Menggabungkan semua standar</t>
  </si>
  <si>
    <t>Micro Oilbath, Sika, TPM165S, 1704424 (Media) &amp; Dry Block, Hangzhou Zhongchuang Electron, ET2501-650, 06012040564 (Media)</t>
  </si>
  <si>
    <t>TH-11</t>
  </si>
  <si>
    <t>TH-13</t>
  </si>
  <si>
    <t>JIS Z 8710: 1993	 ; SNSU PK.S-02:2021</t>
  </si>
  <si>
    <t>Hasil</t>
  </si>
  <si>
    <t>Stability Media</t>
  </si>
  <si>
    <t>Keseragaman Media</t>
  </si>
  <si>
    <t>Dryblock</t>
  </si>
  <si>
    <t>Cek data keseluruhan</t>
  </si>
  <si>
    <t>Revisi Filter CMC</t>
  </si>
  <si>
    <r>
      <t>(u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u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4</t>
    </r>
    <r>
      <rPr>
        <sz val="10"/>
        <rFont val="Arial"/>
        <family val="2"/>
      </rPr>
      <t>/v</t>
    </r>
    <r>
      <rPr>
        <vertAlign val="subscript"/>
        <sz val="10"/>
        <rFont val="Arial"/>
        <family val="2"/>
      </rPr>
      <t>i</t>
    </r>
  </si>
  <si>
    <t>vi</t>
  </si>
  <si>
    <t>k = Ts-Tc; k = koreksi, Ts = Nilai Standard, Tc = Pembacaan UUT</t>
  </si>
  <si>
    <t>Update nilai thermohygrometer</t>
  </si>
  <si>
    <t>Menambahkan kolom tanggal alat masuk</t>
  </si>
  <si>
    <t>TH-15</t>
  </si>
  <si>
    <t>TANGGAL ALAT MASUK</t>
  </si>
  <si>
    <t>Tanggal Terbit</t>
  </si>
  <si>
    <t>Tanggal Alat Masuk</t>
  </si>
  <si>
    <t>Revisi link nilai standar yang tertukar.</t>
  </si>
  <si>
    <t>Tanggal Update</t>
  </si>
  <si>
    <t>Tanggal Verifikasi</t>
  </si>
  <si>
    <t>-</t>
  </si>
  <si>
    <t>Rudi</t>
  </si>
  <si>
    <t>CMC Filter</t>
  </si>
  <si>
    <t>Thermometer Glass</t>
  </si>
  <si>
    <t>Link CMC</t>
  </si>
  <si>
    <t>UM RTD.2</t>
  </si>
  <si>
    <t>WEM41021-012C</t>
  </si>
  <si>
    <t>LK-160-IDN</t>
  </si>
  <si>
    <t>Hasil kalibrasi yang dilaporkan tertelusur ke SI melalui LK-160-IDN</t>
  </si>
  <si>
    <t>PAS-IK-1102-031</t>
  </si>
  <si>
    <t>Thermometer Dial / Gauge</t>
  </si>
  <si>
    <t>JIS Z 8710: 1993	 ; SNSU PK.S-01:2020</t>
  </si>
  <si>
    <t xml:space="preserve">PERHITUNGAN SERTIFIKAT KALIBRASI ALL THERMOMETER </t>
  </si>
  <si>
    <t>Update nilai CMC terbaru</t>
  </si>
  <si>
    <t>Menggabungkan thermometer digital &amp; glass</t>
  </si>
  <si>
    <t>Drift 2024</t>
  </si>
  <si>
    <t>Lama</t>
  </si>
  <si>
    <t>Baru</t>
  </si>
  <si>
    <t>Update nilai drift</t>
  </si>
  <si>
    <t>Update Referensi</t>
  </si>
  <si>
    <t>PT 100</t>
  </si>
  <si>
    <t>UM RTD; TF255 (PT100)</t>
  </si>
  <si>
    <t>Channel 1</t>
  </si>
  <si>
    <t>Sika</t>
  </si>
  <si>
    <t>WEM41021-021C.</t>
  </si>
  <si>
    <t>NOMER ID</t>
  </si>
  <si>
    <t>TD.001</t>
  </si>
  <si>
    <t>TD.002</t>
  </si>
  <si>
    <t>TD.003</t>
  </si>
  <si>
    <t>TD.004</t>
  </si>
  <si>
    <t>Precision Thermometer Standard, Sika, UM RTD; TF255 (PT100)</t>
  </si>
  <si>
    <t>TD.001 Microbath</t>
  </si>
  <si>
    <t>TD.001 Dry Block</t>
  </si>
  <si>
    <t>TD.001 Microbath &amp; Dry Block</t>
  </si>
  <si>
    <t>TD.002 Microbath</t>
  </si>
  <si>
    <t>TD.002 Dry Block</t>
  </si>
  <si>
    <t>TD.002 Microbath &amp; Dry Block</t>
  </si>
  <si>
    <t>TD.003 Dry Block</t>
  </si>
  <si>
    <t>TD.003 Microbath</t>
  </si>
  <si>
    <t>TD.003 Microbath &amp; Dry Block</t>
  </si>
  <si>
    <t>TD.004 Microbath</t>
  </si>
  <si>
    <t>TD.004 Dry Block</t>
  </si>
  <si>
    <t>TD.004 Microbath &amp; Dry Block</t>
  </si>
  <si>
    <t>Precision Thermometer Standard, -, PT 100, 1000300209</t>
  </si>
  <si>
    <t>Precision Thermometer Standard, Sika, UC.TC.2, WEM41021-021C.</t>
  </si>
  <si>
    <t>Dry Block, Hangzhou Zhongchuang Electron, ET2501-650, 06012040564 (Media)</t>
  </si>
  <si>
    <t>Hasil kalibrasi yang dilaporkan tertelusur ke SI melalui LK-150-IDN</t>
  </si>
  <si>
    <t>UC.TC.2 (Tipe R)</t>
  </si>
  <si>
    <t>Result</t>
  </si>
  <si>
    <t>Toleransi : 2 °C</t>
  </si>
  <si>
    <t>Update thermohygro TH-04, TH-06, TH-08, TH-11</t>
  </si>
  <si>
    <t>15 Mei 2025</t>
  </si>
  <si>
    <t>23 Mei 2025</t>
  </si>
  <si>
    <t>26 Juni ~ 4 July 2025</t>
  </si>
  <si>
    <t>LK-150-IDN</t>
  </si>
  <si>
    <t>Update standar termometer TD002 &amp; TD003</t>
  </si>
  <si>
    <t>PAS Calibration</t>
  </si>
  <si>
    <t>Menambahkan nilai standar tipe R</t>
  </si>
  <si>
    <t xml:space="preserve">Inhomogenitas (TC)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</si>
  <si>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>v</t>
    </r>
    <r>
      <rPr>
        <vertAlign val="subscript"/>
        <sz val="10"/>
        <rFont val="Arial"/>
        <family val="2"/>
      </rPr>
      <t>i</t>
    </r>
  </si>
  <si>
    <t>Repeatability STD</t>
  </si>
  <si>
    <t xml:space="preserve">Inhomogeneity (Media)                                                                                                                                                                                                                                                    </t>
  </si>
  <si>
    <t>Stabilitas Ice Point</t>
  </si>
  <si>
    <t>Repeatability Alat</t>
  </si>
  <si>
    <t>Stdev</t>
  </si>
  <si>
    <t>Menambahkan ketidakpastian thermometer gelas</t>
  </si>
  <si>
    <t>UM RTD</t>
  </si>
  <si>
    <t>2702D G15 0022A</t>
  </si>
  <si>
    <t>TD.005</t>
  </si>
  <si>
    <t>SNSU BSN</t>
  </si>
  <si>
    <t>22 ~ 26 Sep 2025</t>
  </si>
  <si>
    <t>Precision Thermometer Standard, Sika, UM RTD; 2702D G15 0022A</t>
  </si>
  <si>
    <t>TD.005 Microbath</t>
  </si>
  <si>
    <t>TD.005 Dry Block</t>
  </si>
  <si>
    <t>TD.005 Microbath &amp; Dry Block</t>
  </si>
  <si>
    <t>Hasil kalibrasi yang dilaporkan tertelusur ke SI melalui SNSU BSN</t>
  </si>
  <si>
    <t>Menambahkan standar TD.005</t>
  </si>
  <si>
    <t>76826</t>
  </si>
  <si>
    <t>26 Maret 2025</t>
  </si>
  <si>
    <t>30 September 2025</t>
  </si>
  <si>
    <t>HTC-2</t>
  </si>
  <si>
    <t>PAS-01</t>
  </si>
  <si>
    <t>PAS-02</t>
  </si>
  <si>
    <t>21 Oktober 2025</t>
  </si>
  <si>
    <t>PAS-03</t>
  </si>
  <si>
    <t>PAS-04</t>
  </si>
  <si>
    <t>PAS-05</t>
  </si>
  <si>
    <t>PAS-06</t>
  </si>
  <si>
    <r>
      <rPr>
        <sz val="10"/>
        <rFont val="Calibri"/>
        <family val="2"/>
      </rPr>
      <t>↓</t>
    </r>
    <r>
      <rPr>
        <sz val="10"/>
        <rFont val="Arial"/>
        <family val="2"/>
      </rPr>
      <t xml:space="preserve"> Dari input data</t>
    </r>
  </si>
  <si>
    <r>
      <rPr>
        <sz val="10"/>
        <rFont val="Calibri"/>
        <family val="2"/>
      </rPr>
      <t>↓</t>
    </r>
    <r>
      <rPr>
        <sz val="10"/>
        <rFont val="Arial"/>
        <family val="2"/>
      </rPr>
      <t xml:space="preserve"> Hasil lookup</t>
    </r>
  </si>
  <si>
    <t>Update kontrol suhu</t>
  </si>
  <si>
    <t>id Calibration</t>
  </si>
  <si>
    <t>Merek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</si>
  <si>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</si>
  <si>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</si>
  <si>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</si>
  <si>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</si>
  <si>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</si>
  <si>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</si>
  <si>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</si>
  <si>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</si>
  <si>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</si>
  <si>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tanggal alat masuk</t>
  </si>
  <si>
    <t>tanggal kalibrasi</t>
  </si>
  <si>
    <t>jenis pembacaan</t>
  </si>
  <si>
    <t>tempat kalibrasi</t>
  </si>
  <si>
    <t>lokasi PT</t>
  </si>
  <si>
    <t>Kondisi alat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</si>
  <si>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</si>
  <si>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</si>
  <si>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</si>
  <si>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</si>
  <si>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</si>
  <si>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</si>
  <si>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</si>
  <si>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</si>
  <si>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Alat standar</t>
  </si>
  <si>
    <t>Metode kalibrasi</t>
  </si>
  <si>
    <t>Dikalibrasi oleh</t>
  </si>
  <si>
    <t>Diperiksa oleh</t>
  </si>
  <si>
    <t>STD</t>
  </si>
  <si>
    <t>UUT</t>
  </si>
  <si>
    <t>PEMBACAAN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</si>
</sst>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(* #,##0_);_(* \(#,##0\);_(* &quot;-&quot;_);_(@_)"/>
    <numFmt numFmtId="43" formatCode="_(* #,##0.00_);_(* \(#,##0.00\);_(* &quot;-&quot;??_);_(@_)"/>
    <numFmt numFmtId="164" formatCode="_-* #,##0_-;\-* #,##0_-;_-* &quot;-&quot;_-;_-@_-"/>
    <numFmt numFmtId="165" formatCode="0.0"/>
    <numFmt numFmtId="166" formatCode="dd"/>
    <numFmt numFmtId="167" formatCode="[$-E97F0000]mmmm"/>
    <numFmt numFmtId="168" formatCode="yyyy"/>
    <numFmt numFmtId="169" formatCode="0.000"/>
    <numFmt numFmtId="170" formatCode="[$-421]dd\ mmmm\ yyyy;@"/>
    <numFmt numFmtId="171" formatCode="#,##0.0"/>
  </numFmts>
  <fonts count="6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i/>
      <sz val="10"/>
      <color theme="1"/>
      <name val="Arial"/>
      <family val="2"/>
    </font>
    <font>
      <b/>
      <sz val="11"/>
      <name val="Calibri"/>
      <family val="2"/>
    </font>
    <font>
      <b/>
      <sz val="11"/>
      <color rgb="FFFF0000"/>
      <name val="Arial"/>
      <family val="2"/>
    </font>
    <font>
      <b/>
      <vertAlign val="superscript"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rgb="FFFF0000"/>
      <name val="Segoe UI"/>
      <family val="2"/>
    </font>
    <font>
      <sz val="10"/>
      <name val="Segoe UI"/>
      <family val="2"/>
    </font>
    <font>
      <b/>
      <sz val="10"/>
      <name val="Segoe UI"/>
      <family val="2"/>
    </font>
    <font>
      <i/>
      <sz val="10"/>
      <name val="Segoe UI"/>
      <family val="2"/>
    </font>
    <font>
      <b/>
      <i/>
      <sz val="10"/>
      <name val="Segoe UI"/>
      <family val="2"/>
    </font>
    <font>
      <vertAlign val="superscript"/>
      <sz val="10"/>
      <name val="Segoe UI"/>
      <family val="2"/>
    </font>
    <font>
      <sz val="11"/>
      <color theme="1"/>
      <name val="Segoe UI"/>
      <family val="2"/>
    </font>
    <font>
      <i/>
      <sz val="9"/>
      <name val="Segoe UI"/>
      <family val="2"/>
    </font>
    <font>
      <sz val="10"/>
      <color theme="1"/>
      <name val="Segoe UI"/>
      <family val="2"/>
    </font>
    <font>
      <i/>
      <sz val="9"/>
      <color theme="1"/>
      <name val="Segoe UI"/>
      <family val="2"/>
    </font>
    <font>
      <sz val="10"/>
      <name val="Calibri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b/>
      <i/>
      <sz val="8"/>
      <name val="Segoe UI"/>
      <family val="2"/>
    </font>
    <font>
      <sz val="8"/>
      <name val="Segoe UI"/>
      <family val="2"/>
    </font>
    <font>
      <i/>
      <sz val="8"/>
      <name val="Segoe UI"/>
      <family val="2"/>
    </font>
    <font>
      <b/>
      <sz val="10"/>
      <color rgb="FFFF0000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0"/>
      <color theme="1"/>
      <name val="Arial"/>
      <family val="2"/>
    </font>
    <font>
      <b/>
      <u/>
      <sz val="10"/>
      <name val="Segoe UI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name val="Calibri"/>
      <family val="2"/>
    </font>
    <font>
      <b/>
      <i/>
      <sz val="9"/>
      <name val="Segoe UI"/>
      <family val="2"/>
    </font>
    <font>
      <i/>
      <sz val="11"/>
      <color theme="1"/>
      <name val="Calibri"/>
      <family val="2"/>
      <scheme val="minor"/>
    </font>
    <font>
      <b/>
      <i/>
      <sz val="10"/>
      <color rgb="FFFF0000"/>
      <name val="Arial"/>
      <family val="2"/>
    </font>
    <font>
      <sz val="11"/>
      <color theme="1"/>
      <name val="Calibri"/>
      <family val="2"/>
      <charset val="1"/>
      <scheme val="minor"/>
    </font>
    <font>
      <sz val="10"/>
      <name val="Arial"/>
      <family val="2"/>
      <charset val="1"/>
    </font>
    <font>
      <sz val="11"/>
      <name val="Garamond"/>
      <family val="1"/>
    </font>
    <font>
      <sz val="10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65">
    <xf numFmtId="0" fontId="0" fillId="0" borderId="0"/>
    <xf numFmtId="0" fontId="15" fillId="0" borderId="0"/>
    <xf numFmtId="0" fontId="13" fillId="0" borderId="0"/>
    <xf numFmtId="164" fontId="15" fillId="0" borderId="0" applyFont="0" applyFill="0" applyBorder="0" applyAlignment="0" applyProtection="0"/>
    <xf numFmtId="0" fontId="12" fillId="0" borderId="0"/>
    <xf numFmtId="0" fontId="11" fillId="0" borderId="0"/>
    <xf numFmtId="0" fontId="16" fillId="0" borderId="0"/>
    <xf numFmtId="0" fontId="10" fillId="0" borderId="0"/>
    <xf numFmtId="164" fontId="15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1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6" fillId="0" borderId="0"/>
    <xf numFmtId="41" fontId="15" fillId="0" borderId="0" applyFont="0" applyFill="0" applyBorder="0" applyAlignment="0" applyProtection="0"/>
    <xf numFmtId="0" fontId="4" fillId="0" borderId="0"/>
    <xf numFmtId="43" fontId="5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1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1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5" fillId="0" borderId="0"/>
    <xf numFmtId="0" fontId="3" fillId="0" borderId="0"/>
    <xf numFmtId="0" fontId="3" fillId="0" borderId="0"/>
    <xf numFmtId="0" fontId="3" fillId="0" borderId="0"/>
    <xf numFmtId="0" fontId="3" fillId="0" borderId="0"/>
    <xf numFmtId="41" fontId="3" fillId="0" borderId="0" applyFont="0" applyFill="0" applyBorder="0" applyAlignment="0" applyProtection="0"/>
    <xf numFmtId="0" fontId="3" fillId="0" borderId="0"/>
    <xf numFmtId="0" fontId="3" fillId="0" borderId="0"/>
    <xf numFmtId="0" fontId="15" fillId="0" borderId="0"/>
    <xf numFmtId="0" fontId="3" fillId="0" borderId="0"/>
    <xf numFmtId="0" fontId="15" fillId="0" borderId="0"/>
    <xf numFmtId="0" fontId="15" fillId="0" borderId="0"/>
    <xf numFmtId="0" fontId="3" fillId="0" borderId="0"/>
    <xf numFmtId="9" fontId="15" fillId="0" borderId="0" applyFont="0" applyFill="0" applyBorder="0" applyAlignment="0" applyProtection="0"/>
    <xf numFmtId="0" fontId="3" fillId="0" borderId="0"/>
    <xf numFmtId="0" fontId="3" fillId="0" borderId="0"/>
    <xf numFmtId="0" fontId="1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1" fontId="3" fillId="0" borderId="0" applyFont="0" applyFill="0" applyBorder="0" applyAlignment="0" applyProtection="0"/>
    <xf numFmtId="0" fontId="3" fillId="0" borderId="0"/>
    <xf numFmtId="0" fontId="3" fillId="0" borderId="0"/>
    <xf numFmtId="0" fontId="1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5" fillId="0" borderId="0"/>
    <xf numFmtId="0" fontId="58" fillId="0" borderId="0"/>
    <xf numFmtId="0" fontId="15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1" fillId="0" borderId="0"/>
  </cellStyleXfs>
  <cellXfs count="440">
    <xf numFmtId="0" fontId="0" fillId="0" borderId="0" xfId="0"/>
    <xf numFmtId="0" fontId="14" fillId="0" borderId="0" xfId="0" applyFont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19" fillId="0" borderId="2" xfId="0" applyFont="1" applyBorder="1"/>
    <xf numFmtId="0" fontId="18" fillId="0" borderId="2" xfId="0" applyFont="1" applyBorder="1"/>
    <xf numFmtId="0" fontId="18" fillId="0" borderId="1" xfId="0" applyFont="1" applyBorder="1" applyAlignment="1">
      <alignment horizontal="center"/>
    </xf>
    <xf numFmtId="0" fontId="23" fillId="0" borderId="4" xfId="0" applyFont="1" applyBorder="1"/>
    <xf numFmtId="0" fontId="23" fillId="0" borderId="2" xfId="0" applyFont="1" applyBorder="1"/>
    <xf numFmtId="0" fontId="18" fillId="0" borderId="1" xfId="0" applyFont="1" applyBorder="1"/>
    <xf numFmtId="0" fontId="18" fillId="3" borderId="1" xfId="0" applyFont="1" applyFill="1" applyBorder="1"/>
    <xf numFmtId="0" fontId="0" fillId="0" borderId="0" xfId="0" applyAlignment="1">
      <alignment vertical="center"/>
    </xf>
    <xf numFmtId="166" fontId="0" fillId="0" borderId="0" xfId="0" applyNumberFormat="1" applyAlignment="1">
      <alignment vertical="center"/>
    </xf>
    <xf numFmtId="0" fontId="14" fillId="0" borderId="0" xfId="0" applyFont="1" applyAlignment="1">
      <alignment horizontal="center" vertical="center"/>
    </xf>
    <xf numFmtId="166" fontId="14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6" fontId="0" fillId="0" borderId="2" xfId="0" applyNumberFormat="1" applyBorder="1" applyAlignment="1">
      <alignment vertical="center"/>
    </xf>
    <xf numFmtId="0" fontId="14" fillId="6" borderId="9" xfId="0" applyFont="1" applyFill="1" applyBorder="1" applyAlignment="1">
      <alignment horizontal="center" vertical="center"/>
    </xf>
    <xf numFmtId="166" fontId="14" fillId="5" borderId="2" xfId="0" applyNumberFormat="1" applyFont="1" applyFill="1" applyBorder="1" applyAlignment="1">
      <alignment horizontal="center" vertical="center"/>
    </xf>
    <xf numFmtId="168" fontId="14" fillId="5" borderId="3" xfId="0" applyNumberFormat="1" applyFont="1" applyFill="1" applyBorder="1" applyAlignment="1">
      <alignment horizontal="center" vertical="center"/>
    </xf>
    <xf numFmtId="0" fontId="14" fillId="0" borderId="4" xfId="0" applyFont="1" applyBorder="1" applyAlignment="1">
      <alignment vertical="center"/>
    </xf>
    <xf numFmtId="0" fontId="14" fillId="6" borderId="3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165" fontId="14" fillId="6" borderId="1" xfId="0" applyNumberFormat="1" applyFont="1" applyFill="1" applyBorder="1" applyAlignment="1">
      <alignment horizontal="center" vertical="center"/>
    </xf>
    <xf numFmtId="165" fontId="14" fillId="5" borderId="1" xfId="0" applyNumberFormat="1" applyFont="1" applyFill="1" applyBorder="1" applyAlignment="1">
      <alignment horizontal="center" vertical="center"/>
    </xf>
    <xf numFmtId="165" fontId="24" fillId="4" borderId="1" xfId="0" applyNumberFormat="1" applyFont="1" applyFill="1" applyBorder="1" applyAlignment="1">
      <alignment horizontal="center" vertical="center"/>
    </xf>
    <xf numFmtId="165" fontId="14" fillId="4" borderId="1" xfId="0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vertical="center"/>
    </xf>
    <xf numFmtId="0" fontId="29" fillId="0" borderId="0" xfId="2" applyFont="1" applyAlignment="1">
      <alignment vertical="center"/>
    </xf>
    <xf numFmtId="0" fontId="30" fillId="0" borderId="0" xfId="2" applyFont="1" applyAlignment="1">
      <alignment vertical="center"/>
    </xf>
    <xf numFmtId="0" fontId="29" fillId="0" borderId="0" xfId="2" applyFont="1" applyAlignment="1">
      <alignment horizontal="right" vertical="center"/>
    </xf>
    <xf numFmtId="0" fontId="31" fillId="0" borderId="0" xfId="2" applyFont="1" applyAlignment="1">
      <alignment vertical="center"/>
    </xf>
    <xf numFmtId="0" fontId="31" fillId="0" borderId="0" xfId="2" applyFont="1" applyAlignment="1">
      <alignment horizontal="right" vertical="center"/>
    </xf>
    <xf numFmtId="0" fontId="32" fillId="0" borderId="0" xfId="2" applyFont="1" applyAlignment="1">
      <alignment horizontal="center" vertical="center"/>
    </xf>
    <xf numFmtId="0" fontId="31" fillId="0" borderId="0" xfId="2" applyFont="1" applyAlignment="1">
      <alignment horizontal="left" vertical="center"/>
    </xf>
    <xf numFmtId="0" fontId="29" fillId="0" borderId="0" xfId="2" applyFont="1" applyAlignment="1">
      <alignment horizontal="left" vertical="center"/>
    </xf>
    <xf numFmtId="0" fontId="30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0" fontId="29" fillId="0" borderId="10" xfId="2" applyFont="1" applyBorder="1" applyAlignment="1">
      <alignment vertical="center"/>
    </xf>
    <xf numFmtId="165" fontId="29" fillId="0" borderId="0" xfId="2" applyNumberFormat="1" applyFont="1" applyAlignment="1">
      <alignment horizontal="center" vertical="center"/>
    </xf>
    <xf numFmtId="165" fontId="29" fillId="0" borderId="0" xfId="2" applyNumberFormat="1" applyFont="1" applyAlignment="1">
      <alignment vertical="center"/>
    </xf>
    <xf numFmtId="0" fontId="29" fillId="0" borderId="11" xfId="2" applyFont="1" applyBorder="1" applyAlignment="1">
      <alignment vertical="center"/>
    </xf>
    <xf numFmtId="0" fontId="29" fillId="0" borderId="6" xfId="2" applyFont="1" applyBorder="1" applyAlignment="1">
      <alignment vertical="center"/>
    </xf>
    <xf numFmtId="0" fontId="29" fillId="0" borderId="5" xfId="2" applyFont="1" applyBorder="1" applyAlignment="1">
      <alignment horizontal="center" vertical="center"/>
    </xf>
    <xf numFmtId="165" fontId="29" fillId="0" borderId="5" xfId="2" applyNumberFormat="1" applyFont="1" applyBorder="1" applyAlignment="1">
      <alignment horizontal="center" vertical="center"/>
    </xf>
    <xf numFmtId="0" fontId="29" fillId="0" borderId="7" xfId="2" applyFont="1" applyBorder="1" applyAlignment="1">
      <alignment vertical="center"/>
    </xf>
    <xf numFmtId="0" fontId="34" fillId="0" borderId="0" xfId="2" applyFont="1"/>
    <xf numFmtId="0" fontId="35" fillId="0" borderId="0" xfId="2" applyFont="1" applyAlignment="1">
      <alignment horizontal="left" vertical="center"/>
    </xf>
    <xf numFmtId="0" fontId="36" fillId="0" borderId="0" xfId="2" applyFont="1"/>
    <xf numFmtId="0" fontId="37" fillId="0" borderId="0" xfId="2" applyFont="1"/>
    <xf numFmtId="0" fontId="35" fillId="0" borderId="0" xfId="2" applyFont="1" applyAlignment="1">
      <alignment vertical="center"/>
    </xf>
    <xf numFmtId="0" fontId="29" fillId="0" borderId="0" xfId="0" applyFont="1"/>
    <xf numFmtId="0" fontId="35" fillId="0" borderId="0" xfId="0" applyFont="1"/>
    <xf numFmtId="0" fontId="29" fillId="0" borderId="0" xfId="0" applyFont="1" applyAlignment="1">
      <alignment horizontal="center" vertical="center"/>
    </xf>
    <xf numFmtId="0" fontId="36" fillId="0" borderId="0" xfId="2" applyFont="1" applyAlignment="1">
      <alignment horizontal="center" vertical="center"/>
    </xf>
    <xf numFmtId="0" fontId="39" fillId="0" borderId="0" xfId="1" applyFont="1" applyAlignment="1">
      <alignment vertical="center"/>
    </xf>
    <xf numFmtId="0" fontId="14" fillId="5" borderId="1" xfId="1" applyFont="1" applyFill="1" applyBorder="1" applyAlignment="1">
      <alignment vertical="center"/>
    </xf>
    <xf numFmtId="0" fontId="14" fillId="0" borderId="0" xfId="1" applyFont="1" applyAlignment="1">
      <alignment vertical="center"/>
    </xf>
    <xf numFmtId="0" fontId="14" fillId="5" borderId="4" xfId="1" applyFont="1" applyFill="1" applyBorder="1" applyAlignment="1">
      <alignment vertical="center"/>
    </xf>
    <xf numFmtId="0" fontId="14" fillId="5" borderId="3" xfId="1" applyFont="1" applyFill="1" applyBorder="1" applyAlignment="1">
      <alignment vertical="center"/>
    </xf>
    <xf numFmtId="0" fontId="14" fillId="0" borderId="3" xfId="1" applyFont="1" applyBorder="1" applyAlignment="1">
      <alignment vertical="center"/>
    </xf>
    <xf numFmtId="0" fontId="14" fillId="0" borderId="4" xfId="1" applyFont="1" applyBorder="1" applyAlignment="1">
      <alignment vertical="center"/>
    </xf>
    <xf numFmtId="0" fontId="15" fillId="0" borderId="0" xfId="1" applyAlignment="1">
      <alignment vertical="center"/>
    </xf>
    <xf numFmtId="0" fontId="14" fillId="5" borderId="1" xfId="1" applyFont="1" applyFill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165" fontId="15" fillId="0" borderId="1" xfId="1" applyNumberFormat="1" applyBorder="1" applyAlignment="1">
      <alignment horizontal="center" vertical="center"/>
    </xf>
    <xf numFmtId="165" fontId="15" fillId="0" borderId="0" xfId="1" applyNumberFormat="1" applyAlignment="1">
      <alignment horizontal="center" vertical="center"/>
    </xf>
    <xf numFmtId="165" fontId="14" fillId="5" borderId="1" xfId="1" applyNumberFormat="1" applyFont="1" applyFill="1" applyBorder="1" applyAlignment="1">
      <alignment horizontal="center" vertical="center"/>
    </xf>
    <xf numFmtId="165" fontId="15" fillId="7" borderId="0" xfId="1" applyNumberFormat="1" applyFill="1" applyAlignment="1">
      <alignment horizontal="center" vertical="center"/>
    </xf>
    <xf numFmtId="0" fontId="15" fillId="7" borderId="0" xfId="1" applyFill="1" applyAlignment="1">
      <alignment vertical="center"/>
    </xf>
    <xf numFmtId="165" fontId="15" fillId="0" borderId="0" xfId="1" applyNumberFormat="1" applyAlignment="1">
      <alignment vertical="center"/>
    </xf>
    <xf numFmtId="0" fontId="14" fillId="5" borderId="23" xfId="1" applyFont="1" applyFill="1" applyBorder="1" applyAlignment="1">
      <alignment horizontal="center" vertical="center"/>
    </xf>
    <xf numFmtId="0" fontId="14" fillId="5" borderId="24" xfId="1" applyFont="1" applyFill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4" fillId="5" borderId="14" xfId="1" applyFont="1" applyFill="1" applyBorder="1" applyAlignment="1">
      <alignment horizontal="center" vertical="center"/>
    </xf>
    <xf numFmtId="0" fontId="14" fillId="5" borderId="26" xfId="1" applyFont="1" applyFill="1" applyBorder="1" applyAlignment="1">
      <alignment horizontal="center" vertical="center"/>
    </xf>
    <xf numFmtId="0" fontId="15" fillId="0" borderId="27" xfId="1" applyBorder="1" applyAlignment="1">
      <alignment horizontal="center" vertical="center"/>
    </xf>
    <xf numFmtId="165" fontId="15" fillId="0" borderId="28" xfId="1" applyNumberFormat="1" applyBorder="1" applyAlignment="1">
      <alignment horizontal="center" vertical="center"/>
    </xf>
    <xf numFmtId="0" fontId="15" fillId="0" borderId="0" xfId="1" applyAlignment="1">
      <alignment horizontal="center" vertical="center"/>
    </xf>
    <xf numFmtId="0" fontId="14" fillId="0" borderId="29" xfId="1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5" fillId="0" borderId="4" xfId="1" applyBorder="1" applyAlignment="1">
      <alignment vertical="center"/>
    </xf>
    <xf numFmtId="0" fontId="15" fillId="0" borderId="2" xfId="1" applyBorder="1" applyAlignment="1">
      <alignment vertical="center"/>
    </xf>
    <xf numFmtId="166" fontId="15" fillId="0" borderId="2" xfId="1" applyNumberFormat="1" applyBorder="1" applyAlignment="1">
      <alignment vertical="center"/>
    </xf>
    <xf numFmtId="0" fontId="14" fillId="0" borderId="3" xfId="1" applyFont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49" fontId="40" fillId="0" borderId="1" xfId="0" quotePrefix="1" applyNumberFormat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49" fontId="14" fillId="6" borderId="8" xfId="0" applyNumberFormat="1" applyFont="1" applyFill="1" applyBorder="1" applyAlignment="1">
      <alignment horizontal="center" vertical="center"/>
    </xf>
    <xf numFmtId="49" fontId="14" fillId="6" borderId="4" xfId="0" applyNumberFormat="1" applyFont="1" applyFill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0" borderId="0" xfId="0" applyFont="1"/>
    <xf numFmtId="0" fontId="45" fillId="0" borderId="0" xfId="0" applyFont="1" applyAlignment="1">
      <alignment vertical="center"/>
    </xf>
    <xf numFmtId="165" fontId="0" fillId="0" borderId="1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5" borderId="13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vertical="center"/>
    </xf>
    <xf numFmtId="0" fontId="14" fillId="5" borderId="13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2" fontId="18" fillId="0" borderId="1" xfId="0" applyNumberFormat="1" applyFont="1" applyBorder="1"/>
    <xf numFmtId="0" fontId="18" fillId="0" borderId="3" xfId="0" applyFont="1" applyBorder="1"/>
    <xf numFmtId="1" fontId="29" fillId="0" borderId="0" xfId="2" quotePrefix="1" applyNumberFormat="1" applyFont="1" applyAlignment="1">
      <alignment vertical="center"/>
    </xf>
    <xf numFmtId="0" fontId="40" fillId="0" borderId="4" xfId="0" applyFont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/>
    </xf>
    <xf numFmtId="0" fontId="30" fillId="0" borderId="0" xfId="2" applyFont="1" applyAlignment="1">
      <alignment horizontal="left" vertical="center"/>
    </xf>
    <xf numFmtId="2" fontId="0" fillId="0" borderId="1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18" fillId="0" borderId="0" xfId="0" applyNumberFormat="1" applyFont="1"/>
    <xf numFmtId="165" fontId="29" fillId="0" borderId="0" xfId="0" applyNumberFormat="1" applyFont="1" applyAlignment="1">
      <alignment horizontal="right" vertical="center" indent="5"/>
    </xf>
    <xf numFmtId="0" fontId="30" fillId="0" borderId="0" xfId="0" applyFont="1" applyAlignment="1">
      <alignment vertical="center"/>
    </xf>
    <xf numFmtId="1" fontId="29" fillId="0" borderId="0" xfId="2" quotePrefix="1" applyNumberFormat="1" applyFont="1" applyAlignment="1">
      <alignment horizontal="center" vertical="center"/>
    </xf>
    <xf numFmtId="165" fontId="14" fillId="8" borderId="1" xfId="1" applyNumberFormat="1" applyFont="1" applyFill="1" applyBorder="1" applyAlignment="1">
      <alignment horizontal="center" vertical="center"/>
    </xf>
    <xf numFmtId="165" fontId="14" fillId="6" borderId="1" xfId="1" applyNumberFormat="1" applyFont="1" applyFill="1" applyBorder="1" applyAlignment="1">
      <alignment horizontal="center" vertical="center"/>
    </xf>
    <xf numFmtId="165" fontId="14" fillId="9" borderId="1" xfId="1" applyNumberFormat="1" applyFont="1" applyFill="1" applyBorder="1" applyAlignment="1">
      <alignment horizontal="center" vertical="center"/>
    </xf>
    <xf numFmtId="165" fontId="14" fillId="10" borderId="1" xfId="1" applyNumberFormat="1" applyFont="1" applyFill="1" applyBorder="1" applyAlignment="1">
      <alignment horizontal="center" vertical="center"/>
    </xf>
    <xf numFmtId="165" fontId="14" fillId="0" borderId="0" xfId="1" applyNumberFormat="1" applyFont="1" applyAlignment="1">
      <alignment horizontal="center" vertical="center"/>
    </xf>
    <xf numFmtId="2" fontId="15" fillId="0" borderId="0" xfId="1" applyNumberFormat="1" applyAlignment="1">
      <alignment horizontal="center" vertical="center"/>
    </xf>
    <xf numFmtId="165" fontId="50" fillId="11" borderId="1" xfId="1" applyNumberFormat="1" applyFont="1" applyFill="1" applyBorder="1" applyAlignment="1">
      <alignment horizontal="center" vertical="center"/>
    </xf>
    <xf numFmtId="164" fontId="14" fillId="0" borderId="0" xfId="3" applyFont="1" applyFill="1" applyBorder="1" applyAlignment="1">
      <alignment horizontal="center" vertical="center"/>
    </xf>
    <xf numFmtId="164" fontId="15" fillId="0" borderId="0" xfId="3" applyFill="1" applyAlignment="1">
      <alignment vertical="center"/>
    </xf>
    <xf numFmtId="164" fontId="15" fillId="0" borderId="0" xfId="3" applyAlignment="1">
      <alignment vertical="center"/>
    </xf>
    <xf numFmtId="0" fontId="0" fillId="0" borderId="0" xfId="1" applyFont="1" applyAlignment="1">
      <alignment vertical="center"/>
    </xf>
    <xf numFmtId="165" fontId="51" fillId="11" borderId="16" xfId="1" applyNumberFormat="1" applyFont="1" applyFill="1" applyBorder="1" applyAlignment="1">
      <alignment horizontal="center" vertical="center"/>
    </xf>
    <xf numFmtId="165" fontId="15" fillId="4" borderId="17" xfId="1" applyNumberFormat="1" applyFill="1" applyBorder="1" applyAlignment="1">
      <alignment horizontal="center" vertical="center"/>
    </xf>
    <xf numFmtId="165" fontId="14" fillId="12" borderId="30" xfId="1" applyNumberFormat="1" applyFont="1" applyFill="1" applyBorder="1" applyAlignment="1">
      <alignment horizontal="center" vertical="center"/>
    </xf>
    <xf numFmtId="165" fontId="14" fillId="12" borderId="31" xfId="1" applyNumberFormat="1" applyFont="1" applyFill="1" applyBorder="1" applyAlignment="1">
      <alignment horizontal="center" vertical="center"/>
    </xf>
    <xf numFmtId="0" fontId="31" fillId="0" borderId="0" xfId="4" applyFont="1" applyAlignment="1">
      <alignment vertical="center"/>
    </xf>
    <xf numFmtId="0" fontId="30" fillId="0" borderId="0" xfId="4" applyFont="1" applyAlignment="1">
      <alignment horizontal="center" vertical="center"/>
    </xf>
    <xf numFmtId="0" fontId="29" fillId="0" borderId="0" xfId="4" applyFont="1" applyAlignment="1">
      <alignment vertical="center"/>
    </xf>
    <xf numFmtId="0" fontId="29" fillId="0" borderId="0" xfId="4" applyFont="1" applyAlignment="1">
      <alignment horizontal="center" vertical="center"/>
    </xf>
    <xf numFmtId="0" fontId="30" fillId="0" borderId="0" xfId="4" applyFont="1" applyAlignment="1">
      <alignment vertical="center"/>
    </xf>
    <xf numFmtId="165" fontId="29" fillId="0" borderId="5" xfId="2" applyNumberFormat="1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4" borderId="0" xfId="0" applyFill="1" applyAlignment="1">
      <alignment vertical="center"/>
    </xf>
    <xf numFmtId="169" fontId="18" fillId="0" borderId="1" xfId="0" applyNumberFormat="1" applyFont="1" applyBorder="1"/>
    <xf numFmtId="0" fontId="53" fillId="0" borderId="0" xfId="2" applyFont="1" applyAlignment="1">
      <alignment horizontal="left" vertical="center"/>
    </xf>
    <xf numFmtId="49" fontId="0" fillId="6" borderId="4" xfId="0" applyNumberFormat="1" applyFill="1" applyBorder="1" applyAlignment="1">
      <alignment vertical="center"/>
    </xf>
    <xf numFmtId="49" fontId="0" fillId="4" borderId="12" xfId="0" applyNumberFormat="1" applyFill="1" applyBorder="1" applyAlignment="1">
      <alignment vertical="center"/>
    </xf>
    <xf numFmtId="49" fontId="0" fillId="4" borderId="0" xfId="0" applyNumberFormat="1" applyFill="1" applyAlignment="1">
      <alignment vertical="center"/>
    </xf>
    <xf numFmtId="0" fontId="14" fillId="0" borderId="8" xfId="0" applyFont="1" applyBorder="1" applyAlignment="1">
      <alignment vertical="center"/>
    </xf>
    <xf numFmtId="49" fontId="0" fillId="5" borderId="1" xfId="0" applyNumberFormat="1" applyFill="1" applyBorder="1" applyAlignment="1">
      <alignment vertical="center"/>
    </xf>
    <xf numFmtId="49" fontId="53" fillId="0" borderId="0" xfId="2" applyNumberFormat="1" applyFont="1" applyAlignment="1">
      <alignment horizontal="left" vertical="center"/>
    </xf>
    <xf numFmtId="165" fontId="15" fillId="0" borderId="13" xfId="1" applyNumberFormat="1" applyBorder="1" applyAlignment="1">
      <alignment horizontal="center" vertical="center"/>
    </xf>
    <xf numFmtId="165" fontId="15" fillId="0" borderId="14" xfId="1" applyNumberFormat="1" applyBorder="1" applyAlignment="1">
      <alignment horizontal="center" vertical="center"/>
    </xf>
    <xf numFmtId="165" fontId="15" fillId="0" borderId="12" xfId="1" applyNumberFormat="1" applyBorder="1" applyAlignment="1">
      <alignment vertical="center"/>
    </xf>
    <xf numFmtId="171" fontId="15" fillId="0" borderId="1" xfId="1" applyNumberFormat="1" applyBorder="1" applyAlignment="1">
      <alignment horizontal="center" vertical="center"/>
    </xf>
    <xf numFmtId="2" fontId="15" fillId="0" borderId="0" xfId="1" applyNumberFormat="1" applyAlignment="1">
      <alignment vertical="center"/>
    </xf>
    <xf numFmtId="2" fontId="15" fillId="0" borderId="12" xfId="1" applyNumberFormat="1" applyBorder="1" applyAlignment="1">
      <alignment vertical="center"/>
    </xf>
    <xf numFmtId="165" fontId="14" fillId="0" borderId="1" xfId="1" applyNumberFormat="1" applyFont="1" applyBorder="1" applyAlignment="1">
      <alignment horizontal="center" vertical="center"/>
    </xf>
    <xf numFmtId="0" fontId="18" fillId="4" borderId="0" xfId="1" applyFont="1" applyFill="1"/>
    <xf numFmtId="0" fontId="18" fillId="0" borderId="0" xfId="1" applyFont="1"/>
    <xf numFmtId="169" fontId="18" fillId="0" borderId="0" xfId="1" applyNumberFormat="1" applyFont="1" applyAlignment="1">
      <alignment horizontal="center"/>
    </xf>
    <xf numFmtId="0" fontId="18" fillId="0" borderId="0" xfId="1" applyFont="1" applyAlignment="1">
      <alignment horizontal="center"/>
    </xf>
    <xf numFmtId="0" fontId="18" fillId="12" borderId="0" xfId="1" applyFont="1" applyFill="1"/>
    <xf numFmtId="0" fontId="8" fillId="0" borderId="0" xfId="11"/>
    <xf numFmtId="0" fontId="54" fillId="0" borderId="32" xfId="11" applyFont="1" applyBorder="1" applyAlignment="1">
      <alignment horizontal="centerContinuous"/>
    </xf>
    <xf numFmtId="0" fontId="8" fillId="0" borderId="33" xfId="11" applyBorder="1"/>
    <xf numFmtId="0" fontId="54" fillId="0" borderId="32" xfId="11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1" xfId="1" applyFont="1" applyBorder="1"/>
    <xf numFmtId="0" fontId="18" fillId="13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4" fillId="0" borderId="0" xfId="0" applyFont="1" applyAlignment="1">
      <alignment horizontal="center" vertical="center" wrapText="1"/>
    </xf>
    <xf numFmtId="15" fontId="46" fillId="0" borderId="0" xfId="0" applyNumberFormat="1" applyFont="1" applyAlignment="1">
      <alignment vertical="center"/>
    </xf>
    <xf numFmtId="0" fontId="46" fillId="0" borderId="0" xfId="0" applyFont="1" applyAlignment="1">
      <alignment vertical="center"/>
    </xf>
    <xf numFmtId="165" fontId="0" fillId="0" borderId="0" xfId="0" applyNumberFormat="1" applyAlignment="1">
      <alignment vertical="center"/>
    </xf>
    <xf numFmtId="2" fontId="0" fillId="0" borderId="12" xfId="0" applyNumberFormat="1" applyBorder="1" applyAlignment="1">
      <alignment horizontal="center" vertical="center"/>
    </xf>
    <xf numFmtId="2" fontId="0" fillId="0" borderId="1" xfId="0" applyNumberFormat="1" applyBorder="1"/>
    <xf numFmtId="0" fontId="18" fillId="0" borderId="5" xfId="0" applyFont="1" applyBorder="1" applyAlignment="1">
      <alignment horizontal="center"/>
    </xf>
    <xf numFmtId="0" fontId="18" fillId="0" borderId="5" xfId="0" applyFont="1" applyBorder="1"/>
    <xf numFmtId="0" fontId="0" fillId="0" borderId="1" xfId="0" applyBorder="1" applyAlignment="1">
      <alignment horizontal="center"/>
    </xf>
    <xf numFmtId="0" fontId="18" fillId="0" borderId="1" xfId="23" applyFont="1" applyBorder="1" applyAlignment="1">
      <alignment horizontal="center"/>
    </xf>
    <xf numFmtId="2" fontId="15" fillId="0" borderId="1" xfId="1" applyNumberFormat="1" applyBorder="1" applyAlignment="1">
      <alignment horizontal="center"/>
    </xf>
    <xf numFmtId="0" fontId="15" fillId="0" borderId="1" xfId="23" applyBorder="1" applyAlignment="1">
      <alignment horizontal="center" vertical="center"/>
    </xf>
    <xf numFmtId="0" fontId="15" fillId="0" borderId="1" xfId="23" applyBorder="1" applyAlignment="1">
      <alignment horizontal="center"/>
    </xf>
    <xf numFmtId="0" fontId="18" fillId="0" borderId="1" xfId="23" applyFont="1" applyBorder="1" applyAlignment="1">
      <alignment horizontal="center" vertical="center"/>
    </xf>
    <xf numFmtId="169" fontId="18" fillId="0" borderId="1" xfId="23" applyNumberFormat="1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70" fontId="0" fillId="0" borderId="1" xfId="0" applyNumberFormat="1" applyBorder="1" applyAlignment="1">
      <alignment horizontal="center"/>
    </xf>
    <xf numFmtId="165" fontId="15" fillId="0" borderId="4" xfId="1" applyNumberFormat="1" applyBorder="1" applyAlignment="1">
      <alignment horizontal="center" vertical="center"/>
    </xf>
    <xf numFmtId="0" fontId="15" fillId="0" borderId="1" xfId="1" applyBorder="1" applyAlignment="1">
      <alignment horizontal="center" vertical="center"/>
    </xf>
    <xf numFmtId="165" fontId="14" fillId="5" borderId="4" xfId="1" applyNumberFormat="1" applyFont="1" applyFill="1" applyBorder="1" applyAlignment="1">
      <alignment horizontal="center" vertical="center"/>
    </xf>
    <xf numFmtId="0" fontId="18" fillId="0" borderId="1" xfId="1" applyFont="1" applyBorder="1" applyAlignment="1">
      <alignment horizontal="center"/>
    </xf>
    <xf numFmtId="0" fontId="21" fillId="2" borderId="1" xfId="0" applyFont="1" applyFill="1" applyBorder="1" applyAlignment="1">
      <alignment horizontal="center" vertical="center"/>
    </xf>
    <xf numFmtId="1" fontId="18" fillId="0" borderId="1" xfId="0" applyNumberFormat="1" applyFont="1" applyBorder="1"/>
    <xf numFmtId="0" fontId="18" fillId="0" borderId="4" xfId="1" applyFont="1" applyBorder="1"/>
    <xf numFmtId="169" fontId="18" fillId="0" borderId="1" xfId="1" applyNumberFormat="1" applyFont="1" applyBorder="1"/>
    <xf numFmtId="0" fontId="18" fillId="0" borderId="0" xfId="23" applyFont="1"/>
    <xf numFmtId="170" fontId="15" fillId="0" borderId="1" xfId="1" applyNumberFormat="1" applyBorder="1" applyAlignment="1">
      <alignment horizontal="center" vertical="center"/>
    </xf>
    <xf numFmtId="0" fontId="15" fillId="0" borderId="1" xfId="1" applyBorder="1" applyAlignment="1">
      <alignment vertical="center"/>
    </xf>
    <xf numFmtId="2" fontId="15" fillId="0" borderId="1" xfId="1" applyNumberFormat="1" applyBorder="1" applyAlignment="1">
      <alignment horizontal="center" vertical="center"/>
    </xf>
    <xf numFmtId="170" fontId="0" fillId="0" borderId="1" xfId="1" applyNumberFormat="1" applyFont="1" applyBorder="1" applyAlignment="1">
      <alignment horizontal="center" vertical="center"/>
    </xf>
    <xf numFmtId="1" fontId="15" fillId="14" borderId="0" xfId="1" applyNumberFormat="1" applyFill="1" applyAlignment="1">
      <alignment horizontal="center" vertical="center"/>
    </xf>
    <xf numFmtId="165" fontId="15" fillId="14" borderId="1" xfId="1" applyNumberFormat="1" applyFill="1" applyBorder="1" applyAlignment="1">
      <alignment horizontal="center" vertical="center"/>
    </xf>
    <xf numFmtId="1" fontId="15" fillId="0" borderId="0" xfId="1" applyNumberFormat="1" applyAlignment="1">
      <alignment horizontal="center" vertical="center"/>
    </xf>
    <xf numFmtId="165" fontId="15" fillId="14" borderId="0" xfId="1" applyNumberFormat="1" applyFill="1" applyAlignment="1">
      <alignment horizontal="center" vertical="center"/>
    </xf>
    <xf numFmtId="2" fontId="14" fillId="5" borderId="1" xfId="1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/>
    <xf numFmtId="169" fontId="0" fillId="0" borderId="14" xfId="0" applyNumberFormat="1" applyBorder="1" applyAlignment="1">
      <alignment horizontal="center" vertical="center"/>
    </xf>
    <xf numFmtId="0" fontId="14" fillId="0" borderId="0" xfId="0" applyFont="1"/>
    <xf numFmtId="0" fontId="0" fillId="0" borderId="0" xfId="0" applyAlignment="1">
      <alignment horizontal="left"/>
    </xf>
    <xf numFmtId="0" fontId="55" fillId="4" borderId="0" xfId="0" applyFont="1" applyFill="1" applyAlignment="1">
      <alignment vertical="center"/>
    </xf>
    <xf numFmtId="0" fontId="18" fillId="0" borderId="1" xfId="6" applyFont="1" applyBorder="1" applyAlignment="1">
      <alignment horizontal="center" vertical="center"/>
    </xf>
    <xf numFmtId="2" fontId="18" fillId="0" borderId="1" xfId="6" applyNumberFormat="1" applyFont="1" applyBorder="1" applyAlignment="1">
      <alignment horizontal="center" vertical="center"/>
    </xf>
    <xf numFmtId="2" fontId="18" fillId="0" borderId="1" xfId="23" applyNumberFormat="1" applyFont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15" fillId="0" borderId="0" xfId="1" applyAlignment="1">
      <alignment horizontal="center"/>
    </xf>
    <xf numFmtId="0" fontId="18" fillId="0" borderId="0" xfId="23" applyFont="1" applyAlignment="1">
      <alignment horizontal="center"/>
    </xf>
    <xf numFmtId="2" fontId="15" fillId="0" borderId="0" xfId="1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18" fillId="0" borderId="1" xfId="23" applyNumberFormat="1" applyFont="1" applyBorder="1" applyAlignment="1">
      <alignment horizontal="center"/>
    </xf>
    <xf numFmtId="0" fontId="0" fillId="15" borderId="1" xfId="0" applyFill="1" applyBorder="1" applyAlignment="1">
      <alignment horizontal="center" vertical="center"/>
    </xf>
    <xf numFmtId="170" fontId="15" fillId="0" borderId="1" xfId="1" applyNumberFormat="1" applyBorder="1" applyAlignment="1">
      <alignment horizontal="center"/>
    </xf>
    <xf numFmtId="0" fontId="15" fillId="0" borderId="1" xfId="1" applyBorder="1"/>
    <xf numFmtId="165" fontId="0" fillId="0" borderId="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8" fillId="0" borderId="0" xfId="289" applyFont="1"/>
    <xf numFmtId="0" fontId="0" fillId="2" borderId="1" xfId="0" applyFill="1" applyBorder="1" applyAlignment="1">
      <alignment horizontal="center" vertical="center"/>
    </xf>
    <xf numFmtId="2" fontId="14" fillId="5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169" fontId="0" fillId="0" borderId="12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165" fontId="15" fillId="4" borderId="1" xfId="1" applyNumberFormat="1" applyFill="1" applyBorder="1" applyAlignment="1">
      <alignment horizontal="center" vertical="center"/>
    </xf>
    <xf numFmtId="0" fontId="1" fillId="0" borderId="0" xfId="1064"/>
    <xf numFmtId="0" fontId="27" fillId="0" borderId="0" xfId="1064" applyFont="1"/>
    <xf numFmtId="0" fontId="0" fillId="0" borderId="0" xfId="0" applyAlignment="1">
      <alignment wrapText="1"/>
    </xf>
    <xf numFmtId="0" fontId="0" fillId="0" borderId="13" xfId="0" applyBorder="1"/>
    <xf numFmtId="0" fontId="0" fillId="0" borderId="2" xfId="0" applyBorder="1"/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46" fillId="17" borderId="4" xfId="0" applyFont="1" applyFill="1" applyBorder="1" applyAlignment="1">
      <alignment horizontal="left" vertical="center"/>
    </xf>
    <xf numFmtId="0" fontId="46" fillId="17" borderId="3" xfId="0" applyFont="1" applyFill="1" applyBorder="1" applyAlignment="1">
      <alignment horizontal="left" vertical="center"/>
    </xf>
    <xf numFmtId="0" fontId="46" fillId="6" borderId="4" xfId="0" applyFont="1" applyFill="1" applyBorder="1" applyAlignment="1">
      <alignment horizontal="left" vertical="center"/>
    </xf>
    <xf numFmtId="0" fontId="46" fillId="6" borderId="3" xfId="0" applyFont="1" applyFill="1" applyBorder="1" applyAlignment="1">
      <alignment horizontal="left" vertical="center"/>
    </xf>
    <xf numFmtId="15" fontId="46" fillId="6" borderId="4" xfId="0" applyNumberFormat="1" applyFont="1" applyFill="1" applyBorder="1" applyAlignment="1">
      <alignment horizontal="left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14" fillId="5" borderId="3" xfId="0" applyFont="1" applyFill="1" applyBorder="1" applyAlignment="1">
      <alignment horizontal="center" vertical="center"/>
    </xf>
    <xf numFmtId="0" fontId="46" fillId="0" borderId="4" xfId="0" applyFont="1" applyBorder="1" applyAlignment="1">
      <alignment horizontal="left" vertical="center"/>
    </xf>
    <xf numFmtId="0" fontId="46" fillId="0" borderId="3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13" borderId="4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14" fillId="5" borderId="8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7" fillId="5" borderId="4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25" fillId="0" borderId="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14" fillId="6" borderId="4" xfId="0" quotePrefix="1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left" vertical="center"/>
    </xf>
    <xf numFmtId="0" fontId="14" fillId="6" borderId="3" xfId="0" applyFont="1" applyFill="1" applyBorder="1" applyAlignment="1">
      <alignment horizontal="left" vertical="center"/>
    </xf>
    <xf numFmtId="49" fontId="0" fillId="6" borderId="4" xfId="0" applyNumberFormat="1" applyFill="1" applyBorder="1" applyAlignment="1">
      <alignment horizontal="left" vertical="center"/>
    </xf>
    <xf numFmtId="49" fontId="0" fillId="6" borderId="2" xfId="0" applyNumberFormat="1" applyFill="1" applyBorder="1" applyAlignment="1">
      <alignment horizontal="left" vertical="center"/>
    </xf>
    <xf numFmtId="49" fontId="0" fillId="6" borderId="3" xfId="0" applyNumberFormat="1" applyFill="1" applyBorder="1" applyAlignment="1">
      <alignment horizontal="left" vertical="center"/>
    </xf>
    <xf numFmtId="49" fontId="14" fillId="6" borderId="2" xfId="0" applyNumberFormat="1" applyFont="1" applyFill="1" applyBorder="1" applyAlignment="1">
      <alignment horizontal="center" vertical="center"/>
    </xf>
    <xf numFmtId="49" fontId="14" fillId="6" borderId="3" xfId="0" applyNumberFormat="1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left" vertical="center"/>
    </xf>
    <xf numFmtId="0" fontId="42" fillId="5" borderId="4" xfId="0" applyFont="1" applyFill="1" applyBorder="1" applyAlignment="1">
      <alignment horizontal="center" vertical="center"/>
    </xf>
    <xf numFmtId="0" fontId="42" fillId="5" borderId="2" xfId="0" applyFont="1" applyFill="1" applyBorder="1" applyAlignment="1">
      <alignment horizontal="center" vertical="center"/>
    </xf>
    <xf numFmtId="0" fontId="42" fillId="5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7" fontId="14" fillId="5" borderId="2" xfId="0" applyNumberFormat="1" applyFont="1" applyFill="1" applyBorder="1" applyAlignment="1">
      <alignment horizontal="center" vertical="center"/>
    </xf>
    <xf numFmtId="0" fontId="14" fillId="6" borderId="12" xfId="0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 vertical="center"/>
    </xf>
    <xf numFmtId="0" fontId="14" fillId="6" borderId="3" xfId="0" applyFont="1" applyFill="1" applyBorder="1" applyAlignment="1">
      <alignment horizontal="center" vertical="center"/>
    </xf>
    <xf numFmtId="0" fontId="14" fillId="6" borderId="1" xfId="1" applyFont="1" applyFill="1" applyBorder="1" applyAlignment="1">
      <alignment horizontal="center" vertical="center"/>
    </xf>
    <xf numFmtId="1" fontId="14" fillId="6" borderId="4" xfId="0" applyNumberFormat="1" applyFont="1" applyFill="1" applyBorder="1" applyAlignment="1">
      <alignment horizontal="center" vertical="center"/>
    </xf>
    <xf numFmtId="1" fontId="14" fillId="6" borderId="3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14" fillId="6" borderId="1" xfId="0" applyNumberFormat="1" applyFont="1" applyFill="1" applyBorder="1" applyAlignment="1">
      <alignment horizontal="left" vertical="center"/>
    </xf>
    <xf numFmtId="49" fontId="14" fillId="6" borderId="4" xfId="0" applyNumberFormat="1" applyFont="1" applyFill="1" applyBorder="1" applyAlignment="1">
      <alignment horizontal="left" vertical="center"/>
    </xf>
    <xf numFmtId="49" fontId="14" fillId="6" borderId="2" xfId="0" applyNumberFormat="1" applyFont="1" applyFill="1" applyBorder="1" applyAlignment="1">
      <alignment horizontal="left" vertical="center"/>
    </xf>
    <xf numFmtId="49" fontId="14" fillId="6" borderId="3" xfId="0" applyNumberFormat="1" applyFont="1" applyFill="1" applyBorder="1" applyAlignment="1">
      <alignment horizontal="left" vertical="center"/>
    </xf>
    <xf numFmtId="0" fontId="42" fillId="0" borderId="10" xfId="0" applyFont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165" fontId="0" fillId="6" borderId="4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0" fontId="14" fillId="5" borderId="8" xfId="0" applyFont="1" applyFill="1" applyBorder="1" applyAlignment="1">
      <alignment horizontal="center" vertical="center" wrapText="1"/>
    </xf>
    <xf numFmtId="0" fontId="14" fillId="5" borderId="9" xfId="0" applyFont="1" applyFill="1" applyBorder="1" applyAlignment="1">
      <alignment horizontal="center" vertical="center" wrapText="1"/>
    </xf>
    <xf numFmtId="0" fontId="14" fillId="5" borderId="10" xfId="0" applyFont="1" applyFill="1" applyBorder="1" applyAlignment="1">
      <alignment horizontal="center" vertical="center" wrapText="1"/>
    </xf>
    <xf numFmtId="0" fontId="14" fillId="5" borderId="11" xfId="0" applyFont="1" applyFill="1" applyBorder="1" applyAlignment="1">
      <alignment horizontal="center" vertical="center" wrapText="1"/>
    </xf>
    <xf numFmtId="2" fontId="14" fillId="5" borderId="4" xfId="0" applyNumberFormat="1" applyFont="1" applyFill="1" applyBorder="1" applyAlignment="1">
      <alignment horizontal="center" vertical="center"/>
    </xf>
    <xf numFmtId="2" fontId="14" fillId="5" borderId="2" xfId="0" applyNumberFormat="1" applyFont="1" applyFill="1" applyBorder="1" applyAlignment="1">
      <alignment horizontal="center" vertical="center"/>
    </xf>
    <xf numFmtId="2" fontId="14" fillId="5" borderId="3" xfId="0" applyNumberFormat="1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5" xfId="0" applyBorder="1" applyAlignment="1">
      <alignment horizontal="left"/>
    </xf>
    <xf numFmtId="0" fontId="0" fillId="0" borderId="10" xfId="0" applyBorder="1" applyAlignment="1">
      <alignment horizontal="left"/>
    </xf>
    <xf numFmtId="0" fontId="55" fillId="4" borderId="0" xfId="0" applyFont="1" applyFill="1" applyAlignment="1">
      <alignment horizontal="left" vertical="center" wrapText="1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14" fillId="4" borderId="0" xfId="0" applyFont="1" applyFill="1" applyAlignment="1">
      <alignment horizontal="center" vertical="center" wrapText="1"/>
    </xf>
    <xf numFmtId="0" fontId="18" fillId="0" borderId="1" xfId="1" applyFont="1" applyBorder="1" applyAlignment="1">
      <alignment horizontal="center"/>
    </xf>
    <xf numFmtId="0" fontId="18" fillId="0" borderId="0" xfId="1" applyFont="1" applyAlignment="1">
      <alignment horizontal="left"/>
    </xf>
    <xf numFmtId="0" fontId="18" fillId="2" borderId="1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/>
    </xf>
    <xf numFmtId="0" fontId="18" fillId="0" borderId="1" xfId="6" applyFont="1" applyBorder="1" applyAlignment="1">
      <alignment horizontal="center" vertical="center"/>
    </xf>
    <xf numFmtId="0" fontId="18" fillId="12" borderId="0" xfId="1" applyFont="1" applyFill="1" applyAlignment="1">
      <alignment horizontal="center" vertical="center" wrapText="1"/>
    </xf>
    <xf numFmtId="0" fontId="15" fillId="0" borderId="0" xfId="1" applyAlignment="1">
      <alignment horizontal="center"/>
    </xf>
    <xf numFmtId="0" fontId="18" fillId="12" borderId="1" xfId="23" applyFont="1" applyFill="1" applyBorder="1" applyAlignment="1">
      <alignment horizontal="center"/>
    </xf>
    <xf numFmtId="0" fontId="18" fillId="0" borderId="1" xfId="23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30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0" fontId="49" fillId="0" borderId="0" xfId="2" applyFont="1" applyAlignment="1">
      <alignment horizontal="center" vertical="center"/>
    </xf>
    <xf numFmtId="0" fontId="28" fillId="5" borderId="0" xfId="2" applyFont="1" applyFill="1" applyAlignment="1">
      <alignment horizontal="center" vertical="center"/>
    </xf>
    <xf numFmtId="0" fontId="30" fillId="0" borderId="0" xfId="2" applyFont="1" applyAlignment="1">
      <alignment horizontal="left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horizontal="left" vertical="center"/>
    </xf>
    <xf numFmtId="0" fontId="30" fillId="0" borderId="5" xfId="2" applyFont="1" applyBorder="1" applyAlignment="1">
      <alignment horizontal="left" vertical="center"/>
    </xf>
    <xf numFmtId="0" fontId="31" fillId="0" borderId="12" xfId="2" applyFont="1" applyBorder="1" applyAlignment="1">
      <alignment horizontal="left" vertical="center"/>
    </xf>
    <xf numFmtId="1" fontId="29" fillId="0" borderId="0" xfId="4" quotePrefix="1" applyNumberFormat="1" applyFont="1" applyAlignment="1">
      <alignment horizontal="left" vertical="center"/>
    </xf>
    <xf numFmtId="0" fontId="31" fillId="0" borderId="0" xfId="2" applyFont="1" applyAlignment="1">
      <alignment horizontal="left" vertical="center"/>
    </xf>
    <xf numFmtId="1" fontId="29" fillId="0" borderId="0" xfId="2" quotePrefix="1" applyNumberFormat="1" applyFont="1" applyAlignment="1">
      <alignment horizontal="left" vertical="center"/>
    </xf>
    <xf numFmtId="0" fontId="29" fillId="0" borderId="0" xfId="2" applyFont="1" applyAlignment="1">
      <alignment horizontal="left" vertical="top" wrapText="1"/>
    </xf>
    <xf numFmtId="0" fontId="29" fillId="0" borderId="0" xfId="2" applyFont="1" applyAlignment="1">
      <alignment horizontal="left" vertical="center" wrapText="1"/>
    </xf>
    <xf numFmtId="2" fontId="29" fillId="0" borderId="1" xfId="0" applyNumberFormat="1" applyFont="1" applyBorder="1" applyAlignment="1">
      <alignment horizontal="center" vertical="center"/>
    </xf>
    <xf numFmtId="2" fontId="29" fillId="0" borderId="4" xfId="0" applyNumberFormat="1" applyFont="1" applyBorder="1" applyAlignment="1">
      <alignment horizontal="center" vertical="center"/>
    </xf>
    <xf numFmtId="165" fontId="29" fillId="0" borderId="4" xfId="0" applyNumberFormat="1" applyFont="1" applyBorder="1" applyAlignment="1">
      <alignment horizontal="center" vertical="center"/>
    </xf>
    <xf numFmtId="165" fontId="29" fillId="0" borderId="2" xfId="0" applyNumberFormat="1" applyFont="1" applyBorder="1" applyAlignment="1">
      <alignment horizontal="center" vertical="center"/>
    </xf>
    <xf numFmtId="165" fontId="29" fillId="0" borderId="3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165" fontId="29" fillId="0" borderId="1" xfId="0" applyNumberFormat="1" applyFont="1" applyBorder="1" applyAlignment="1">
      <alignment horizontal="center" vertical="center"/>
    </xf>
    <xf numFmtId="0" fontId="29" fillId="5" borderId="8" xfId="0" applyFont="1" applyFill="1" applyBorder="1" applyAlignment="1">
      <alignment horizontal="center"/>
    </xf>
    <xf numFmtId="0" fontId="29" fillId="5" borderId="12" xfId="0" applyFont="1" applyFill="1" applyBorder="1" applyAlignment="1">
      <alignment horizontal="center"/>
    </xf>
    <xf numFmtId="0" fontId="29" fillId="5" borderId="9" xfId="0" applyFont="1" applyFill="1" applyBorder="1" applyAlignment="1">
      <alignment horizontal="center"/>
    </xf>
    <xf numFmtId="0" fontId="35" fillId="5" borderId="10" xfId="0" applyFont="1" applyFill="1" applyBorder="1" applyAlignment="1">
      <alignment horizontal="center"/>
    </xf>
    <xf numFmtId="0" fontId="35" fillId="5" borderId="0" xfId="0" applyFont="1" applyFill="1" applyAlignment="1">
      <alignment horizontal="center"/>
    </xf>
    <xf numFmtId="0" fontId="35" fillId="5" borderId="11" xfId="0" applyFont="1" applyFill="1" applyBorder="1" applyAlignment="1">
      <alignment horizontal="center"/>
    </xf>
    <xf numFmtId="0" fontId="29" fillId="5" borderId="6" xfId="0" applyFont="1" applyFill="1" applyBorder="1" applyAlignment="1">
      <alignment horizontal="center"/>
    </xf>
    <xf numFmtId="0" fontId="29" fillId="5" borderId="5" xfId="0" applyFont="1" applyFill="1" applyBorder="1" applyAlignment="1">
      <alignment horizontal="center"/>
    </xf>
    <xf numFmtId="0" fontId="29" fillId="5" borderId="7" xfId="0" applyFont="1" applyFill="1" applyBorder="1" applyAlignment="1">
      <alignment horizontal="center"/>
    </xf>
    <xf numFmtId="0" fontId="29" fillId="0" borderId="0" xfId="2" applyFont="1" applyAlignment="1">
      <alignment horizontal="right" vertical="center"/>
    </xf>
    <xf numFmtId="0" fontId="31" fillId="0" borderId="0" xfId="2" applyFont="1" applyAlignment="1">
      <alignment horizontal="right" vertical="center"/>
    </xf>
    <xf numFmtId="0" fontId="29" fillId="0" borderId="0" xfId="4" applyFont="1" applyAlignment="1">
      <alignment horizontal="left" vertical="center"/>
    </xf>
    <xf numFmtId="1" fontId="29" fillId="0" borderId="0" xfId="4" applyNumberFormat="1" applyFont="1" applyAlignment="1">
      <alignment horizontal="left" vertical="center"/>
    </xf>
    <xf numFmtId="0" fontId="29" fillId="0" borderId="11" xfId="2" applyFont="1" applyBorder="1" applyAlignment="1">
      <alignment horizontal="left" vertical="center" wrapText="1"/>
    </xf>
    <xf numFmtId="0" fontId="29" fillId="0" borderId="4" xfId="2" applyFont="1" applyBorder="1" applyAlignment="1">
      <alignment horizontal="center" vertical="center"/>
    </xf>
    <xf numFmtId="0" fontId="29" fillId="0" borderId="2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35" fillId="0" borderId="12" xfId="2" applyFont="1" applyBorder="1" applyAlignment="1">
      <alignment horizontal="left" vertical="center"/>
    </xf>
    <xf numFmtId="0" fontId="29" fillId="0" borderId="0" xfId="2" quotePrefix="1" applyFont="1" applyAlignment="1">
      <alignment horizontal="center" vertical="center"/>
    </xf>
    <xf numFmtId="0" fontId="29" fillId="0" borderId="5" xfId="0" applyFont="1" applyBorder="1" applyAlignment="1">
      <alignment horizontal="left"/>
    </xf>
    <xf numFmtId="0" fontId="3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2" fontId="30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5" fillId="0" borderId="0" xfId="0" applyFont="1" applyAlignment="1">
      <alignment horizontal="left"/>
    </xf>
    <xf numFmtId="0" fontId="29" fillId="0" borderId="4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31" fillId="5" borderId="10" xfId="0" applyFont="1" applyFill="1" applyBorder="1" applyAlignment="1">
      <alignment horizontal="center"/>
    </xf>
    <xf numFmtId="0" fontId="31" fillId="5" borderId="0" xfId="0" applyFont="1" applyFill="1" applyAlignment="1">
      <alignment horizontal="center"/>
    </xf>
    <xf numFmtId="0" fontId="31" fillId="5" borderId="11" xfId="0" applyFont="1" applyFill="1" applyBorder="1" applyAlignment="1">
      <alignment horizontal="center"/>
    </xf>
    <xf numFmtId="2" fontId="15" fillId="0" borderId="13" xfId="1" applyNumberFormat="1" applyBorder="1" applyAlignment="1">
      <alignment horizontal="center" vertical="center"/>
    </xf>
    <xf numFmtId="2" fontId="15" fillId="0" borderId="15" xfId="1" applyNumberFormat="1" applyBorder="1" applyAlignment="1">
      <alignment horizontal="center" vertical="center"/>
    </xf>
    <xf numFmtId="2" fontId="15" fillId="0" borderId="14" xfId="1" applyNumberFormat="1" applyBorder="1" applyAlignment="1">
      <alignment horizontal="center" vertical="center"/>
    </xf>
    <xf numFmtId="165" fontId="15" fillId="0" borderId="1" xfId="1" applyNumberFormat="1" applyBorder="1" applyAlignment="1">
      <alignment horizontal="center" vertical="center"/>
    </xf>
    <xf numFmtId="0" fontId="14" fillId="4" borderId="1" xfId="1" quotePrefix="1" applyFont="1" applyFill="1" applyBorder="1" applyAlignment="1">
      <alignment horizontal="left" vertical="center"/>
    </xf>
    <xf numFmtId="0" fontId="14" fillId="4" borderId="1" xfId="1" applyFont="1" applyFill="1" applyBorder="1" applyAlignment="1">
      <alignment horizontal="left" vertical="center"/>
    </xf>
    <xf numFmtId="170" fontId="14" fillId="0" borderId="4" xfId="1" quotePrefix="1" applyNumberFormat="1" applyFont="1" applyBorder="1" applyAlignment="1">
      <alignment horizontal="left" vertical="center"/>
    </xf>
    <xf numFmtId="170" fontId="14" fillId="0" borderId="3" xfId="1" quotePrefix="1" applyNumberFormat="1" applyFont="1" applyBorder="1" applyAlignment="1">
      <alignment horizontal="left" vertical="center"/>
    </xf>
    <xf numFmtId="0" fontId="14" fillId="18" borderId="1" xfId="1" quotePrefix="1" applyFont="1" applyFill="1" applyBorder="1" applyAlignment="1">
      <alignment horizontal="left" vertical="center"/>
    </xf>
    <xf numFmtId="0" fontId="14" fillId="0" borderId="4" xfId="1" applyFont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2" fontId="15" fillId="0" borderId="1" xfId="1" applyNumberFormat="1" applyBorder="1" applyAlignment="1">
      <alignment horizontal="center" vertical="center"/>
    </xf>
    <xf numFmtId="0" fontId="14" fillId="19" borderId="1" xfId="1" quotePrefix="1" applyFont="1" applyFill="1" applyBorder="1" applyAlignment="1">
      <alignment horizontal="left" vertical="center"/>
    </xf>
    <xf numFmtId="165" fontId="15" fillId="0" borderId="13" xfId="1" applyNumberFormat="1" applyBorder="1" applyAlignment="1">
      <alignment horizontal="center" vertical="center"/>
    </xf>
    <xf numFmtId="165" fontId="15" fillId="0" borderId="15" xfId="1" applyNumberFormat="1" applyBorder="1" applyAlignment="1">
      <alignment horizontal="center" vertical="center"/>
    </xf>
    <xf numFmtId="165" fontId="15" fillId="0" borderId="14" xfId="1" applyNumberFormat="1" applyBorder="1" applyAlignment="1">
      <alignment horizontal="center" vertical="center"/>
    </xf>
    <xf numFmtId="165" fontId="14" fillId="12" borderId="20" xfId="1" applyNumberFormat="1" applyFont="1" applyFill="1" applyBorder="1" applyAlignment="1">
      <alignment horizontal="center" vertical="center"/>
    </xf>
    <xf numFmtId="0" fontId="14" fillId="12" borderId="21" xfId="1" applyFont="1" applyFill="1" applyBorder="1" applyAlignment="1">
      <alignment horizontal="center" vertical="center"/>
    </xf>
    <xf numFmtId="0" fontId="14" fillId="5" borderId="22" xfId="1" applyFont="1" applyFill="1" applyBorder="1" applyAlignment="1">
      <alignment horizontal="center" vertical="center"/>
    </xf>
    <xf numFmtId="0" fontId="14" fillId="5" borderId="25" xfId="1" applyFont="1" applyFill="1" applyBorder="1" applyAlignment="1">
      <alignment horizontal="center" vertical="center"/>
    </xf>
    <xf numFmtId="0" fontId="14" fillId="5" borderId="13" xfId="1" applyFont="1" applyFill="1" applyBorder="1" applyAlignment="1">
      <alignment horizontal="center" vertical="center" wrapText="1"/>
    </xf>
    <xf numFmtId="0" fontId="14" fillId="5" borderId="14" xfId="1" applyFont="1" applyFill="1" applyBorder="1" applyAlignment="1">
      <alignment horizontal="center" vertical="center" wrapText="1"/>
    </xf>
    <xf numFmtId="165" fontId="14" fillId="0" borderId="18" xfId="1" applyNumberFormat="1" applyFont="1" applyBorder="1" applyAlignment="1">
      <alignment horizontal="center" vertical="center"/>
    </xf>
    <xf numFmtId="165" fontId="14" fillId="0" borderId="19" xfId="1" applyNumberFormat="1" applyFont="1" applyBorder="1" applyAlignment="1">
      <alignment horizontal="center" vertical="center"/>
    </xf>
  </cellXfs>
  <cellStyles count="1065">
    <cellStyle name="Comma [0] 2" xfId="3" xr:uid="{00000000-0005-0000-0000-000000000000}"/>
    <cellStyle name="Comma [0] 2 2" xfId="8" xr:uid="{00000000-0005-0000-0000-000001000000}"/>
    <cellStyle name="Comma [0] 2 3" xfId="262" xr:uid="{8AC95B9C-7D4D-4D14-905A-1B6ED63200B3}"/>
    <cellStyle name="Comma [0] 2 3 2" xfId="984" xr:uid="{8491BC7D-7018-42C1-8A92-B08A23187567}"/>
    <cellStyle name="Comma [0] 2 3 3" xfId="945" xr:uid="{7F2595DF-ADD8-4CC7-842D-794A8806E6A9}"/>
    <cellStyle name="Comma [0] 3" xfId="326" xr:uid="{983B7B53-CAD4-4E47-BF9F-68A9E7A08BAF}"/>
    <cellStyle name="Comma 2" xfId="264" xr:uid="{99A1F19B-B5A1-4DCB-859E-47865CF441F7}"/>
    <cellStyle name="Normal" xfId="0" builtinId="0"/>
    <cellStyle name="Normal 10" xfId="946" xr:uid="{07692E81-AA1A-4D6D-B8BF-49CAE7C67A51}"/>
    <cellStyle name="Normal 10 2" xfId="985" xr:uid="{38BDB123-3384-4EF4-B18D-77956C3AC637}"/>
    <cellStyle name="Normal 11" xfId="947" xr:uid="{36B60DE3-C7EF-453F-9F54-4E2C4D7EFBBE}"/>
    <cellStyle name="Normal 11 2" xfId="986" xr:uid="{C68BEFB8-7280-47FD-9195-1FB9BE07D301}"/>
    <cellStyle name="Normal 12" xfId="289" xr:uid="{3EFF17CD-69AB-4D6A-9A90-DD4423DE0B6E}"/>
    <cellStyle name="Normal 12 2" xfId="992" xr:uid="{BDBBA793-7B8F-4BB1-A00E-95513340E8FC}"/>
    <cellStyle name="Normal 12 3" xfId="955" xr:uid="{36821BFD-3ECE-4ABE-A853-77B24514D24F}"/>
    <cellStyle name="Normal 2" xfId="1" xr:uid="{00000000-0005-0000-0000-000003000000}"/>
    <cellStyle name="Normal 2 2" xfId="23" xr:uid="{00000000-0005-0000-0000-000004000000}"/>
    <cellStyle name="Normal 2 2 2" xfId="907" xr:uid="{A3BD66EF-20CD-498B-B797-B4FFCFA83759}"/>
    <cellStyle name="Normal 2 2 3" xfId="902" xr:uid="{429C31EC-1F0A-4E30-A1CD-5E430438D332}"/>
    <cellStyle name="Normal 2 3" xfId="71" xr:uid="{4479CBC8-DA71-4ABA-9A47-0FC55CCEAF1E}"/>
    <cellStyle name="Normal 2 3 2" xfId="965" xr:uid="{A4BCB4A9-B925-4739-8C7B-B4871CCF534A}"/>
    <cellStyle name="Normal 2 3 2 2" xfId="1023" xr:uid="{F4D83E30-4A95-4A1B-B4D9-63192672C181}"/>
    <cellStyle name="Normal 2 3 3" xfId="961" xr:uid="{ABDCE8CB-3EE8-41E5-B99E-280840FBD03B}"/>
    <cellStyle name="Normal 2 3 3 2" xfId="1020" xr:uid="{DF214EB7-4DF6-45F1-9D37-B745D46F4590}"/>
    <cellStyle name="Normal 2 3 4" xfId="1017" xr:uid="{66C524A0-D759-4345-B6EB-8DB4ADF82CEB}"/>
    <cellStyle name="Normal 2 4" xfId="964" xr:uid="{758362FB-D6D5-4A30-A390-0DD849A90846}"/>
    <cellStyle name="Normal 2 4 2" xfId="1022" xr:uid="{BAE96F4F-6CB4-4A5C-B411-E83614945307}"/>
    <cellStyle name="Normal 2 5" xfId="960" xr:uid="{11B0C742-8CC5-43DA-B1D1-8D9BACE6279E}"/>
    <cellStyle name="Normal 2 5 2" xfId="1019" xr:uid="{6954F523-93A2-412A-8DB0-4E82E4A82F8B}"/>
    <cellStyle name="Normal 2 6" xfId="1016" xr:uid="{70DBE3EC-D35C-4884-AB79-12A36C3A7EC9}"/>
    <cellStyle name="Normal 3" xfId="2" xr:uid="{00000000-0005-0000-0000-000005000000}"/>
    <cellStyle name="Normal 3 10" xfId="12" xr:uid="{00000000-0005-0000-0000-000006000000}"/>
    <cellStyle name="Normal 3 10 10" xfId="393" xr:uid="{688CEAA0-1DD2-40FE-BE84-B44EDF7B5933}"/>
    <cellStyle name="Normal 3 10 2" xfId="160" xr:uid="{F5C21698-A0E1-47CB-AA93-C137F0F549EF}"/>
    <cellStyle name="Normal 3 10 2 2" xfId="231" xr:uid="{C02D1AD2-C7DD-49CB-BE70-855A4EBC202E}"/>
    <cellStyle name="Normal 3 10 2 2 2" xfId="691" xr:uid="{FBCFC776-537B-4357-83ED-1218A3293FDE}"/>
    <cellStyle name="Normal 3 10 2 3" xfId="625" xr:uid="{A82AE6B5-4C3B-438F-88B8-0037BB486FAC}"/>
    <cellStyle name="Normal 3 10 2 4" xfId="558" xr:uid="{DE057278-70F5-4F6C-9977-4B0E75B28AB6}"/>
    <cellStyle name="Normal 3 10 2 5" xfId="1046" xr:uid="{D9D42E73-1246-46A7-8B7B-D6177815512B}"/>
    <cellStyle name="Normal 3 10 2 6" xfId="878" xr:uid="{FA415F8F-4D3A-4744-8126-0DE84A698531}"/>
    <cellStyle name="Normal 3 10 2 7" xfId="814" xr:uid="{54CFB27C-B7F3-4F1A-BCC4-D33A3675A900}"/>
    <cellStyle name="Normal 3 10 2 8" xfId="490" xr:uid="{7E31C317-D243-447C-8186-E299808BBD6F}"/>
    <cellStyle name="Normal 3 10 3" xfId="202" xr:uid="{4B55AB2B-935B-4352-AFF6-DD5D79E1D1E4}"/>
    <cellStyle name="Normal 3 10 3 2" xfId="662" xr:uid="{D4A5FE0C-B136-4A9D-B19C-7AF0C6323383}"/>
    <cellStyle name="Normal 3 10 4" xfId="346" xr:uid="{5874A7BD-10E7-409B-AB9A-458947EEA61B}"/>
    <cellStyle name="Normal 3 10 4 2" xfId="596" xr:uid="{896D5804-18DA-44D1-B315-C2AEB227526A}"/>
    <cellStyle name="Normal 3 10 5" xfId="131" xr:uid="{D6D01325-BA5E-4C74-A963-0A0903E7DCDE}"/>
    <cellStyle name="Normal 3 10 5 2" xfId="529" xr:uid="{256CF3D0-0E2A-4BF8-A725-C0FAE1779E0B}"/>
    <cellStyle name="Normal 3 10 6" xfId="67" xr:uid="{197B83E7-24F5-46D0-8B79-0C2291FC9CB3}"/>
    <cellStyle name="Normal 3 10 6 2" xfId="461" xr:uid="{46E644B2-C6E9-4873-9BE4-156307A62AEB}"/>
    <cellStyle name="Normal 3 10 7" xfId="850" xr:uid="{1BB4014E-BAE7-4C3A-9E91-81274624C586}"/>
    <cellStyle name="Normal 3 10 8" xfId="785" xr:uid="{B7726C3C-9975-4427-9C0C-4298F6FC236F}"/>
    <cellStyle name="Normal 3 10 9" xfId="740" xr:uid="{17CE78DC-69D8-4CE2-A3FE-3B736A6C9D54}"/>
    <cellStyle name="Normal 3 11" xfId="111" xr:uid="{6B6D286C-0D4C-45AE-B716-EB0EB0816F75}"/>
    <cellStyle name="Normal 3 11 2" xfId="141" xr:uid="{A1C9B78D-6F2C-4622-B557-FF65BECCC880}"/>
    <cellStyle name="Normal 3 11 2 2" xfId="212" xr:uid="{BB27D3CD-6B10-4EB7-8F98-F32CD4FC4737}"/>
    <cellStyle name="Normal 3 11 2 2 2" xfId="672" xr:uid="{734526D8-A6B4-40C0-859E-E71809EE4E05}"/>
    <cellStyle name="Normal 3 11 2 3" xfId="606" xr:uid="{DDBF68B5-B6F2-49DC-8DB3-06C5FCD1E763}"/>
    <cellStyle name="Normal 3 11 2 4" xfId="539" xr:uid="{5E6746E7-5BF7-43C4-97C3-00C50D3E2A62}"/>
    <cellStyle name="Normal 3 11 2 5" xfId="1035" xr:uid="{C4096D16-A422-4314-84C2-9E7A904229CF}"/>
    <cellStyle name="Normal 3 11 2 6" xfId="859" xr:uid="{F6E84875-1CBA-4F65-A3A6-C2438A5E2583}"/>
    <cellStyle name="Normal 3 11 2 7" xfId="795" xr:uid="{4D9BA3C1-C391-4766-9ECC-BEE6F6E17463}"/>
    <cellStyle name="Normal 3 11 2 8" xfId="471" xr:uid="{203FEFBE-4200-43FB-85B4-182C44AA5DB3}"/>
    <cellStyle name="Normal 3 11 3" xfId="183" xr:uid="{217E444C-D27B-4B05-9AF2-CD5325F0F849}"/>
    <cellStyle name="Normal 3 11 3 2" xfId="643" xr:uid="{7CEE4E18-A20E-468E-BB68-A92FD0991581}"/>
    <cellStyle name="Normal 3 11 4" xfId="325" xr:uid="{37623502-0E62-4314-812C-A96D4CD6884E}"/>
    <cellStyle name="Normal 3 11 4 2" xfId="577" xr:uid="{18A3E829-6620-491B-8EE5-5AF7D73E0F7E}"/>
    <cellStyle name="Normal 3 11 5" xfId="510" xr:uid="{021811D4-E55E-4158-920A-A0F4F56BF49D}"/>
    <cellStyle name="Normal 3 11 6" xfId="1032" xr:uid="{29C0BF97-C112-4105-B2F2-DF9FD071B8E2}"/>
    <cellStyle name="Normal 3 11 7" xfId="834" xr:uid="{A0FC6399-865E-4455-8A44-62568142CD9F}"/>
    <cellStyle name="Normal 3 11 8" xfId="766" xr:uid="{354FD3BF-C038-4382-906C-9E046A5C8DF6}"/>
    <cellStyle name="Normal 3 11 9" xfId="441" xr:uid="{EAE1B441-B233-440B-9662-A78CA85007A6}"/>
    <cellStyle name="Normal 3 12" xfId="168" xr:uid="{9CA3F184-1CAD-4D7F-AED7-0835BB91851F}"/>
    <cellStyle name="Normal 3 12 2" xfId="239" xr:uid="{D96D559B-2F6A-4B03-BC3F-E69E708D9858}"/>
    <cellStyle name="Normal 3 12 2 2" xfId="1014" xr:uid="{1AB22AF9-E3B9-43A6-81E3-2C01BDD24CCC}"/>
    <cellStyle name="Normal 3 12 2 3" xfId="699" xr:uid="{7B90EDA2-E59F-41DE-B5B0-4D3CD77B0827}"/>
    <cellStyle name="Normal 3 12 3" xfId="355" xr:uid="{BC6C43A7-3172-402A-B374-064E11A2A48B}"/>
    <cellStyle name="Normal 3 12 3 2" xfId="633" xr:uid="{5AEBDFC5-0BCF-41E0-A5E7-B53C5E696B54}"/>
    <cellStyle name="Normal 3 12 4" xfId="566" xr:uid="{FE25E841-EEA1-4575-B867-E476040C8BD1}"/>
    <cellStyle name="Normal 3 12 5" xfId="913" xr:uid="{2E45BD08-38D5-4DE8-B67F-328BD220E896}"/>
    <cellStyle name="Normal 3 12 6" xfId="886" xr:uid="{62318DB3-202C-4BC8-913F-2D73AD7D8B6B}"/>
    <cellStyle name="Normal 3 12 7" xfId="822" xr:uid="{A9514B45-D829-4A11-A33D-F1A6B3CCB5A3}"/>
    <cellStyle name="Normal 3 12 8" xfId="498" xr:uid="{26DCFB5A-54F3-4E71-A016-E72836489080}"/>
    <cellStyle name="Normal 3 13" xfId="139" xr:uid="{D287113B-6AF2-4F31-89FA-C35E21823B03}"/>
    <cellStyle name="Normal 3 13 2" xfId="210" xr:uid="{B2B4860E-916B-4A8C-B142-872C2CA57026}"/>
    <cellStyle name="Normal 3 13 2 2" xfId="1009" xr:uid="{42BD9128-F0C7-40B5-9964-079A173B2EFA}"/>
    <cellStyle name="Normal 3 13 2 3" xfId="670" xr:uid="{64B13015-4CC0-4F0B-883F-A0BE99A4EE3B}"/>
    <cellStyle name="Normal 3 13 3" xfId="297" xr:uid="{F12CD2AD-B931-4500-8362-5428494ADDD3}"/>
    <cellStyle name="Normal 3 13 3 2" xfId="604" xr:uid="{4B9C37CA-E3FC-4C70-8BB6-C0C0BFC6ECD6}"/>
    <cellStyle name="Normal 3 13 4" xfId="537" xr:uid="{58C6432A-AF19-4993-9388-6BDA11AB9574}"/>
    <cellStyle name="Normal 3 13 5" xfId="1033" xr:uid="{18C1336E-D0F4-4C40-BE45-E6F74F415F22}"/>
    <cellStyle name="Normal 3 13 6" xfId="857" xr:uid="{1F879340-DC83-4F85-9B1E-41082757F21A}"/>
    <cellStyle name="Normal 3 13 7" xfId="793" xr:uid="{FBDC4B48-5BE4-4E66-867A-E72F9C238037}"/>
    <cellStyle name="Normal 3 13 8" xfId="469" xr:uid="{631EC9CB-367B-49CE-85E8-1D63DCED2E97}"/>
    <cellStyle name="Normal 3 14" xfId="248" xr:uid="{5CC99146-3096-4317-B402-23FBE725C5D7}"/>
    <cellStyle name="Normal 3 14 2" xfId="926" xr:uid="{3DD6A886-29BC-4406-BEDB-93AE2AF3D227}"/>
    <cellStyle name="Normal 3 14 2 2" xfId="1006" xr:uid="{CD5ED7C1-3AF8-4701-B016-98D3D3DA80BD}"/>
    <cellStyle name="Normal 3 14 3" xfId="978" xr:uid="{C9A616FA-CE98-4E3F-B0C0-77FD6C6BD9AD}"/>
    <cellStyle name="Normal 3 14 4" xfId="641" xr:uid="{45B3AB40-485E-4DB3-9CAD-4FBFA712603B}"/>
    <cellStyle name="Normal 3 15" xfId="181" xr:uid="{B25D9DED-ADC3-4886-A4E7-45192A7AF2EB}"/>
    <cellStyle name="Normal 3 15 2" xfId="924" xr:uid="{982083C8-3C56-49FE-A4C6-C5C8E9A0E2F0}"/>
    <cellStyle name="Normal 3 15 2 2" xfId="1004" xr:uid="{2AA12318-BE16-408D-903E-D2A719093198}"/>
    <cellStyle name="Normal 3 15 3" xfId="976" xr:uid="{93B0204F-8501-4128-960B-156DDA1663BA}"/>
    <cellStyle name="Normal 3 15 4" xfId="575" xr:uid="{82F6574F-3304-4D25-828C-EE79324EACDD}"/>
    <cellStyle name="Normal 3 16" xfId="265" xr:uid="{03154296-B38C-4E2E-B952-773A59AA4EBA}"/>
    <cellStyle name="Normal 3 16 2" xfId="922" xr:uid="{388EB16E-5DFD-421D-97E8-CB12639CA8D4}"/>
    <cellStyle name="Normal 3 16 2 2" xfId="1000" xr:uid="{57591E9D-1CFB-4011-AD42-E3137CBD0B9F}"/>
    <cellStyle name="Normal 3 16 3" xfId="974" xr:uid="{B761A352-B0F3-4CF5-A444-390AE8ED5D92}"/>
    <cellStyle name="Normal 3 16 4" xfId="508" xr:uid="{DBCD47DC-9F66-4D2C-A3DA-114E8410D005}"/>
    <cellStyle name="Normal 3 17" xfId="178" xr:uid="{ADDD9861-1D0A-4DE8-BB29-C7018D2B02B1}"/>
    <cellStyle name="Normal 3 17 2" xfId="920" xr:uid="{9EC2576B-1907-4867-B7FE-41063A96758B}"/>
    <cellStyle name="Normal 3 17 2 2" xfId="997" xr:uid="{CF21BFBC-43BF-4190-9105-B0C6D53DBFFF}"/>
    <cellStyle name="Normal 3 17 3" xfId="972" xr:uid="{70306C25-FE3A-4C08-BB48-E7D0E939399E}"/>
    <cellStyle name="Normal 3 17 4" xfId="439" xr:uid="{5ED49EDF-9DDA-4433-8FC6-4986F3E7526E}"/>
    <cellStyle name="Normal 3 18" xfId="290" xr:uid="{30621E74-606D-47AC-A1C6-4C7CB875293B}"/>
    <cellStyle name="Normal 3 18 2" xfId="917" xr:uid="{AF8E4EAF-356C-4424-BA3F-CE78DCCD81BE}"/>
    <cellStyle name="Normal 3 18 2 2" xfId="994" xr:uid="{69D3D52E-B195-4BCB-A5FC-A0EAEC52407B}"/>
    <cellStyle name="Normal 3 18 3" xfId="969" xr:uid="{72630290-B9EC-4C35-B390-0EFAB8C5E29B}"/>
    <cellStyle name="Normal 3 18 4" xfId="905" xr:uid="{53AC6B87-B387-497A-AE2D-42368D6BB7FD}"/>
    <cellStyle name="Normal 3 19" xfId="109" xr:uid="{8B1CAEF0-263A-446F-8BB1-C51F3296AE93}"/>
    <cellStyle name="Normal 3 19 2" xfId="981" xr:uid="{B6C9545C-7EF6-4DBE-848C-CEBA1FC10622}"/>
    <cellStyle name="Normal 3 19 3" xfId="932" xr:uid="{6D0A1310-85BB-4137-A030-693F663EA0B4}"/>
    <cellStyle name="Normal 3 2" xfId="4" xr:uid="{00000000-0005-0000-0000-000007000000}"/>
    <cellStyle name="Normal 3 2 10" xfId="140" xr:uid="{41EB0DD0-DA54-46B2-BC03-D0B73CF29498}"/>
    <cellStyle name="Normal 3 2 10 2" xfId="211" xr:uid="{CFC86EDA-E5DD-4404-A340-AF2FB9E35CFD}"/>
    <cellStyle name="Normal 3 2 10 2 2" xfId="1010" xr:uid="{8EBF946B-5344-46B8-8529-59166D0EF6ED}"/>
    <cellStyle name="Normal 3 2 10 2 3" xfId="671" xr:uid="{60993353-336A-4155-AC61-B37142A7F9F6}"/>
    <cellStyle name="Normal 3 2 10 3" xfId="299" xr:uid="{76820A8C-1F69-4899-B840-154DAFB5E13C}"/>
    <cellStyle name="Normal 3 2 10 3 2" xfId="605" xr:uid="{3C31292A-AB6C-4296-9816-71751561106A}"/>
    <cellStyle name="Normal 3 2 10 4" xfId="538" xr:uid="{98B14DCA-8CC1-4DEC-8A3F-A139B8857305}"/>
    <cellStyle name="Normal 3 2 10 5" xfId="1034" xr:uid="{9746A4AE-CF20-4464-8F7D-FDDBEB5D3CD8}"/>
    <cellStyle name="Normal 3 2 10 6" xfId="858" xr:uid="{06DE54C4-021D-40ED-B69D-8C9EC1E065D6}"/>
    <cellStyle name="Normal 3 2 10 7" xfId="794" xr:uid="{BF226536-126C-465B-9940-EC8C0FBE5EA8}"/>
    <cellStyle name="Normal 3 2 10 8" xfId="470" xr:uid="{182EB50F-6818-4FAC-B9E0-F4CA8A38D750}"/>
    <cellStyle name="Normal 3 2 11" xfId="249" xr:uid="{8B1F5356-B23C-42F2-B316-3FE4BD06AC27}"/>
    <cellStyle name="Normal 3 2 11 2" xfId="928" xr:uid="{31FBF72E-C9E6-42C9-84B4-4BBF4A588FF2}"/>
    <cellStyle name="Normal 3 2 11 2 2" xfId="1008" xr:uid="{C82D8F60-F348-483D-80EA-6136067A1840}"/>
    <cellStyle name="Normal 3 2 11 3" xfId="980" xr:uid="{5EE35ACB-5030-422A-AC4C-C338D72A1F5F}"/>
    <cellStyle name="Normal 3 2 11 4" xfId="642" xr:uid="{66186260-005F-4116-8ACC-B3BF92441421}"/>
    <cellStyle name="Normal 3 2 12" xfId="182" xr:uid="{D6A078A5-CA04-4CE1-8C8D-B09C046D75A9}"/>
    <cellStyle name="Normal 3 2 12 2" xfId="925" xr:uid="{C64C1D4F-F02C-4788-8F85-20BD9C66CD5B}"/>
    <cellStyle name="Normal 3 2 12 2 2" xfId="1005" xr:uid="{29FE9C54-4DD9-454D-842F-E3F95C43A6BE}"/>
    <cellStyle name="Normal 3 2 12 3" xfId="977" xr:uid="{7BF452D8-0A44-49EF-A368-98B9E372DA06}"/>
    <cellStyle name="Normal 3 2 12 4" xfId="576" xr:uid="{A3B5FB86-5387-465B-BC8C-743B1C3F47A7}"/>
    <cellStyle name="Normal 3 2 13" xfId="263" xr:uid="{61F5BB3C-C733-4283-AF43-52F334C4100A}"/>
    <cellStyle name="Normal 3 2 13 2" xfId="923" xr:uid="{C2817458-FEC7-488A-ADCC-47CB037FC629}"/>
    <cellStyle name="Normal 3 2 13 2 2" xfId="1001" xr:uid="{59C2A23A-93F1-497F-9B41-2F2D753E89B4}"/>
    <cellStyle name="Normal 3 2 13 3" xfId="975" xr:uid="{4B99602F-30E3-439A-A0BD-413807806BF2}"/>
    <cellStyle name="Normal 3 2 13 4" xfId="509" xr:uid="{4DF475E8-1BF5-49CF-94DC-FECA40DA86A4}"/>
    <cellStyle name="Normal 3 2 14" xfId="179" xr:uid="{CE575AE6-9808-4CAC-A32B-A09F2A1B8B76}"/>
    <cellStyle name="Normal 3 2 14 2" xfId="921" xr:uid="{8A0D2793-7C03-487F-A2D2-92AE1E91639C}"/>
    <cellStyle name="Normal 3 2 14 2 2" xfId="998" xr:uid="{D9AF839D-6150-4A9E-9751-9C59342EFD0D}"/>
    <cellStyle name="Normal 3 2 14 3" xfId="973" xr:uid="{BBDDA339-E5D6-4B01-A8D1-CF0C86011AF2}"/>
    <cellStyle name="Normal 3 2 14 4" xfId="440" xr:uid="{FF6C8859-B024-4E42-A95C-62DED1F6A5DA}"/>
    <cellStyle name="Normal 3 2 15" xfId="292" xr:uid="{9182A40F-DCAC-4A86-A6D6-1746836F97BF}"/>
    <cellStyle name="Normal 3 2 15 2" xfId="919" xr:uid="{E4897768-FB3A-456E-BA9F-FDF7EDA899F0}"/>
    <cellStyle name="Normal 3 2 15 2 2" xfId="996" xr:uid="{78506E5D-8634-4B16-9BA1-9D085197E420}"/>
    <cellStyle name="Normal 3 2 15 3" xfId="971" xr:uid="{12F6246D-13D4-4FBD-B41B-1C13CFEE5CDA}"/>
    <cellStyle name="Normal 3 2 15 4" xfId="908" xr:uid="{D6AFD06D-804E-48EB-BBAB-E12905A976A1}"/>
    <cellStyle name="Normal 3 2 16" xfId="110" xr:uid="{E736D564-1F7F-44A2-9064-38C3F026715A}"/>
    <cellStyle name="Normal 3 2 16 2" xfId="982" xr:uid="{C8C8EE30-D507-4E87-A766-993720F8B9FE}"/>
    <cellStyle name="Normal 3 2 16 3" xfId="933" xr:uid="{2EFA9CCC-DDA6-4F6B-880E-0D1E1F942F6C}"/>
    <cellStyle name="Normal 3 2 17" xfId="61" xr:uid="{32A8ED17-195F-4C29-AC16-57782508AFE0}"/>
    <cellStyle name="Normal 3 2 17 2" xfId="916" xr:uid="{E897EB8F-5972-42C3-B309-CE383B9A527D}"/>
    <cellStyle name="Normal 3 2 18" xfId="937" xr:uid="{575FEC08-A3D2-44F7-9A79-B42C16BB74C5}"/>
    <cellStyle name="Normal 3 2 19" xfId="967" xr:uid="{56CF3F3D-ADFC-4E84-BDCF-E6F984EF60A9}"/>
    <cellStyle name="Normal 3 2 2" xfId="9" xr:uid="{00000000-0005-0000-0000-000008000000}"/>
    <cellStyle name="Normal 3 2 2 10" xfId="266" xr:uid="{5003098C-9C8A-42DC-97F9-4E5B8F5A1157}"/>
    <cellStyle name="Normal 3 2 2 10 2" xfId="938" xr:uid="{DFF452A1-DAFE-49E5-BF88-58052EBE977D}"/>
    <cellStyle name="Normal 3 2 2 11" xfId="180" xr:uid="{6F1FFDE0-8B11-4C91-82AB-9ED743BC6060}"/>
    <cellStyle name="Normal 3 2 2 11 2" xfId="968" xr:uid="{EF282769-8D8C-4593-B043-F946A55CD9C2}"/>
    <cellStyle name="Normal 3 2 2 12" xfId="293" xr:uid="{CC063CD3-AA25-4E51-8302-95C814BEDFB4}"/>
    <cellStyle name="Normal 3 2 2 12 2" xfId="904" xr:uid="{94B3A6F7-4FCA-44B5-95B8-34438FA6B038}"/>
    <cellStyle name="Normal 3 2 2 13" xfId="122" xr:uid="{73E444D8-F0FF-48C6-90E2-1B4DCEFD7F43}"/>
    <cellStyle name="Normal 3 2 2 13 2" xfId="897" xr:uid="{A896C616-1FEC-43DA-BFA5-78A89D00EE62}"/>
    <cellStyle name="Normal 3 2 2 14" xfId="63" xr:uid="{172DEF37-F690-4B36-9FD2-20D170D1AD1C}"/>
    <cellStyle name="Normal 3 2 2 14 2" xfId="843" xr:uid="{4D181C86-E238-48FA-846E-31EAE75D2124}"/>
    <cellStyle name="Normal 3 2 2 15" xfId="776" xr:uid="{CD6B8FB1-92CD-486D-AE62-DD00F7556AEA}"/>
    <cellStyle name="Normal 3 2 2 16" xfId="731" xr:uid="{9578EDB0-1D47-46CA-B788-2D78EB389086}"/>
    <cellStyle name="Normal 3 2 2 17" xfId="1059" xr:uid="{AA00755A-2448-40FA-81BC-7EA2DAF4C4F6}"/>
    <cellStyle name="Normal 3 2 2 18" xfId="715" xr:uid="{24BAC30F-CF8C-4694-830D-3C52F47A53B7}"/>
    <cellStyle name="Normal 3 2 2 19" xfId="390" xr:uid="{791839EB-90D4-447E-999F-F10F87BFA0BD}"/>
    <cellStyle name="Normal 3 2 2 2" xfId="10" xr:uid="{00000000-0005-0000-0000-000009000000}"/>
    <cellStyle name="Normal 3 2 2 2 10" xfId="66" xr:uid="{351B549A-8D1B-49D1-A8C3-B96570E969F5}"/>
    <cellStyle name="Normal 3 2 2 2 10 2" xfId="784" xr:uid="{24610FDD-F4DB-4EE3-859A-A69233C8D9C8}"/>
    <cellStyle name="Normal 3 2 2 2 11" xfId="739" xr:uid="{B0A79A89-9419-4F0D-830D-95BBEB5E8EE9}"/>
    <cellStyle name="Normal 3 2 2 2 12" xfId="1062" xr:uid="{D3F8C4E6-9D34-4514-82C9-DEBD59B848E5}"/>
    <cellStyle name="Normal 3 2 2 2 13" xfId="718" xr:uid="{BAA7A752-2466-4411-BCAA-47E9734D1A45}"/>
    <cellStyle name="Normal 3 2 2 2 14" xfId="391" xr:uid="{B451226E-D3D2-4190-8ACF-9FF892E982A1}"/>
    <cellStyle name="Normal 3 2 2 2 15" xfId="1063" xr:uid="{15446648-2F63-4658-9EA5-92D10B40FDCD}"/>
    <cellStyle name="Normal 3 2 2 2 16" xfId="1064" xr:uid="{F82C23C7-F0A0-4FE2-A308-11C4461EA5EC}"/>
    <cellStyle name="Normal 3 2 2 2 2" xfId="53" xr:uid="{00000000-0005-0000-0000-00000A000000}"/>
    <cellStyle name="Normal 3 2 2 2 2 2" xfId="288" xr:uid="{911828EA-0352-40B1-9ACE-C2BB9F157A6E}"/>
    <cellStyle name="Normal 3 2 2 2 2 2 2" xfId="709" xr:uid="{7776534F-DCDE-46B1-887B-8B5EB38E3BDC}"/>
    <cellStyle name="Normal 3 2 2 2 2 3" xfId="230" xr:uid="{4D9429DD-E877-4C34-A2AE-1FA1F7A5634C}"/>
    <cellStyle name="Normal 3 2 2 2 2 3 2" xfId="624" xr:uid="{8A1B6078-9F58-48ED-894A-25AE36AFF9EA}"/>
    <cellStyle name="Normal 3 2 2 2 2 4" xfId="353" xr:uid="{6E01C65F-EE68-4362-BBF5-478A79162CC7}"/>
    <cellStyle name="Normal 3 2 2 2 2 4 2" xfId="557" xr:uid="{8D5B3296-0CC9-4089-83AC-E0A923E5FE71}"/>
    <cellStyle name="Normal 3 2 2 2 2 5" xfId="159" xr:uid="{13190D6A-ECFC-4022-9A49-566E7FB05069}"/>
    <cellStyle name="Normal 3 2 2 2 2 5 2" xfId="489" xr:uid="{3971460A-9DB6-49A7-AEA2-96A1F819B211}"/>
    <cellStyle name="Normal 3 2 2 2 2 6" xfId="90" xr:uid="{9EB88752-D17B-4BD9-9396-028B181EDE3E}"/>
    <cellStyle name="Normal 3 2 2 2 2 6 2" xfId="877" xr:uid="{6288B819-4EB1-404D-8F15-1285257E4515}"/>
    <cellStyle name="Normal 3 2 2 2 2 7" xfId="813" xr:uid="{C7DBBE0E-C97E-4EA2-83AF-B28C5232DB37}"/>
    <cellStyle name="Normal 3 2 2 2 2 8" xfId="755" xr:uid="{FB1074B4-EF67-4D87-9A18-09E0E5DF22A9}"/>
    <cellStyle name="Normal 3 2 2 2 2 9" xfId="433" xr:uid="{E8277ABC-CC95-47A2-BDF9-60C58E7647EF}"/>
    <cellStyle name="Normal 3 2 2 2 3" xfId="44" xr:uid="{00000000-0005-0000-0000-00000B000000}"/>
    <cellStyle name="Normal 3 2 2 2 3 2" xfId="279" xr:uid="{CC0DBA73-7C14-4233-BC48-20F6BB601A21}"/>
    <cellStyle name="Normal 3 2 2 2 3 2 2" xfId="690" xr:uid="{7B35D9CB-7D97-41B9-9146-89C1F0A0F878}"/>
    <cellStyle name="Normal 3 2 2 2 3 3" xfId="345" xr:uid="{EDF8A0FF-402D-4918-A3F3-D546D40DE954}"/>
    <cellStyle name="Normal 3 2 2 2 3 3 2" xfId="991" xr:uid="{BC33AC1F-5828-42BD-A83A-06E584038D33}"/>
    <cellStyle name="Normal 3 2 2 2 3 4" xfId="255" xr:uid="{C32A77DD-8F55-4C24-BF93-B22052C0F059}"/>
    <cellStyle name="Normal 3 2 2 2 3 4 2" xfId="931" xr:uid="{1126DD95-60E5-49BD-B890-4C675AF9DBBC}"/>
    <cellStyle name="Normal 3 2 2 2 3 5" xfId="74" xr:uid="{E30CC4A7-B665-45EC-9633-B6B7FC2B7104}"/>
    <cellStyle name="Normal 3 2 2 2 3 6" xfId="424" xr:uid="{63D40074-0833-418A-8D76-2E75F3CEC9F8}"/>
    <cellStyle name="Normal 3 2 2 2 4" xfId="18" xr:uid="{00000000-0005-0000-0000-00000C000000}"/>
    <cellStyle name="Normal 3 2 2 2 4 2" xfId="385" xr:uid="{42763E00-A7EB-43A5-91E7-0A50F81DC2F7}"/>
    <cellStyle name="Normal 3 2 2 2 4 2 2" xfId="661" xr:uid="{F15A83EC-F9A1-4BC2-8321-51C5C6D3C6E6}"/>
    <cellStyle name="Normal 3 2 2 2 4 3" xfId="275" xr:uid="{598A7909-66E5-4569-B4CC-B76FA97B1BE1}"/>
    <cellStyle name="Normal 3 2 2 2 4 3 2" xfId="954" xr:uid="{A03EADD5-1116-40A4-BD8F-A913A75FBCF4}"/>
    <cellStyle name="Normal 3 2 2 2 4 4" xfId="399" xr:uid="{DC9C5EC4-8D14-4C95-9302-3F7F4D4BD96E}"/>
    <cellStyle name="Normal 3 2 2 2 5" xfId="271" xr:uid="{114A51C3-112C-4BDF-A1A1-E22309F73146}"/>
    <cellStyle name="Normal 3 2 2 2 5 2" xfId="309" xr:uid="{49FC9AD2-F629-4A00-A57F-6801619F6CE3}"/>
    <cellStyle name="Normal 3 2 2 2 5 3" xfId="595" xr:uid="{BF9FE8B2-69B1-4F94-AE6A-369ACF642A7F}"/>
    <cellStyle name="Normal 3 2 2 2 6" xfId="267" xr:uid="{B4FEC66B-DCF5-41F8-AEC3-93FA0B0A6E06}"/>
    <cellStyle name="Normal 3 2 2 2 6 2" xfId="528" xr:uid="{5C338EE7-A1CD-42F5-B551-F0E9862FAABB}"/>
    <cellStyle name="Normal 3 2 2 2 7" xfId="201" xr:uid="{F4F36D69-67DE-48A6-88FB-FEB6A2D65137}"/>
    <cellStyle name="Normal 3 2 2 2 7 2" xfId="460" xr:uid="{A1D33A64-CCA3-470E-9E3F-E634B2A5F61C}"/>
    <cellStyle name="Normal 3 2 2 2 8" xfId="59" xr:uid="{B458E9C6-0EFE-480D-91F2-48A0E9CB13A4}"/>
    <cellStyle name="Normal 3 2 2 2 8 2" xfId="296" xr:uid="{788F1700-AD3F-427A-9CA9-C7E2F699A34A}"/>
    <cellStyle name="Normal 3 2 2 2 8 3" xfId="899" xr:uid="{3C3E120F-4719-4C24-BC1D-EC8C7E8205E6}"/>
    <cellStyle name="Normal 3 2 2 2 9" xfId="130" xr:uid="{3A7D7B84-407F-4D9E-B234-C8644CC57D78}"/>
    <cellStyle name="Normal 3 2 2 2 9 2" xfId="849" xr:uid="{CBC6C0FB-8E8F-4071-8DAC-2FF1BAE5E576}"/>
    <cellStyle name="Normal 3 2 2 3" xfId="48" xr:uid="{00000000-0005-0000-0000-00000D000000}"/>
    <cellStyle name="Normal 3 2 2 3 10" xfId="747" xr:uid="{CCE2FCB5-5233-4B70-A951-5561399D2DD7}"/>
    <cellStyle name="Normal 3 2 2 3 11" xfId="719" xr:uid="{49CFB471-2333-478B-930F-372D20B542E6}"/>
    <cellStyle name="Normal 3 2 2 3 12" xfId="428" xr:uid="{582B74E9-7B58-434F-B63F-965C7FFD48DA}"/>
    <cellStyle name="Normal 3 2 2 3 2" xfId="57" xr:uid="{00000000-0005-0000-0000-00000E000000}"/>
    <cellStyle name="Normal 3 2 2 3 2 2" xfId="238" xr:uid="{96B77527-F3DA-42A1-89C0-C74FD4ABEA47}"/>
    <cellStyle name="Normal 3 2 2 3 2 2 2" xfId="698" xr:uid="{4AE5F6ED-AAE9-4946-8410-7448660E9A8E}"/>
    <cellStyle name="Normal 3 2 2 3 2 3" xfId="349" xr:uid="{BA29D03E-CBD4-40E0-B2A0-38DF13B94462}"/>
    <cellStyle name="Normal 3 2 2 3 2 3 2" xfId="632" xr:uid="{EC16A39A-F226-4BED-8CB8-98B1571B7620}"/>
    <cellStyle name="Normal 3 2 2 3 2 4" xfId="167" xr:uid="{757E05A2-D645-475E-8ED4-B8B2F321F338}"/>
    <cellStyle name="Normal 3 2 2 3 2 4 2" xfId="565" xr:uid="{FCC5A957-3AEF-4FF0-A429-73CD693753C7}"/>
    <cellStyle name="Normal 3 2 2 3 2 5" xfId="497" xr:uid="{44DC9EE1-E49B-4E68-A68E-01EFC2B849DB}"/>
    <cellStyle name="Normal 3 2 2 3 2 6" xfId="885" xr:uid="{91B4242C-1DB7-4D33-A013-A3B843DDD3BD}"/>
    <cellStyle name="Normal 3 2 2 3 2 7" xfId="821" xr:uid="{0DEDE171-4D1D-4409-AA31-E00BB4B40E0B}"/>
    <cellStyle name="Normal 3 2 2 3 2 8" xfId="756" xr:uid="{A67724ED-2F9D-4D71-8DAA-97DF7D553F58}"/>
    <cellStyle name="Normal 3 2 2 3 2 9" xfId="437" xr:uid="{21B7AF81-27B1-4D73-AE02-6FA92439F0E0}"/>
    <cellStyle name="Normal 3 2 2 3 3" xfId="285" xr:uid="{66524E3E-F00B-44C7-9F36-571BB2F30C83}"/>
    <cellStyle name="Normal 3 2 2 3 3 2" xfId="379" xr:uid="{16D8D5D0-E492-4783-A0CE-9DFFE5C1DB37}"/>
    <cellStyle name="Normal 3 2 2 3 3 3" xfId="669" xr:uid="{BA3EAEE8-DDE9-4969-85C7-726680CF6A8D}"/>
    <cellStyle name="Normal 3 2 2 3 4" xfId="209" xr:uid="{2DA2EA05-C812-419E-8904-2E24151469DC}"/>
    <cellStyle name="Normal 3 2 2 3 4 2" xfId="603" xr:uid="{6DAD2DB9-494B-4734-A93F-1A84F973ECE8}"/>
    <cellStyle name="Normal 3 2 2 3 5" xfId="323" xr:uid="{9A653CBF-2B73-4976-86E1-1EBAE0E7117E}"/>
    <cellStyle name="Normal 3 2 2 3 5 2" xfId="536" xr:uid="{B2A5D6C8-EDF6-4CD3-B157-71C9C0C53320}"/>
    <cellStyle name="Normal 3 2 2 3 6" xfId="138" xr:uid="{888A4B13-1A33-4D8F-83C8-D1A83EDA32C6}"/>
    <cellStyle name="Normal 3 2 2 3 6 2" xfId="468" xr:uid="{4BD4F6A6-CDD7-4B9C-B169-B56BC27A7BD2}"/>
    <cellStyle name="Normal 3 2 2 3 7" xfId="104" xr:uid="{078754CB-36B8-49AA-A94E-4513B731EB0A}"/>
    <cellStyle name="Normal 3 2 2 3 7 2" xfId="900" xr:uid="{B23EFD44-6BC5-4B0C-9C1E-585CCACE9E5F}"/>
    <cellStyle name="Normal 3 2 2 3 8" xfId="856" xr:uid="{03591600-144F-4097-AF81-C2904363FAFA}"/>
    <cellStyle name="Normal 3 2 2 3 9" xfId="792" xr:uid="{CE9FDA53-D78E-4D0B-A460-8E8E9B23E609}"/>
    <cellStyle name="Normal 3 2 2 4" xfId="52" xr:uid="{00000000-0005-0000-0000-00000F000000}"/>
    <cellStyle name="Normal 3 2 2 4 2" xfId="282" xr:uid="{E42201ED-E1E7-4530-AECE-C3447E3E76BD}"/>
    <cellStyle name="Normal 3 2 2 4 2 2" xfId="372" xr:uid="{3B30CE44-27B7-4515-9E7C-90FF532D70DB}"/>
    <cellStyle name="Normal 3 2 2 4 2 2 2" xfId="963" xr:uid="{11071910-969E-49F6-A5D8-D9F4C8E2B4B9}"/>
    <cellStyle name="Normal 3 2 2 4 2 3" xfId="1021" xr:uid="{420C68D3-DF4B-4D1E-86F8-D8E2D1CB2A56}"/>
    <cellStyle name="Normal 3 2 2 4 2 4" xfId="701" xr:uid="{B6467C42-5AB8-4EB4-9100-71BAD393DDAC}"/>
    <cellStyle name="Normal 3 2 2 4 3" xfId="246" xr:uid="{C7AE763A-C9D0-42F5-B3D6-07A19581ADD7}"/>
    <cellStyle name="Normal 3 2 2 4 3 2" xfId="1012" xr:uid="{1C7FDBF0-34D2-4BAC-9445-27EB1670CAAD}"/>
    <cellStyle name="Normal 3 2 2 4 3 3" xfId="640" xr:uid="{E3B4D291-79FE-42EF-9D18-093DEAAC0211}"/>
    <cellStyle name="Normal 3 2 2 4 4" xfId="324" xr:uid="{2BA6FAA1-A51F-4E08-92AC-0E213C61545B}"/>
    <cellStyle name="Normal 3 2 2 4 4 2" xfId="573" xr:uid="{85D41A7E-053D-4246-88BE-AA584509531E}"/>
    <cellStyle name="Normal 3 2 2 4 5" xfId="175" xr:uid="{EE52442F-774D-4A71-843C-EC80022CE8BE}"/>
    <cellStyle name="Normal 3 2 2 4 5 2" xfId="505" xr:uid="{57B8C9DE-4482-4E5D-B09F-9066AE830861}"/>
    <cellStyle name="Normal 3 2 2 4 6" xfId="83" xr:uid="{DB3C99E7-5CDC-4E7A-A7B3-A7DCCD4BCE3E}"/>
    <cellStyle name="Normal 3 2 2 4 6 2" xfId="893" xr:uid="{E8D3654B-C65A-4811-A9C3-947292D878C8}"/>
    <cellStyle name="Normal 3 2 2 4 7" xfId="829" xr:uid="{7CEE4AF7-0CED-4AEB-BD47-235ECBC8424B}"/>
    <cellStyle name="Normal 3 2 2 4 8" xfId="761" xr:uid="{DCEDE3C3-8FE5-487B-9033-8DEA6CF4FAD8}"/>
    <cellStyle name="Normal 3 2 2 4 9" xfId="432" xr:uid="{E56B4C31-4386-4066-A1A0-50817F3FF870}"/>
    <cellStyle name="Normal 3 2 2 5" xfId="32" xr:uid="{00000000-0005-0000-0000-000010000000}"/>
    <cellStyle name="Normal 3 2 2 5 2" xfId="278" xr:uid="{1805DC77-3853-4CAE-88D2-0350D5A71AEB}"/>
    <cellStyle name="Normal 3 2 2 5 2 2" xfId="364" xr:uid="{76166B4D-9EAA-4BE2-9115-5953584A82C7}"/>
    <cellStyle name="Normal 3 2 2 5 2 2 2" xfId="959" xr:uid="{D6D00687-0302-41F9-82C7-2389CE8367B6}"/>
    <cellStyle name="Normal 3 2 2 5 2 3" xfId="1003" xr:uid="{A815D04D-B04E-4660-BEF3-1FBF6B880F47}"/>
    <cellStyle name="Normal 3 2 2 5 2 4" xfId="682" xr:uid="{1A5BAF0E-44E5-48D0-AAC4-07FAF70DB1E7}"/>
    <cellStyle name="Normal 3 2 2 5 3" xfId="222" xr:uid="{3759C62E-E411-4EB6-A868-FB8E533962D2}"/>
    <cellStyle name="Normal 3 2 2 5 3 2" xfId="616" xr:uid="{F7811767-0DA9-4690-8AA2-C2E787304604}"/>
    <cellStyle name="Normal 3 2 2 5 4" xfId="337" xr:uid="{CCF5E1B0-8EF0-4494-8E23-F37CADEF51D7}"/>
    <cellStyle name="Normal 3 2 2 5 4 2" xfId="549" xr:uid="{7362E35B-C46A-4702-89F9-D4711651D0AB}"/>
    <cellStyle name="Normal 3 2 2 5 5" xfId="151" xr:uid="{3D5E3360-8A78-4688-9915-2F79DCF7AEED}"/>
    <cellStyle name="Normal 3 2 2 5 5 2" xfId="481" xr:uid="{921BB381-6EE3-4C63-8B5E-21D770E91CCA}"/>
    <cellStyle name="Normal 3 2 2 5 6" xfId="69" xr:uid="{B2B0F67B-7D98-4FAC-868F-74A228EA1A9D}"/>
    <cellStyle name="Normal 3 2 2 5 6 2" xfId="869" xr:uid="{0643B6F7-5937-4524-97C5-381E3D1BA1A2}"/>
    <cellStyle name="Normal 3 2 2 5 7" xfId="805" xr:uid="{5981D42F-688C-48FC-BD4A-F0CC960ED742}"/>
    <cellStyle name="Normal 3 2 2 5 8" xfId="749" xr:uid="{A544F85B-9AB3-4CE7-9FA5-8BB52032A6ED}"/>
    <cellStyle name="Normal 3 2 2 5 9" xfId="412" xr:uid="{FCDFC613-6570-4BE6-BD63-AF9DEB8B13A6}"/>
    <cellStyle name="Normal 3 2 2 6" xfId="21" xr:uid="{00000000-0005-0000-0000-000011000000}"/>
    <cellStyle name="Normal 3 2 2 6 2" xfId="274" xr:uid="{102B5A1F-FACB-4BCC-BAE2-033AD9233DDB}"/>
    <cellStyle name="Normal 3 2 2 6 2 2" xfId="999" xr:uid="{50D4C7F3-728A-4AFA-909F-0887C3B510CD}"/>
    <cellStyle name="Normal 3 2 2 6 2 3" xfId="653" xr:uid="{A01DE13D-7519-4DC0-99E5-B851B6DEB6B0}"/>
    <cellStyle name="Normal 3 2 2 6 3" xfId="247" xr:uid="{10CFF27F-7571-4E32-8AB1-872CB842C94C}"/>
    <cellStyle name="Normal 3 2 2 6 3 2" xfId="574" xr:uid="{94AEF2DE-266A-48BC-BBD0-FC9CF983691D}"/>
    <cellStyle name="Normal 3 2 2 6 4" xfId="354" xr:uid="{8F1784BC-D5E0-41E3-BEEF-9CCE55BC53EE}"/>
    <cellStyle name="Normal 3 2 2 6 4 2" xfId="506" xr:uid="{AD94B0D9-F53F-4F3B-9FF2-2470F8F68273}"/>
    <cellStyle name="Normal 3 2 2 6 5" xfId="176" xr:uid="{4F9A237F-9EC8-45A5-BA90-3428F90D61A5}"/>
    <cellStyle name="Normal 3 2 2 6 5 2" xfId="910" xr:uid="{E4573040-6BF8-4F09-AD8D-7AB322F19758}"/>
    <cellStyle name="Normal 3 2 2 6 6" xfId="108" xr:uid="{B006934F-5B71-4F8E-B597-B007416E87C6}"/>
    <cellStyle name="Normal 3 2 2 6 6 2" xfId="894" xr:uid="{969AB63D-1E88-4B78-9930-C85E30FE38C4}"/>
    <cellStyle name="Normal 3 2 2 6 7" xfId="830" xr:uid="{607153A2-F222-4CE1-A886-081945DA65D7}"/>
    <cellStyle name="Normal 3 2 2 6 8" xfId="762" xr:uid="{45B5BDF9-A51C-463B-84D9-8A25504E806C}"/>
    <cellStyle name="Normal 3 2 2 6 9" xfId="402" xr:uid="{DF4A814F-CA19-4F3C-A752-8F2C40EDFC11}"/>
    <cellStyle name="Normal 3 2 2 7" xfId="15" xr:uid="{00000000-0005-0000-0000-000012000000}"/>
    <cellStyle name="Normal 3 2 2 7 2" xfId="270" xr:uid="{07382316-D0FA-4F03-BB29-1BE21221C520}"/>
    <cellStyle name="Normal 3 2 2 7 2 2" xfId="587" xr:uid="{569B99F3-1A30-4D76-BC80-0490078B96C6}"/>
    <cellStyle name="Normal 3 2 2 7 3" xfId="251" xr:uid="{A03CB762-B3CE-4B48-B65A-67BC5ADB1E39}"/>
    <cellStyle name="Normal 3 2 2 7 3 2" xfId="507" xr:uid="{B3FAD121-A869-4FF5-8657-3549531FE9A8}"/>
    <cellStyle name="Normal 3 2 2 7 4" xfId="358" xr:uid="{4C4DC128-D825-441C-98F0-C1666499A1F5}"/>
    <cellStyle name="Normal 3 2 2 7 4 2" xfId="895" xr:uid="{74FB52AF-612F-408F-835C-468179F7FDD9}"/>
    <cellStyle name="Normal 3 2 2 7 5" xfId="177" xr:uid="{CD3E365C-79E4-4FE9-9C58-90D4FD821AD9}"/>
    <cellStyle name="Normal 3 2 2 7 5 2" xfId="831" xr:uid="{17CD8BD3-1326-4271-96D8-09170246284D}"/>
    <cellStyle name="Normal 3 2 2 7 6" xfId="763" xr:uid="{B9BE13DF-E0C4-4391-AED3-69921E8FF13F}"/>
    <cellStyle name="Normal 3 2 2 7 7" xfId="396" xr:uid="{1D5D2E28-A35B-4719-8D98-E5E9F274C928}"/>
    <cellStyle name="Normal 3 2 2 8" xfId="58" xr:uid="{00000000-0005-0000-0000-000013000000}"/>
    <cellStyle name="Normal 3 2 2 8 2" xfId="302" xr:uid="{618AD3B8-9988-4A5F-8230-C5EE67D6EC8A}"/>
    <cellStyle name="Normal 3 2 2 8 2 2" xfId="520" xr:uid="{4E62586C-C2DD-42C0-8FA7-4E2F4B87FF2E}"/>
    <cellStyle name="Normal 3 2 2 8 3" xfId="193" xr:uid="{0B47650B-4AC2-4B80-B14F-F2A0607842C4}"/>
    <cellStyle name="Normal 3 2 2 8 4" xfId="438" xr:uid="{161B43F9-6C67-422B-B161-E5565BC83CEC}"/>
    <cellStyle name="Normal 3 2 2 9" xfId="260" xr:uid="{C2020AF2-8BBC-44FD-BB72-00A9FFC8A441}"/>
    <cellStyle name="Normal 3 2 2 9 2" xfId="452" xr:uid="{9E419ED2-A464-469D-AF23-60FDBDD0B827}"/>
    <cellStyle name="Normal 3 2 20" xfId="903" xr:uid="{03C8BDE1-4168-47AC-95CE-56C119BF7B64}"/>
    <cellStyle name="Normal 3 2 21" xfId="898" xr:uid="{12D89B25-C532-4C5C-8F42-4A0C9FCD9B17}"/>
    <cellStyle name="Normal 3 2 22" xfId="833" xr:uid="{A789AA0E-6B41-4526-80AE-F318C73DA520}"/>
    <cellStyle name="Normal 3 2 23" xfId="765" xr:uid="{3344E673-3051-4B70-AB35-4CDE849BDA86}"/>
    <cellStyle name="Normal 3 2 24" xfId="721" xr:uid="{E87A7919-942D-4BC7-A840-57E1ADA01D60}"/>
    <cellStyle name="Normal 3 2 25" xfId="1060" xr:uid="{59DFC789-03E9-442F-A13C-EFEAD0FED080}"/>
    <cellStyle name="Normal 3 2 26" xfId="716" xr:uid="{FEFFAD90-2264-46DD-906A-F8A158D4AAAE}"/>
    <cellStyle name="Normal 3 2 27" xfId="387" xr:uid="{938F3531-4024-4356-850C-AAA89A7C9901}"/>
    <cellStyle name="Normal 3 2 3" xfId="17" xr:uid="{00000000-0005-0000-0000-000014000000}"/>
    <cellStyle name="Normal 3 2 3 10" xfId="736" xr:uid="{175E82D7-6E31-4A04-8981-91D8C1FB2DC7}"/>
    <cellStyle name="Normal 3 2 3 11" xfId="398" xr:uid="{C28807A8-72EA-4C20-87FA-7377FA5AE6DF}"/>
    <cellStyle name="Normal 3 2 3 2" xfId="47" xr:uid="{00000000-0005-0000-0000-000015000000}"/>
    <cellStyle name="Normal 3 2 3 2 10" xfId="427" xr:uid="{0563B640-0207-4409-AF41-4CF72DE00A70}"/>
    <cellStyle name="Normal 3 2 3 2 2" xfId="243" xr:uid="{DAA1BF0B-5423-4B86-B6FB-CBC13B4A1C1B}"/>
    <cellStyle name="Normal 3 2 3 2 2 2" xfId="351" xr:uid="{770715A2-EFBA-4FCD-B073-4DBE3C436794}"/>
    <cellStyle name="Normal 3 2 3 2 2 2 2" xfId="943" xr:uid="{457D4C55-DFF9-4BA0-BF85-988E60B8AEAC}"/>
    <cellStyle name="Normal 3 2 3 2 2 3" xfId="993" xr:uid="{4EA91315-B84A-471F-9C38-9013B4F881A0}"/>
    <cellStyle name="Normal 3 2 3 2 2 4" xfId="706" xr:uid="{6A6FF2E7-0487-4B49-B7C6-0AD30078EE32}"/>
    <cellStyle name="Normal 3 2 3 2 3" xfId="382" xr:uid="{C3A98E10-AD3B-4E18-BDA7-50AB225C1544}"/>
    <cellStyle name="Normal 3 2 3 2 3 2" xfId="637" xr:uid="{9985796D-55A2-412B-B3D8-10FB065F2BC5}"/>
    <cellStyle name="Normal 3 2 3 2 4" xfId="320" xr:uid="{C746D3E7-9221-4718-9713-38187E5FC2A4}"/>
    <cellStyle name="Normal 3 2 3 2 4 2" xfId="570" xr:uid="{B09B219E-0147-43A5-A7E7-13BBCCEB3DD1}"/>
    <cellStyle name="Normal 3 2 3 2 5" xfId="172" xr:uid="{C3EFBE16-352E-4077-9F3A-130CAFEAC5A7}"/>
    <cellStyle name="Normal 3 2 3 2 5 2" xfId="502" xr:uid="{3F1A7F1B-A8BD-46CD-B387-95211E7525A2}"/>
    <cellStyle name="Normal 3 2 3 2 6" xfId="101" xr:uid="{2DE6D4A6-792A-4E18-954D-9BBD00A4BC65}"/>
    <cellStyle name="Normal 3 2 3 2 6 2" xfId="914" xr:uid="{3020CE93-A936-4E02-AED8-1A55A8442B9C}"/>
    <cellStyle name="Normal 3 2 3 2 7" xfId="890" xr:uid="{8C2917D1-7AA1-482F-B070-B17BA6BF1289}"/>
    <cellStyle name="Normal 3 2 3 2 8" xfId="826" xr:uid="{0C54D8BD-3F7A-48FD-9FEF-29732BF6F9D2}"/>
    <cellStyle name="Normal 3 2 3 2 9" xfId="759" xr:uid="{9C415FFB-6799-4772-9DB6-21C906530D73}"/>
    <cellStyle name="Normal 3 2 3 3" xfId="55" xr:uid="{00000000-0005-0000-0000-000016000000}"/>
    <cellStyle name="Normal 3 2 3 3 2" xfId="227" xr:uid="{D54FB0A7-7CF9-4881-82DB-F585929A1FC8}"/>
    <cellStyle name="Normal 3 2 3 3 2 2" xfId="375" xr:uid="{12F58DBE-D100-4775-B17B-9E545B13E05A}"/>
    <cellStyle name="Normal 3 2 3 3 2 3" xfId="687" xr:uid="{D5D3F4BE-A356-4DC9-8296-A7BBC16DF1A1}"/>
    <cellStyle name="Normal 3 2 3 3 3" xfId="342" xr:uid="{F6EE7442-D8BF-4878-9DDB-D8D972F36A13}"/>
    <cellStyle name="Normal 3 2 3 3 3 2" xfId="621" xr:uid="{C690AEFA-7ECC-4BF3-8955-2F8B72DD4617}"/>
    <cellStyle name="Normal 3 2 3 3 4" xfId="156" xr:uid="{76F432C5-81DC-498E-946A-018F03EDB12A}"/>
    <cellStyle name="Normal 3 2 3 3 4 2" xfId="554" xr:uid="{9A3695DF-6E17-4F5F-BC7F-A5F7B4974130}"/>
    <cellStyle name="Normal 3 2 3 3 5" xfId="86" xr:uid="{FE328F5B-EBD5-47E0-853A-9466E0264CBA}"/>
    <cellStyle name="Normal 3 2 3 3 5 2" xfId="486" xr:uid="{7C905F09-C080-4840-9C6F-F0241980197B}"/>
    <cellStyle name="Normal 3 2 3 3 6" xfId="874" xr:uid="{E943B6E3-0965-4944-9041-A3C9BA3ACF05}"/>
    <cellStyle name="Normal 3 2 3 3 7" xfId="810" xr:uid="{B4FFE4E4-2B0D-44E9-B178-3B5C145D2EEE}"/>
    <cellStyle name="Normal 3 2 3 3 8" xfId="753" xr:uid="{6880519A-EA7C-4033-BC96-B926382D3FA2}"/>
    <cellStyle name="Normal 3 2 3 3 9" xfId="435" xr:uid="{96ADC7F8-C03D-48C3-AB8E-A09D284E3CFC}"/>
    <cellStyle name="Normal 3 2 3 4" xfId="35" xr:uid="{00000000-0005-0000-0000-000017000000}"/>
    <cellStyle name="Normal 3 2 3 4 2" xfId="366" xr:uid="{8C1C9469-4707-4DD0-9B14-89979638E195}"/>
    <cellStyle name="Normal 3 2 3 4 2 2" xfId="658" xr:uid="{373DD6A2-044E-4728-89CB-043CDD6F4F79}"/>
    <cellStyle name="Normal 3 2 3 4 3" xfId="257" xr:uid="{9EBD20D3-B3ED-4946-BCA1-A284E7490803}"/>
    <cellStyle name="Normal 3 2 3 4 3 2" xfId="930" xr:uid="{6A2BB6E2-5CB1-44E1-9E97-B22F24D5BBD7}"/>
    <cellStyle name="Normal 3 2 3 4 4" xfId="77" xr:uid="{A7422EF9-D0E4-474C-A88C-ACAD2B2C84FE}"/>
    <cellStyle name="Normal 3 2 3 4 5" xfId="415" xr:uid="{D931C02A-97AB-462C-91EA-A6134D8A93DE}"/>
    <cellStyle name="Normal 3 2 3 5" xfId="286" xr:uid="{D0010A2D-8436-43F4-9D01-7B83575770EE}"/>
    <cellStyle name="Normal 3 2 3 5 2" xfId="360" xr:uid="{C23BB63D-47F2-4DE6-BA3B-34ABEFFE6F6D}"/>
    <cellStyle name="Normal 3 2 3 5 3" xfId="592" xr:uid="{974A5D08-EE38-4D46-9D2A-04EFAED4C4DB}"/>
    <cellStyle name="Normal 3 2 3 6" xfId="198" xr:uid="{A9AD7FDF-32D6-4529-8E4E-83088AFD5BB7}"/>
    <cellStyle name="Normal 3 2 3 6 2" xfId="305" xr:uid="{0CE7B6F7-1B10-42B0-B0F4-BD40F1831679}"/>
    <cellStyle name="Normal 3 2 3 6 3" xfId="525" xr:uid="{E940D744-59B2-4624-BA22-EC1D6BBA5548}"/>
    <cellStyle name="Normal 3 2 3 7" xfId="295" xr:uid="{B23DF443-89AE-49FA-BADA-CDCB570F5A64}"/>
    <cellStyle name="Normal 3 2 3 7 2" xfId="457" xr:uid="{CFD17D53-90C2-428E-85EB-F84CB2273A01}"/>
    <cellStyle name="Normal 3 2 3 8" xfId="127" xr:uid="{C9B290E3-D705-4C5B-A2A0-79C19A1E1A02}"/>
    <cellStyle name="Normal 3 2 3 8 2" xfId="846" xr:uid="{BFA9FA23-41E1-47C6-81BE-15EC44489276}"/>
    <cellStyle name="Normal 3 2 3 9" xfId="65" xr:uid="{43C85459-6FE8-4707-A259-BBACE1E92C94}"/>
    <cellStyle name="Normal 3 2 3 9 2" xfId="781" xr:uid="{2D97E835-DB1B-46EE-8238-14E34AA319DE}"/>
    <cellStyle name="Normal 3 2 4" xfId="29" xr:uid="{00000000-0005-0000-0000-000018000000}"/>
    <cellStyle name="Normal 3 2 4 10" xfId="409" xr:uid="{B2D0BAFD-1EC8-456E-97A6-939CA2371A7E}"/>
    <cellStyle name="Normal 3 2 4 2" xfId="41" xr:uid="{00000000-0005-0000-0000-000019000000}"/>
    <cellStyle name="Normal 3 2 4 2 2" xfId="221" xr:uid="{B8214E2A-F50B-40FA-99DF-84B9166ED16D}"/>
    <cellStyle name="Normal 3 2 4 2 2 2" xfId="681" xr:uid="{2F0FC77F-F8A5-4C71-86E7-450822B74791}"/>
    <cellStyle name="Normal 3 2 4 2 3" xfId="336" xr:uid="{598F860A-2930-45B2-99A6-E10264063241}"/>
    <cellStyle name="Normal 3 2 4 2 3 2" xfId="615" xr:uid="{892983C5-FA41-43E3-B7B8-70E2646EF557}"/>
    <cellStyle name="Normal 3 2 4 2 4" xfId="150" xr:uid="{166EBB50-B0A6-43B4-804F-07BF8D46F913}"/>
    <cellStyle name="Normal 3 2 4 2 4 2" xfId="548" xr:uid="{B660025D-3B6D-4588-8B9D-D67F999CD9D4}"/>
    <cellStyle name="Normal 3 2 4 2 5" xfId="88" xr:uid="{9C352FD2-32AA-4AD4-9AD6-3C6909C8A2DC}"/>
    <cellStyle name="Normal 3 2 4 2 5 2" xfId="480" xr:uid="{A5D47B16-907E-440D-B523-CB1B66F6E5EF}"/>
    <cellStyle name="Normal 3 2 4 2 6" xfId="868" xr:uid="{974725B0-883D-4DBA-8775-4FC9914466DE}"/>
    <cellStyle name="Normal 3 2 4 2 7" xfId="804" xr:uid="{68547AC3-FCA2-4497-AA55-09D2979D5CA3}"/>
    <cellStyle name="Normal 3 2 4 2 8" xfId="748" xr:uid="{498BA16F-1C0A-4B03-9A89-3807806E8931}"/>
    <cellStyle name="Normal 3 2 4 2 9" xfId="421" xr:uid="{EF336405-E943-4EC5-91A3-45DD05FE1C62}"/>
    <cellStyle name="Normal 3 2 4 3" xfId="259" xr:uid="{BD249F6C-416E-4EE3-A8FF-54C48BD87FC7}"/>
    <cellStyle name="Normal 3 2 4 3 2" xfId="377" xr:uid="{C66C78DC-9BC5-404C-B781-470BD93606AC}"/>
    <cellStyle name="Normal 3 2 4 3 3" xfId="652" xr:uid="{ED74D35D-3670-48E4-AE07-EB97D0E9F439}"/>
    <cellStyle name="Normal 3 2 4 4" xfId="283" xr:uid="{C9D6DFB3-A4E6-4152-B3D2-C25436A16749}"/>
    <cellStyle name="Normal 3 2 4 4 2" xfId="586" xr:uid="{C262C974-9BFA-4FDF-A781-A9019C545317}"/>
    <cellStyle name="Normal 3 2 4 5" xfId="192" xr:uid="{73EB8C9E-3C35-4552-B34E-EE82747BFC63}"/>
    <cellStyle name="Normal 3 2 4 5 2" xfId="519" xr:uid="{7598D6CD-B4BF-4435-A5BA-51D09D1EC2EC}"/>
    <cellStyle name="Normal 3 2 4 6" xfId="307" xr:uid="{3551EE3E-952B-4F8D-91B5-5885C98E7948}"/>
    <cellStyle name="Normal 3 2 4 6 2" xfId="451" xr:uid="{6DCF63DB-6574-4A10-B3AE-4BC85682B8FF}"/>
    <cellStyle name="Normal 3 2 4 7" xfId="121" xr:uid="{C15FB6D7-549A-4153-A5FA-A7F09C03B252}"/>
    <cellStyle name="Normal 3 2 4 7 2" xfId="842" xr:uid="{BDD62E5E-2ECE-483A-8ADC-D231F833A7C5}"/>
    <cellStyle name="Normal 3 2 4 8" xfId="73" xr:uid="{BFA972AC-2980-4B73-9F8E-6674406810C8}"/>
    <cellStyle name="Normal 3 2 4 8 2" xfId="775" xr:uid="{1E74295F-F4CD-4248-B84E-58AD9B1781AC}"/>
    <cellStyle name="Normal 3 2 4 9" xfId="730" xr:uid="{A512F628-ACF9-4010-AA4C-420509033434}"/>
    <cellStyle name="Normal 3 2 5" xfId="38" xr:uid="{00000000-0005-0000-0000-00001A000000}"/>
    <cellStyle name="Normal 3 2 5 10" xfId="418" xr:uid="{2BBE4E66-1FFD-4C4B-A914-0847341B70ED}"/>
    <cellStyle name="Normal 3 2 5 2" xfId="148" xr:uid="{580E33CD-1C6A-4BC8-84AA-D627C79AC771}"/>
    <cellStyle name="Normal 3 2 5 2 2" xfId="219" xr:uid="{9BFCA6A6-B2EC-4BC2-958D-6F37D27699C1}"/>
    <cellStyle name="Normal 3 2 5 2 2 2" xfId="679" xr:uid="{B5E92AF9-F232-457B-8FAE-E1240B95D5BB}"/>
    <cellStyle name="Normal 3 2 5 2 3" xfId="333" xr:uid="{23E495C5-99F1-45EC-BBE5-F49F192B5A0D}"/>
    <cellStyle name="Normal 3 2 5 2 3 2" xfId="613" xr:uid="{65F2836C-45C6-4516-8A7A-C5966C0C1D6E}"/>
    <cellStyle name="Normal 3 2 5 2 4" xfId="546" xr:uid="{0DE0AF44-0B05-4C7D-A9EB-9DBB63209A08}"/>
    <cellStyle name="Normal 3 2 5 2 5" xfId="1042" xr:uid="{95342F22-448D-464D-8D58-ECBF4CAFF307}"/>
    <cellStyle name="Normal 3 2 5 2 6" xfId="866" xr:uid="{11ED7DA6-2872-4386-9134-4DE76E41ECC8}"/>
    <cellStyle name="Normal 3 2 5 2 7" xfId="802" xr:uid="{5916FEEC-E041-49AF-AF95-E5A47A3DC78D}"/>
    <cellStyle name="Normal 3 2 5 2 8" xfId="478" xr:uid="{FB189623-037B-4678-9A31-FDB5F1DC9E66}"/>
    <cellStyle name="Normal 3 2 5 3" xfId="253" xr:uid="{235D4DC6-B2C9-4EA2-AFEB-CDC43533F426}"/>
    <cellStyle name="Normal 3 2 5 3 2" xfId="369" xr:uid="{95A0C137-B149-42B2-93C8-C9FF087B8792}"/>
    <cellStyle name="Normal 3 2 5 3 2 2" xfId="1011" xr:uid="{FD58A85A-5DA5-475C-AE3A-F5B6DC3BBAF3}"/>
    <cellStyle name="Normal 3 2 5 3 3" xfId="650" xr:uid="{2CD47C59-50DF-4455-A992-DE077A0FBA97}"/>
    <cellStyle name="Normal 3 2 5 4" xfId="280" xr:uid="{029627BF-54F2-4E6F-B8E2-82C66C23D90E}"/>
    <cellStyle name="Normal 3 2 5 4 2" xfId="584" xr:uid="{F2E7664D-EFAF-469E-880D-68F8C8CAFB23}"/>
    <cellStyle name="Normal 3 2 5 5" xfId="190" xr:uid="{7F695975-E006-41CA-9E11-1FCD1355AB8E}"/>
    <cellStyle name="Normal 3 2 5 5 2" xfId="517" xr:uid="{DD42DE58-02A4-4F27-9601-16734246BD57}"/>
    <cellStyle name="Normal 3 2 5 6" xfId="312" xr:uid="{920C3AA2-9515-4F1D-96B1-8113663DE970}"/>
    <cellStyle name="Normal 3 2 5 6 2" xfId="448" xr:uid="{F772159E-B8C8-4AD5-BC29-11D59CD0AC1F}"/>
    <cellStyle name="Normal 3 2 5 7" xfId="118" xr:uid="{C37F752C-EC04-407F-A561-8C53551F0510}"/>
    <cellStyle name="Normal 3 2 5 7 2" xfId="841" xr:uid="{EB0CD46F-2E18-44D8-8830-2B7D7AC25078}"/>
    <cellStyle name="Normal 3 2 5 8" xfId="93" xr:uid="{40F0FFE3-F82D-4634-B6F9-0D4713DD241B}"/>
    <cellStyle name="Normal 3 2 5 8 2" xfId="773" xr:uid="{B85CE263-5A9A-4D69-BE9F-FE7007971710}"/>
    <cellStyle name="Normal 3 2 5 9" xfId="728" xr:uid="{186D0B3D-2441-4C55-A9DF-3BE978AF1ADC}"/>
    <cellStyle name="Normal 3 2 6" xfId="50" xr:uid="{00000000-0005-0000-0000-00001B000000}"/>
    <cellStyle name="Normal 3 2 6 10" xfId="430" xr:uid="{BCDB3067-9078-4061-9162-F0AB68B156C9}"/>
    <cellStyle name="Normal 3 2 6 2" xfId="146" xr:uid="{45CF2EC7-B26B-46D6-8B20-47A21BA0F75A}"/>
    <cellStyle name="Normal 3 2 6 2 2" xfId="217" xr:uid="{C4AE53B8-D76A-43F7-ADB9-9B870EC8374B}"/>
    <cellStyle name="Normal 3 2 6 2 2 2" xfId="677" xr:uid="{27D45B5C-7043-4294-B59B-15D21A1F635F}"/>
    <cellStyle name="Normal 3 2 6 2 3" xfId="331" xr:uid="{A3E6AB07-487E-40FB-AC32-19602DB441B0}"/>
    <cellStyle name="Normal 3 2 6 2 3 2" xfId="611" xr:uid="{6A57D884-8F41-4C8D-BBA2-B8DE9097A17C}"/>
    <cellStyle name="Normal 3 2 6 2 4" xfId="544" xr:uid="{8A560365-323B-4132-B188-0E222E9F5FDD}"/>
    <cellStyle name="Normal 3 2 6 2 5" xfId="1040" xr:uid="{19C7CA2F-9074-459F-ACB3-A7F312537A76}"/>
    <cellStyle name="Normal 3 2 6 2 6" xfId="864" xr:uid="{1198F712-E251-499E-A34B-7AAA0CEEEDF0}"/>
    <cellStyle name="Normal 3 2 6 2 7" xfId="800" xr:uid="{9D8047DE-F448-4C90-870C-2CFA8E24D981}"/>
    <cellStyle name="Normal 3 2 6 2 8" xfId="476" xr:uid="{62E319A8-CF31-4B49-9082-88F6B430F2E7}"/>
    <cellStyle name="Normal 3 2 6 3" xfId="276" xr:uid="{427FC455-7C78-4735-9885-9A8F326EA9DA}"/>
    <cellStyle name="Normal 3 2 6 3 2" xfId="362" xr:uid="{C52EFB09-1E82-46C0-8BD1-DAD41B02D3E2}"/>
    <cellStyle name="Normal 3 2 6 3 3" xfId="648" xr:uid="{B2C32141-6633-49E0-89F5-0C9D894FB8CF}"/>
    <cellStyle name="Normal 3 2 6 4" xfId="188" xr:uid="{89DD710A-D5E1-4ACD-8FEB-3B8E8DC2F63E}"/>
    <cellStyle name="Normal 3 2 6 4 2" xfId="582" xr:uid="{220FA2AF-6BE5-49DE-89A6-F754E17C937D}"/>
    <cellStyle name="Normal 3 2 6 5" xfId="318" xr:uid="{55A771B7-F13D-46FE-AA65-AF313DF3BFC9}"/>
    <cellStyle name="Normal 3 2 6 5 2" xfId="515" xr:uid="{162CDC05-F8BA-4C96-A3D2-0FDD45B0D451}"/>
    <cellStyle name="Normal 3 2 6 6" xfId="116" xr:uid="{294293DB-92C3-44C0-997B-F6DD1D5220D4}"/>
    <cellStyle name="Normal 3 2 6 6 2" xfId="446" xr:uid="{380394E4-7E32-47BA-922D-A5DDA9CBEFF4}"/>
    <cellStyle name="Normal 3 2 6 7" xfId="99" xr:uid="{D59A61E2-C31F-4B44-89B3-5B6577EC4A25}"/>
    <cellStyle name="Normal 3 2 6 7 2" xfId="839" xr:uid="{3B7FDEDC-7948-4578-AC14-BBF1B15E678C}"/>
    <cellStyle name="Normal 3 2 6 8" xfId="771" xr:uid="{EF312BEE-5CB9-4C71-A7A0-2692AF640487}"/>
    <cellStyle name="Normal 3 2 6 9" xfId="726" xr:uid="{BC26D170-DE34-47B9-8417-6364D211F8EA}"/>
    <cellStyle name="Normal 3 2 7" xfId="24" xr:uid="{00000000-0005-0000-0000-00001C000000}"/>
    <cellStyle name="Normal 3 2 7 10" xfId="404" xr:uid="{C4DC7644-ACB5-400A-979B-8A47CE073C44}"/>
    <cellStyle name="Normal 3 2 7 2" xfId="162" xr:uid="{96B9D1DE-112B-42B4-9960-47231DD56128}"/>
    <cellStyle name="Normal 3 2 7 2 2" xfId="233" xr:uid="{BB6B3DD1-CCBA-4BB1-96C7-58D63BE12692}"/>
    <cellStyle name="Normal 3 2 7 2 2 2" xfId="693" xr:uid="{91D8961C-BA4A-4073-A5D3-90DAD66F345B}"/>
    <cellStyle name="Normal 3 2 7 2 3" xfId="627" xr:uid="{5C7F30D5-133B-40FF-9BB3-0977043F92F2}"/>
    <cellStyle name="Normal 3 2 7 2 4" xfId="560" xr:uid="{A493FF29-EEF2-4671-8DAE-FBF87D7507E5}"/>
    <cellStyle name="Normal 3 2 7 2 5" xfId="1048" xr:uid="{3E87F25A-C77C-4A8A-8557-9D814A8E2810}"/>
    <cellStyle name="Normal 3 2 7 2 6" xfId="880" xr:uid="{3E7583DE-589D-4373-A92D-2F0CE0D13E03}"/>
    <cellStyle name="Normal 3 2 7 2 7" xfId="816" xr:uid="{9121B58B-9D31-463A-97D4-EFA2528255E5}"/>
    <cellStyle name="Normal 3 2 7 2 8" xfId="492" xr:uid="{50B4DEAC-6ED9-460A-8A69-C9591CA46420}"/>
    <cellStyle name="Normal 3 2 7 3" xfId="272" xr:uid="{E29AD9B6-5B78-4F3A-BA80-B2A69F05B721}"/>
    <cellStyle name="Normal 3 2 7 3 2" xfId="664" xr:uid="{0D92DC80-66D5-4F41-8D0C-2B9BC46352F6}"/>
    <cellStyle name="Normal 3 2 7 4" xfId="204" xr:uid="{97944EF1-6E4D-44C5-B87F-EA63D426E493}"/>
    <cellStyle name="Normal 3 2 7 4 2" xfId="598" xr:uid="{BC540DEB-F9DC-42D9-B6FB-F909BCD27391}"/>
    <cellStyle name="Normal 3 2 7 5" xfId="347" xr:uid="{030B04C3-D506-45C5-BD3B-9F61FB0E148A}"/>
    <cellStyle name="Normal 3 2 7 5 2" xfId="531" xr:uid="{31FB05EE-AF47-4CB8-966D-B7A300658FB4}"/>
    <cellStyle name="Normal 3 2 7 6" xfId="133" xr:uid="{06F9F30A-401B-4E6E-A15E-642EBE148B0A}"/>
    <cellStyle name="Normal 3 2 7 6 2" xfId="463" xr:uid="{D2A15FD2-F054-48A4-9438-CC7D03675FB7}"/>
    <cellStyle name="Normal 3 2 7 7" xfId="107" xr:uid="{D718F0BA-16D5-42A5-80C6-DB409CE127B4}"/>
    <cellStyle name="Normal 3 2 7 7 2" xfId="852" xr:uid="{BB1ABDA9-634A-4900-9FE8-EFDE4A87B144}"/>
    <cellStyle name="Normal 3 2 7 8" xfId="787" xr:uid="{8404762E-A142-4C20-8E2E-D8B36D2704D7}"/>
    <cellStyle name="Normal 3 2 7 9" xfId="742" xr:uid="{D9B8826C-DB11-4EBE-BBE5-C5A392D618D5}"/>
    <cellStyle name="Normal 3 2 8" xfId="20" xr:uid="{00000000-0005-0000-0000-00001D000000}"/>
    <cellStyle name="Normal 3 2 8 10" xfId="401" xr:uid="{F4E4340E-96A0-49E5-8523-B51CEB9A8A90}"/>
    <cellStyle name="Normal 3 2 8 2" xfId="144" xr:uid="{A433938A-E005-4A71-85C0-1F3AF0B6FE8E}"/>
    <cellStyle name="Normal 3 2 8 2 2" xfId="215" xr:uid="{3388435A-A225-4542-A9CF-62346C82B950}"/>
    <cellStyle name="Normal 3 2 8 2 2 2" xfId="675" xr:uid="{D1177D51-C738-4256-BA6D-0BD3257DC879}"/>
    <cellStyle name="Normal 3 2 8 2 3" xfId="609" xr:uid="{29991BB8-2C69-48F6-8F88-18FCDBBEB7B5}"/>
    <cellStyle name="Normal 3 2 8 2 4" xfId="542" xr:uid="{10DE5A7C-FED1-4594-9686-464771676489}"/>
    <cellStyle name="Normal 3 2 8 2 5" xfId="1038" xr:uid="{E8DB20F3-AD65-45C6-AE94-972DA0917161}"/>
    <cellStyle name="Normal 3 2 8 2 6" xfId="862" xr:uid="{DDA7B231-79A7-4854-B214-9B55D7D9991E}"/>
    <cellStyle name="Normal 3 2 8 2 7" xfId="798" xr:uid="{97F9CF60-D989-47F4-86CE-66B437E4B430}"/>
    <cellStyle name="Normal 3 2 8 2 8" xfId="474" xr:uid="{E271A9D0-13A2-45EF-8263-95A3F137664E}"/>
    <cellStyle name="Normal 3 2 8 3" xfId="268" xr:uid="{968CCE09-5DD1-48C9-99B5-0EAB453EA968}"/>
    <cellStyle name="Normal 3 2 8 3 2" xfId="646" xr:uid="{51B6F822-C0BA-45CF-A457-DE4269773E98}"/>
    <cellStyle name="Normal 3 2 8 4" xfId="186" xr:uid="{DE999976-A166-43D8-B094-F107106FA3C1}"/>
    <cellStyle name="Normal 3 2 8 4 2" xfId="580" xr:uid="{1FF06975-9813-4BF6-80EE-59F8AFFD041E}"/>
    <cellStyle name="Normal 3 2 8 5" xfId="329" xr:uid="{C2C1C5C5-A82B-44BF-AEBD-CF152E36A468}"/>
    <cellStyle name="Normal 3 2 8 5 2" xfId="513" xr:uid="{86885881-A97D-42B3-8B79-CC4491004B0C}"/>
    <cellStyle name="Normal 3 2 8 6" xfId="114" xr:uid="{635E29F7-2384-4A68-9051-2980AD228790}"/>
    <cellStyle name="Normal 3 2 8 6 2" xfId="444" xr:uid="{1751D41C-A5E0-4877-9DD4-BC347E86167A}"/>
    <cellStyle name="Normal 3 2 8 7" xfId="80" xr:uid="{5F1E7741-BFB6-4E40-8CC2-0776DC75115A}"/>
    <cellStyle name="Normal 3 2 8 7 2" xfId="837" xr:uid="{AFDC9938-91E7-4BBD-8F17-AF62DFA67E16}"/>
    <cellStyle name="Normal 3 2 8 8" xfId="769" xr:uid="{A20DF3A4-88BC-47AD-9674-83BA3AC69A31}"/>
    <cellStyle name="Normal 3 2 8 9" xfId="724" xr:uid="{76C56D1C-A281-4A00-A66C-F823334F971B}"/>
    <cellStyle name="Normal 3 2 9" xfId="13" xr:uid="{00000000-0005-0000-0000-00001E000000}"/>
    <cellStyle name="Normal 3 2 9 2" xfId="240" xr:uid="{5D43B28A-EB4B-4018-8BA7-D03BB180F071}"/>
    <cellStyle name="Normal 3 2 9 2 2" xfId="1015" xr:uid="{D16B8018-538A-4F1E-8EC2-4AEF736E5C6B}"/>
    <cellStyle name="Normal 3 2 9 2 3" xfId="700" xr:uid="{976DFE8B-E589-47C9-91A9-F00652F6DFDB}"/>
    <cellStyle name="Normal 3 2 9 3" xfId="356" xr:uid="{034FA684-7CA6-4ED9-8A9D-42BDD16B2CE9}"/>
    <cellStyle name="Normal 3 2 9 3 2" xfId="634" xr:uid="{DFE099EA-0431-451D-A51C-A7E87850F335}"/>
    <cellStyle name="Normal 3 2 9 4" xfId="169" xr:uid="{BA23B6F0-7D9E-4D61-AAA1-B19F2E4761E6}"/>
    <cellStyle name="Normal 3 2 9 4 2" xfId="567" xr:uid="{AE0A0AE0-ACD4-4BEA-9855-20079FF7A7AB}"/>
    <cellStyle name="Normal 3 2 9 5" xfId="68" xr:uid="{7C62FA98-EEEB-47C6-A4C7-2500AE7D801A}"/>
    <cellStyle name="Normal 3 2 9 5 2" xfId="499" xr:uid="{FAD0E562-E8B2-45F8-991F-EC09FDEF296C}"/>
    <cellStyle name="Normal 3 2 9 6" xfId="887" xr:uid="{1179C466-7E51-4A57-BCF6-972010BFABAD}"/>
    <cellStyle name="Normal 3 2 9 7" xfId="823" xr:uid="{81E9FB03-4E4B-4190-AF04-BB6E307DFFD0}"/>
    <cellStyle name="Normal 3 2 9 8" xfId="757" xr:uid="{704C48F0-A081-4E74-B12E-60977B33A9C1}"/>
    <cellStyle name="Normal 3 2 9 9" xfId="394" xr:uid="{1DA45901-967D-41EF-878B-9B8AF648F8AA}"/>
    <cellStyle name="Normal 3 20" xfId="60" xr:uid="{277474AD-3D41-4378-BEAF-D50479B72F6C}"/>
    <cellStyle name="Normal 3 20 2" xfId="1026" xr:uid="{4C3D4B7C-DFE5-4C37-A633-4755C4381949}"/>
    <cellStyle name="Normal 3 20 3" xfId="1024" xr:uid="{91C2EBA2-FD6E-4434-8A1F-E8CE6CE8BA9A}"/>
    <cellStyle name="Normal 3 20 4" xfId="915" xr:uid="{2561CF0E-D32B-41D8-A373-B0D15D103A05}"/>
    <cellStyle name="Normal 3 21" xfId="935" xr:uid="{7E907E93-89A8-4CE8-B03F-AF92ECE2DA63}"/>
    <cellStyle name="Normal 3 21 2" xfId="1025" xr:uid="{86F3AA86-DC28-42AB-B2CE-274285704794}"/>
    <cellStyle name="Normal 3 22" xfId="966" xr:uid="{7F3EC3ED-09A3-4EC2-BE47-FCFDD06357F8}"/>
    <cellStyle name="Normal 3 23" xfId="1027" xr:uid="{7D7F1A43-42FF-4A2A-916F-A14E0E8A8C77}"/>
    <cellStyle name="Normal 3 24" xfId="901" xr:uid="{13F23367-74C9-4424-8F74-34F926EAD254}"/>
    <cellStyle name="Normal 3 25" xfId="896" xr:uid="{EC3317A9-0C67-4C7D-A1E9-2A0EDC7B1D0B}"/>
    <cellStyle name="Normal 3 26" xfId="832" xr:uid="{0620C037-B5C7-488E-AF94-3A73BA657697}"/>
    <cellStyle name="Normal 3 27" xfId="764" xr:uid="{A1D5EF5D-F02A-45DB-9BEB-08A109A971FF}"/>
    <cellStyle name="Normal 3 28" xfId="720" xr:uid="{03821B1D-D788-4002-818A-50B60561F4B2}"/>
    <cellStyle name="Normal 3 29" xfId="1058" xr:uid="{4D73351F-11B8-43A9-9872-83FA13FF5C65}"/>
    <cellStyle name="Normal 3 3" xfId="5" xr:uid="{00000000-0005-0000-0000-00001F000000}"/>
    <cellStyle name="Normal 3 3 10" xfId="123" xr:uid="{E37314D8-9544-4C44-95FC-4BF81693E271}"/>
    <cellStyle name="Normal 3 3 10 2" xfId="909" xr:uid="{E32C8B0B-BBE5-46B1-8620-FC64A4C27E68}"/>
    <cellStyle name="Normal 3 3 11" xfId="62" xr:uid="{40F09C07-ECCA-4130-8952-6B83992070A6}"/>
    <cellStyle name="Normal 3 3 11 2" xfId="844" xr:uid="{BFABD295-2FCB-4C25-A1E9-DF6BBC6A253E}"/>
    <cellStyle name="Normal 3 3 12" xfId="777" xr:uid="{DAC6F784-86AC-4DF4-91FD-45BA0327BDCD}"/>
    <cellStyle name="Normal 3 3 13" xfId="732" xr:uid="{043E85B8-376B-4EC3-B0F6-550222D542E3}"/>
    <cellStyle name="Normal 3 3 14" xfId="388" xr:uid="{50AADCEB-A0A4-4BFA-9E75-3AB1D3939109}"/>
    <cellStyle name="Normal 3 3 2" xfId="30" xr:uid="{00000000-0005-0000-0000-000020000000}"/>
    <cellStyle name="Normal 3 3 2 10" xfId="737" xr:uid="{A4FC4B8A-2CB3-4A3C-86FC-4F84C8ED8194}"/>
    <cellStyle name="Normal 3 3 2 11" xfId="410" xr:uid="{B2FD6010-0D50-4BCC-BB22-38C3D4A13103}"/>
    <cellStyle name="Normal 3 3 2 2" xfId="56" xr:uid="{00000000-0005-0000-0000-000021000000}"/>
    <cellStyle name="Normal 3 3 2 2 2" xfId="228" xr:uid="{A13C6F2A-9D6F-421A-92E6-B5125E6F3066}"/>
    <cellStyle name="Normal 3 3 2 2 2 2" xfId="707" xr:uid="{26192593-1844-48E1-B275-878BE8132322}"/>
    <cellStyle name="Normal 3 3 2 2 3" xfId="352" xr:uid="{2DE7D5E4-06DE-4AB6-92BE-3F0908B4964D}"/>
    <cellStyle name="Normal 3 3 2 2 3 2" xfId="622" xr:uid="{978FBD81-442A-489B-9EB4-9B7E6A8B1E23}"/>
    <cellStyle name="Normal 3 3 2 2 4" xfId="157" xr:uid="{FCFFC2A7-356D-4923-94A5-1A702692FFD2}"/>
    <cellStyle name="Normal 3 3 2 2 4 2" xfId="555" xr:uid="{3338AF47-54D4-4962-B6EC-9D5260C36CB0}"/>
    <cellStyle name="Normal 3 3 2 2 5" xfId="487" xr:uid="{612B4B0A-31F7-4D50-A8E7-46AC2B72E0B9}"/>
    <cellStyle name="Normal 3 3 2 2 6" xfId="875" xr:uid="{13947727-D844-4D2F-996C-50791132516A}"/>
    <cellStyle name="Normal 3 3 2 2 7" xfId="811" xr:uid="{4294AA79-1134-4308-9F9F-3D9B1489A6C2}"/>
    <cellStyle name="Normal 3 3 2 2 8" xfId="754" xr:uid="{58776571-0000-4CC9-A999-B22D738F0CDA}"/>
    <cellStyle name="Normal 3 3 2 2 9" xfId="436" xr:uid="{4F623410-A764-4200-930D-3E908D63BEA7}"/>
    <cellStyle name="Normal 3 3 2 3" xfId="199" xr:uid="{A6EF1657-85CD-4499-8A2D-CD5B13BABCF6}"/>
    <cellStyle name="Normal 3 3 2 3 2" xfId="343" xr:uid="{BBC2E3D9-1128-4CE6-8929-4193FCAD5599}"/>
    <cellStyle name="Normal 3 3 2 3 2 2" xfId="990" xr:uid="{7937062F-FE8F-4B88-A595-44CA58ABB32E}"/>
    <cellStyle name="Normal 3 3 2 3 3" xfId="688" xr:uid="{FC3E3ECB-9F46-4EA7-A6FE-5C0EF5017682}"/>
    <cellStyle name="Normal 3 3 2 4" xfId="383" xr:uid="{FE63AA6B-7889-4EED-92D2-ABCC1F14152D}"/>
    <cellStyle name="Normal 3 3 2 4 2" xfId="659" xr:uid="{B69E346A-D252-47C5-97CD-2A3AFE22E24B}"/>
    <cellStyle name="Normal 3 3 2 5" xfId="308" xr:uid="{783807E4-09A1-47E7-BE59-CDE7132E3C76}"/>
    <cellStyle name="Normal 3 3 2 5 2" xfId="593" xr:uid="{77872F1A-BB93-441F-86A0-0BDEA3539370}"/>
    <cellStyle name="Normal 3 3 2 6" xfId="128" xr:uid="{C0129C77-7A72-4F47-A43F-6155F222C5F0}"/>
    <cellStyle name="Normal 3 3 2 6 2" xfId="526" xr:uid="{9B72BC8D-BBC6-4E65-AC10-10D58E4BE291}"/>
    <cellStyle name="Normal 3 3 2 7" xfId="89" xr:uid="{79DC78C2-0AE4-4EF6-8BC4-ED401BB36B15}"/>
    <cellStyle name="Normal 3 3 2 7 2" xfId="458" xr:uid="{194787D6-D646-44EE-A526-7B082CAF6E33}"/>
    <cellStyle name="Normal 3 3 2 8" xfId="847" xr:uid="{EFBA54DA-6B99-4BC5-A791-7B03E0B598BA}"/>
    <cellStyle name="Normal 3 3 2 9" xfId="782" xr:uid="{13AEB6AA-C421-4B22-AD4F-60D133CAC018}"/>
    <cellStyle name="Normal 3 3 3" xfId="42" xr:uid="{00000000-0005-0000-0000-000022000000}"/>
    <cellStyle name="Normal 3 3 3 10" xfId="422" xr:uid="{FCBF8CC2-2CE5-4E04-B53D-E1C8677F709A}"/>
    <cellStyle name="Normal 3 3 3 2" xfId="163" xr:uid="{B8F5AA0D-C943-416B-ADF2-5CB34CAD88DC}"/>
    <cellStyle name="Normal 3 3 3 2 2" xfId="234" xr:uid="{26037ECB-7AB9-455D-BA88-9FFBD98F6188}"/>
    <cellStyle name="Normal 3 3 3 2 2 2" xfId="694" xr:uid="{82394166-87B9-4041-9F0D-7D6D6F4EB72F}"/>
    <cellStyle name="Normal 3 3 3 2 3" xfId="348" xr:uid="{6F324D24-0398-4D65-ABE0-74F75E7CE69C}"/>
    <cellStyle name="Normal 3 3 3 2 3 2" xfId="628" xr:uid="{7C359D87-41DE-4D83-8D2C-2A91D100840F}"/>
    <cellStyle name="Normal 3 3 3 2 4" xfId="561" xr:uid="{CC49416D-D4E8-4839-ADA6-B1973FB1B67B}"/>
    <cellStyle name="Normal 3 3 3 2 5" xfId="1049" xr:uid="{A8852E53-3D54-4733-994F-F38126ADC83F}"/>
    <cellStyle name="Normal 3 3 3 2 6" xfId="881" xr:uid="{6C49083F-B337-4460-B55B-9AC79751F6BB}"/>
    <cellStyle name="Normal 3 3 3 2 7" xfId="817" xr:uid="{39F435AD-6BB7-4AE9-87AD-26C8B335EA0A}"/>
    <cellStyle name="Normal 3 3 3 2 8" xfId="493" xr:uid="{4C39FEEB-8653-497C-9B70-ED3995FB447F}"/>
    <cellStyle name="Normal 3 3 3 3" xfId="205" xr:uid="{7BDD87BF-8A5A-480F-8A2B-BD887B9478C3}"/>
    <cellStyle name="Normal 3 3 3 3 2" xfId="378" xr:uid="{600224EE-8A3B-4BBA-AD55-63D281901608}"/>
    <cellStyle name="Normal 3 3 3 3 3" xfId="665" xr:uid="{950A991D-3C7B-4747-82D8-EF2745D0A174}"/>
    <cellStyle name="Normal 3 3 3 4" xfId="321" xr:uid="{C1384554-71D2-48FE-A4F0-5336FD8BA862}"/>
    <cellStyle name="Normal 3 3 3 4 2" xfId="599" xr:uid="{448F55BF-D56F-4872-95AB-627411F64991}"/>
    <cellStyle name="Normal 3 3 3 5" xfId="134" xr:uid="{062585DA-5D51-4F51-9590-214911B76B0A}"/>
    <cellStyle name="Normal 3 3 3 5 2" xfId="532" xr:uid="{CB8F8F97-8035-4A2A-88B5-B8C6D227911E}"/>
    <cellStyle name="Normal 3 3 3 6" xfId="102" xr:uid="{EA8E8C70-60B6-4659-A0A5-25ABBBEBF521}"/>
    <cellStyle name="Normal 3 3 3 6 2" xfId="464" xr:uid="{AE1AF0E5-CC8F-4D96-9FFC-1A379F9BB5AA}"/>
    <cellStyle name="Normal 3 3 3 7" xfId="853" xr:uid="{5D0432B3-C455-4DD0-82EB-9B623B80E3F4}"/>
    <cellStyle name="Normal 3 3 3 8" xfId="788" xr:uid="{BB937449-74F1-4F6B-87C5-5ECE9E9C8F82}"/>
    <cellStyle name="Normal 3 3 3 9" xfId="743" xr:uid="{EADCE9FB-0F79-4580-BCEF-A515B4FCAEF3}"/>
    <cellStyle name="Normal 3 3 4" xfId="51" xr:uid="{00000000-0005-0000-0000-000023000000}"/>
    <cellStyle name="Normal 3 3 4 2" xfId="244" xr:uid="{840811D3-A567-4A6D-8470-AF967F1B7376}"/>
    <cellStyle name="Normal 3 3 4 2 2" xfId="370" xr:uid="{4DCDE306-5AD4-4463-B5EA-59A2CB950FF1}"/>
    <cellStyle name="Normal 3 3 4 2 2 2" xfId="962" xr:uid="{AAF7A85A-F0E1-499D-85AE-B6871BF07409}"/>
    <cellStyle name="Normal 3 3 4 2 3" xfId="1013" xr:uid="{D1562DB0-7184-4169-BBD9-5653CE25DB2D}"/>
    <cellStyle name="Normal 3 3 4 2 4" xfId="702" xr:uid="{F96CF1B0-DD14-444D-852C-57CBC32C1E8C}"/>
    <cellStyle name="Normal 3 3 4 3" xfId="338" xr:uid="{805BF607-814D-41A1-B7E1-2FD950A12343}"/>
    <cellStyle name="Normal 3 3 4 3 2" xfId="638" xr:uid="{95F9DCEC-9F39-45C9-8EAC-14DA1621F6D1}"/>
    <cellStyle name="Normal 3 3 4 4" xfId="173" xr:uid="{81534B2E-9173-40EB-A800-A5A3E3330C6B}"/>
    <cellStyle name="Normal 3 3 4 4 2" xfId="571" xr:uid="{9FE8A0B3-000F-4129-9C64-4012A7247521}"/>
    <cellStyle name="Normal 3 3 4 5" xfId="81" xr:uid="{EFEB5C83-39D8-4A34-A4F0-A0BBE43E2558}"/>
    <cellStyle name="Normal 3 3 4 5 2" xfId="503" xr:uid="{72C84620-2D0C-4968-93C8-FFC33D1D1EE1}"/>
    <cellStyle name="Normal 3 3 4 6" xfId="891" xr:uid="{70EA397F-B266-433B-8052-33988A8C5EC4}"/>
    <cellStyle name="Normal 3 3 4 7" xfId="827" xr:uid="{DD78AF5A-360D-4414-98AD-EB374D8CBAA1}"/>
    <cellStyle name="Normal 3 3 4 8" xfId="760" xr:uid="{60BAA50B-522C-4AAE-88B2-AAC4469EDB3A}"/>
    <cellStyle name="Normal 3 3 4 9" xfId="431" xr:uid="{685088AC-BEF7-47CE-A628-59F91E935B7C}"/>
    <cellStyle name="Normal 3 3 5" xfId="26" xr:uid="{00000000-0005-0000-0000-000024000000}"/>
    <cellStyle name="Normal 3 3 5 2" xfId="223" xr:uid="{89D477B1-A8C8-4D1B-B885-818FD76489CB}"/>
    <cellStyle name="Normal 3 3 5 2 2" xfId="958" xr:uid="{9ED9363B-6CDC-4219-91EC-2018C7B09961}"/>
    <cellStyle name="Normal 3 3 5 2 3" xfId="1002" xr:uid="{723F34E2-C6F7-4D70-A5BA-3A463AEC2DEF}"/>
    <cellStyle name="Normal 3 3 5 2 4" xfId="683" xr:uid="{B5C55067-086B-4135-9F18-A0C5BDD3E596}"/>
    <cellStyle name="Normal 3 3 5 3" xfId="363" xr:uid="{E86EECE3-6A5C-4199-AB84-58E6460E282B}"/>
    <cellStyle name="Normal 3 3 5 3 2" xfId="1055" xr:uid="{0FB937F5-AB5E-477B-810A-1178AFCD8242}"/>
    <cellStyle name="Normal 3 3 5 3 3" xfId="948" xr:uid="{C9D004A1-284C-4CB1-B71D-DAC62D3F638D}"/>
    <cellStyle name="Normal 3 3 5 3 4" xfId="617" xr:uid="{425448BE-9ED9-40CD-9556-3BC014442A55}"/>
    <cellStyle name="Normal 3 3 5 4" xfId="152" xr:uid="{DFBCB8F7-1304-41B2-9C5D-83F1FC2F75C1}"/>
    <cellStyle name="Normal 3 3 5 4 2" xfId="550" xr:uid="{49CF1981-49DE-4B9A-8D2C-B908D2D9573A}"/>
    <cellStyle name="Normal 3 3 5 5" xfId="76" xr:uid="{BC905B79-2709-4FC2-A0B4-53FA8085F768}"/>
    <cellStyle name="Normal 3 3 5 5 2" xfId="482" xr:uid="{D454DDF9-9B02-4451-B85C-E309B885F491}"/>
    <cellStyle name="Normal 3 3 5 6" xfId="870" xr:uid="{47E28BA4-E5BD-42A4-A86E-2487D8E1D553}"/>
    <cellStyle name="Normal 3 3 5 7" xfId="806" xr:uid="{424D4A3B-9C27-4907-90F8-671F94940FED}"/>
    <cellStyle name="Normal 3 3 5 8" xfId="750" xr:uid="{51EFADC8-B996-4EE2-84AD-3C668C71737C}"/>
    <cellStyle name="Normal 3 3 5 9" xfId="406" xr:uid="{DAF641F6-1807-45C1-9B2A-B7D717735237}"/>
    <cellStyle name="Normal 3 3 6" xfId="14" xr:uid="{00000000-0005-0000-0000-000025000000}"/>
    <cellStyle name="Normal 3 3 6 2" xfId="357" xr:uid="{597C9845-87F0-4727-8392-839010C1210F}"/>
    <cellStyle name="Normal 3 3 6 2 2" xfId="1018" xr:uid="{3EB7CD32-67AA-4C0F-9DE4-C6DADF8B395F}"/>
    <cellStyle name="Normal 3 3 6 2 3" xfId="654" xr:uid="{E41054A4-5683-4380-B1B6-9F4CFCA5B202}"/>
    <cellStyle name="Normal 3 3 6 3" xfId="254" xr:uid="{DA45CE15-BA58-4A17-8062-12D259D261E8}"/>
    <cellStyle name="Normal 3 3 6 3 2" xfId="987" xr:uid="{13DE69F1-2D0D-4C82-BB44-6252C230BF1B}"/>
    <cellStyle name="Normal 3 3 6 4" xfId="934" xr:uid="{BD8C9468-7582-43F4-B7D8-E4A141406ADC}"/>
    <cellStyle name="Normal 3 3 6 5" xfId="395" xr:uid="{0B99901D-EBC1-4E8B-BD20-F824DD08C629}"/>
    <cellStyle name="Normal 3 3 7" xfId="287" xr:uid="{C1D77878-4FB4-478E-A8CF-3160358F4B6D}"/>
    <cellStyle name="Normal 3 3 7 2" xfId="300" xr:uid="{9035FE70-EA0F-4F6D-B94C-14B86A0D72EC}"/>
    <cellStyle name="Normal 3 3 7 3" xfId="588" xr:uid="{E7B09646-2CFF-4F38-AC7D-25CEA0812BB2}"/>
    <cellStyle name="Normal 3 3 8" xfId="194" xr:uid="{86475043-60B8-473B-83A8-68CFB8754480}"/>
    <cellStyle name="Normal 3 3 8 2" xfId="521" xr:uid="{7CB8F8AF-0BCE-4D64-85E6-3BD18040107A}"/>
    <cellStyle name="Normal 3 3 9" xfId="294" xr:uid="{20B0FB62-41D6-4019-9B66-5DA85250BEC4}"/>
    <cellStyle name="Normal 3 3 9 2" xfId="453" xr:uid="{9FC2D778-1928-4538-9DF8-31A539CA128C}"/>
    <cellStyle name="Normal 3 30" xfId="714" xr:uid="{C12EC5A7-EBDC-4CB4-A4F9-6543EE22FF15}"/>
    <cellStyle name="Normal 3 31" xfId="386" xr:uid="{753ED3B4-0A68-4E50-8499-8723BC035964}"/>
    <cellStyle name="Normal 3 4" xfId="7" xr:uid="{00000000-0005-0000-0000-000026000000}"/>
    <cellStyle name="Normal 3 4 10" xfId="64" xr:uid="{58F551D9-AA46-4E47-8CE2-151E34833C7C}"/>
    <cellStyle name="Normal 3 4 10 2" xfId="734" xr:uid="{28E2AE99-2196-48A7-8715-A5A403E8C210}"/>
    <cellStyle name="Normal 3 4 11" xfId="389" xr:uid="{971550CE-99ED-4941-AF0B-AF0F83DE294E}"/>
    <cellStyle name="Normal 3 4 2" xfId="45" xr:uid="{00000000-0005-0000-0000-000027000000}"/>
    <cellStyle name="Normal 3 4 2 10" xfId="425" xr:uid="{21DC7B15-0933-42D3-9BD5-30A3A9409E85}"/>
    <cellStyle name="Normal 3 4 2 2" xfId="165" xr:uid="{04D7F5D6-DBE8-454F-BEC8-48F60422AB3D}"/>
    <cellStyle name="Normal 3 4 2 2 2" xfId="236" xr:uid="{49DE07D5-6C18-4B60-8148-1DB3F83CE8B8}"/>
    <cellStyle name="Normal 3 4 2 2 2 2" xfId="696" xr:uid="{2E4B04BB-C614-4F04-9640-4B95A77C39EB}"/>
    <cellStyle name="Normal 3 4 2 2 3" xfId="350" xr:uid="{8067984D-FEB6-4520-AE5D-A9B8DCE1C147}"/>
    <cellStyle name="Normal 3 4 2 2 3 2" xfId="630" xr:uid="{5178A965-0C93-4A21-B3CD-EC24E5E2CA12}"/>
    <cellStyle name="Normal 3 4 2 2 4" xfId="563" xr:uid="{4661083A-907A-4B16-A573-DFEEBCC87778}"/>
    <cellStyle name="Normal 3 4 2 2 5" xfId="1051" xr:uid="{3C61D4A3-B52A-4CF3-A359-4C1300E41910}"/>
    <cellStyle name="Normal 3 4 2 2 6" xfId="883" xr:uid="{65BCBF4A-8D5B-4DD3-9901-3A32C286D07F}"/>
    <cellStyle name="Normal 3 4 2 2 7" xfId="819" xr:uid="{45653760-A301-4801-B2C5-81BDE5C7F3A6}"/>
    <cellStyle name="Normal 3 4 2 2 8" xfId="495" xr:uid="{C229C261-4659-4018-BBCD-8015F2F1756E}"/>
    <cellStyle name="Normal 3 4 2 3" xfId="207" xr:uid="{7F521B7A-D083-40D5-A91E-D94F12CAD3D8}"/>
    <cellStyle name="Normal 3 4 2 3 2" xfId="380" xr:uid="{FC961E2C-72B0-4C7C-B48B-7469CE5F5B51}"/>
    <cellStyle name="Normal 3 4 2 3 3" xfId="667" xr:uid="{8909FDC0-FCEE-46C0-B90E-9DB18DC84C7F}"/>
    <cellStyle name="Normal 3 4 2 4" xfId="319" xr:uid="{11514C79-2C2A-448C-AF36-63DF3CDF4F83}"/>
    <cellStyle name="Normal 3 4 2 4 2" xfId="601" xr:uid="{FCF5A918-ED15-4C90-A521-E81018C5BDCC}"/>
    <cellStyle name="Normal 3 4 2 5" xfId="136" xr:uid="{4D866979-9E80-444A-AF32-5D3582686269}"/>
    <cellStyle name="Normal 3 4 2 5 2" xfId="534" xr:uid="{DE82D42D-8516-4090-9500-7ACA603665B9}"/>
    <cellStyle name="Normal 3 4 2 6" xfId="100" xr:uid="{0B3028C4-3A4A-484B-A327-B5B131295A58}"/>
    <cellStyle name="Normal 3 4 2 6 2" xfId="466" xr:uid="{DC6FCA10-E553-4415-8DA0-5CB5EFA866F0}"/>
    <cellStyle name="Normal 3 4 2 7" xfId="854" xr:uid="{7F0BC3C7-1D43-4EF1-A081-0F72F0B0A502}"/>
    <cellStyle name="Normal 3 4 2 8" xfId="790" xr:uid="{1D015D57-D292-43D4-AF26-AF9AA518369E}"/>
    <cellStyle name="Normal 3 4 2 9" xfId="745" xr:uid="{CA6C923D-F7DC-4EF5-922D-857AFB37EC22}"/>
    <cellStyle name="Normal 3 4 3" xfId="54" xr:uid="{00000000-0005-0000-0000-000028000000}"/>
    <cellStyle name="Normal 3 4 3 2" xfId="241" xr:uid="{1F04FC8B-9186-4BC0-8A21-DDE592959043}"/>
    <cellStyle name="Normal 3 4 3 2 2" xfId="373" xr:uid="{5D4CFE98-97F6-4BEA-A79A-DE82FA7512A0}"/>
    <cellStyle name="Normal 3 4 3 2 3" xfId="704" xr:uid="{D03C5A0D-4A15-43C5-95DC-B00BC05F9AB3}"/>
    <cellStyle name="Normal 3 4 3 3" xfId="340" xr:uid="{A5B8023E-733A-4500-B91F-D655E64AEBB6}"/>
    <cellStyle name="Normal 3 4 3 3 2" xfId="635" xr:uid="{D9B4AA74-2591-42C9-8AB6-A6E04FC3AC99}"/>
    <cellStyle name="Normal 3 4 3 4" xfId="170" xr:uid="{071C81DC-8B25-4DC1-B19B-2438B83046E1}"/>
    <cellStyle name="Normal 3 4 3 4 2" xfId="568" xr:uid="{376BF357-B8C2-42FE-9CE8-8368B5558D46}"/>
    <cellStyle name="Normal 3 4 3 5" xfId="84" xr:uid="{D58727AB-0680-47AB-8372-3F131EBC40C0}"/>
    <cellStyle name="Normal 3 4 3 5 2" xfId="500" xr:uid="{35AA832C-3666-4B0F-9896-3BFB49348F80}"/>
    <cellStyle name="Normal 3 4 3 6" xfId="888" xr:uid="{469F2D90-3F0B-4266-BC89-C17BCE66EA95}"/>
    <cellStyle name="Normal 3 4 3 7" xfId="824" xr:uid="{CEEDF134-448A-4F84-91EB-6D2AEDC40EDB}"/>
    <cellStyle name="Normal 3 4 3 8" xfId="758" xr:uid="{435E3876-E771-48E1-851D-225DBE41FD76}"/>
    <cellStyle name="Normal 3 4 3 9" xfId="434" xr:uid="{AD37115B-08ED-4645-A28B-2E01F6350D45}"/>
    <cellStyle name="Normal 3 4 4" xfId="33" xr:uid="{00000000-0005-0000-0000-000029000000}"/>
    <cellStyle name="Normal 3 4 4 2" xfId="225" xr:uid="{6D0E721B-3C49-4931-9966-5AC2219BC6C0}"/>
    <cellStyle name="Normal 3 4 4 2 2" xfId="685" xr:uid="{A5B1253F-995B-4AF2-9718-D26CC836D167}"/>
    <cellStyle name="Normal 3 4 4 3" xfId="365" xr:uid="{445D91FB-1341-47E7-94FA-D61FB54F5937}"/>
    <cellStyle name="Normal 3 4 4 3 2" xfId="619" xr:uid="{F83DDEAC-9C3B-4F19-9060-165D0EA4ED56}"/>
    <cellStyle name="Normal 3 4 4 4" xfId="154" xr:uid="{8F3E7410-2D5D-403B-BCC0-451ACAD0A102}"/>
    <cellStyle name="Normal 3 4 4 4 2" xfId="552" xr:uid="{6E1D3F78-785B-4419-893A-9713CCCF454D}"/>
    <cellStyle name="Normal 3 4 4 5" xfId="72" xr:uid="{46084DF7-FBC6-4EED-8FAE-92CDFBB61705}"/>
    <cellStyle name="Normal 3 4 4 5 2" xfId="484" xr:uid="{0D329346-ADE9-4335-AAF8-C8A2DCFC32BB}"/>
    <cellStyle name="Normal 3 4 4 6" xfId="872" xr:uid="{01666B15-7D90-453A-A94B-91BA4486F9F3}"/>
    <cellStyle name="Normal 3 4 4 7" xfId="808" xr:uid="{7F12ADD3-36CB-4F13-8D21-74F52CA36856}"/>
    <cellStyle name="Normal 3 4 4 8" xfId="751" xr:uid="{FA394D03-76BB-4C66-B49E-4A4489A3A2FD}"/>
    <cellStyle name="Normal 3 4 4 9" xfId="413" xr:uid="{DA541394-0697-42C0-B9F6-A280327CAF16}"/>
    <cellStyle name="Normal 3 4 5" xfId="16" xr:uid="{00000000-0005-0000-0000-00002A000000}"/>
    <cellStyle name="Normal 3 4 5 2" xfId="359" xr:uid="{52DCFFAF-5F84-48A3-85EE-54F391E57DED}"/>
    <cellStyle name="Normal 3 4 5 2 2" xfId="656" xr:uid="{6EEE6E72-A703-4331-A700-D71E70AD3041}"/>
    <cellStyle name="Normal 3 4 5 3" xfId="256" xr:uid="{672B2311-298B-47A1-8DFD-5EAD9F1CF9A8}"/>
    <cellStyle name="Normal 3 4 5 4" xfId="397" xr:uid="{B6FCDB07-B30B-4E77-AEBA-54F76A8CE861}"/>
    <cellStyle name="Normal 3 4 6" xfId="284" xr:uid="{6F3998BD-B520-4ED3-B619-68866F1F649B}"/>
    <cellStyle name="Normal 3 4 6 2" xfId="590" xr:uid="{6DEA4833-75E8-442B-ACE2-B57215FD6256}"/>
    <cellStyle name="Normal 3 4 7" xfId="196" xr:uid="{F4CD845A-BEB4-487E-A883-B0EA02B105CC}"/>
    <cellStyle name="Normal 3 4 7 2" xfId="523" xr:uid="{BD84B3BB-2DFD-4F1E-A57E-DAFEA49068E5}"/>
    <cellStyle name="Normal 3 4 8" xfId="303" xr:uid="{7F8AADFE-5AC0-4024-8213-84942EB7E905}"/>
    <cellStyle name="Normal 3 4 8 2" xfId="455" xr:uid="{97646EB5-DD28-41AF-BF22-4F50BDC3DFA5}"/>
    <cellStyle name="Normal 3 4 9" xfId="125" xr:uid="{9203E49C-77BB-4AAF-B37A-17C5462E6446}"/>
    <cellStyle name="Normal 3 4 9 2" xfId="779" xr:uid="{215F5436-E3BB-49CD-8E36-FF708D8D1242}"/>
    <cellStyle name="Normal 3 5" xfId="27" xr:uid="{00000000-0005-0000-0000-00002B000000}"/>
    <cellStyle name="Normal 3 5 10" xfId="407" xr:uid="{B6EE3A54-9BA5-4A96-BDD4-51CE9BF7A262}"/>
    <cellStyle name="Normal 3 5 2" xfId="39" xr:uid="{00000000-0005-0000-0000-00002C000000}"/>
    <cellStyle name="Normal 3 5 2 2" xfId="226" xr:uid="{F4E6D93E-EFA6-414F-B926-ECAC2C1E0D11}"/>
    <cellStyle name="Normal 3 5 2 2 2" xfId="705" xr:uid="{BC97B0F1-4E27-4EA0-8989-F062EB556AA9}"/>
    <cellStyle name="Normal 3 5 2 3" xfId="341" xr:uid="{526335E1-5CB1-43B8-98B4-FFBA0DF56B55}"/>
    <cellStyle name="Normal 3 5 2 3 2" xfId="620" xr:uid="{B9E3E779-F468-4895-BF3C-592D959D9880}"/>
    <cellStyle name="Normal 3 5 2 4" xfId="155" xr:uid="{BEFE1ACC-C76F-4665-A365-7B75ED9D9CE0}"/>
    <cellStyle name="Normal 3 5 2 4 2" xfId="553" xr:uid="{DFE1D8E9-6488-4E92-9C57-9DAB9900440D}"/>
    <cellStyle name="Normal 3 5 2 5" xfId="485" xr:uid="{044DF250-47F2-4E35-9F51-7B5649B75789}"/>
    <cellStyle name="Normal 3 5 2 6" xfId="873" xr:uid="{58FFDBA7-D7C0-4789-8DAA-CB1CC4D0B65D}"/>
    <cellStyle name="Normal 3 5 2 7" xfId="809" xr:uid="{973119E7-A93F-4739-A119-A88F965E8E82}"/>
    <cellStyle name="Normal 3 5 2 8" xfId="752" xr:uid="{02F023F9-FE2C-4A5E-AEDC-AEA43AE87A21}"/>
    <cellStyle name="Normal 3 5 2 9" xfId="419" xr:uid="{C829A1DC-E716-4214-B4D8-22FA5DC57E88}"/>
    <cellStyle name="Normal 3 5 3" xfId="258" xr:uid="{EB7E590E-8F8D-446D-8FCB-862C6BFE62BE}"/>
    <cellStyle name="Normal 3 5 3 2" xfId="376" xr:uid="{53CE7EFF-A7AE-48B8-95B4-F79767261B71}"/>
    <cellStyle name="Normal 3 5 3 3" xfId="686" xr:uid="{FB20C379-220B-4738-8897-D63F7A2975E0}"/>
    <cellStyle name="Normal 3 5 4" xfId="281" xr:uid="{B3DB0BBF-90EE-4567-87DD-11A2E3CD8E3B}"/>
    <cellStyle name="Normal 3 5 4 2" xfId="657" xr:uid="{5970DAB9-25D7-49FA-B64B-2C7C4357699C}"/>
    <cellStyle name="Normal 3 5 5" xfId="197" xr:uid="{53E66EF6-96E6-4CC8-90B7-35C8DB145440}"/>
    <cellStyle name="Normal 3 5 5 2" xfId="591" xr:uid="{B675BB27-6D1B-4980-9EE5-BDC8F8496726}"/>
    <cellStyle name="Normal 3 5 6" xfId="306" xr:uid="{B5DA1FAB-680A-4B1F-B661-335D1AB4A740}"/>
    <cellStyle name="Normal 3 5 6 2" xfId="524" xr:uid="{14C24DD0-2799-4D12-B4B2-972A59071DD2}"/>
    <cellStyle name="Normal 3 5 7" xfId="126" xr:uid="{6F1B6596-D986-4E7E-BEC9-5EC890F2FB5C}"/>
    <cellStyle name="Normal 3 5 7 2" xfId="456" xr:uid="{CF091C60-1B98-4A79-B159-B6AB9F671C2D}"/>
    <cellStyle name="Normal 3 5 8" xfId="87" xr:uid="{1E351D9E-10DE-4D32-9980-3EE796C6EAC2}"/>
    <cellStyle name="Normal 3 5 8 2" xfId="780" xr:uid="{1623AFF5-3EEE-453E-8C42-3EDA7E9DA51E}"/>
    <cellStyle name="Normal 3 5 9" xfId="735" xr:uid="{719E27CD-1F89-4A43-AA2C-1977BB337E38}"/>
    <cellStyle name="Normal 3 6" xfId="36" xr:uid="{00000000-0005-0000-0000-00002D000000}"/>
    <cellStyle name="Normal 3 6 10" xfId="416" xr:uid="{66FB8FD3-82C8-4280-9E98-AD68696B3D2B}"/>
    <cellStyle name="Normal 3 6 2" xfId="149" xr:uid="{847A0316-5DE5-4AF3-96E8-A062FA700106}"/>
    <cellStyle name="Normal 3 6 2 2" xfId="220" xr:uid="{1A09570B-C31D-465B-957B-A3E8C7FEA5A1}"/>
    <cellStyle name="Normal 3 6 2 2 2" xfId="710" xr:uid="{59A3B040-65AB-439F-95B5-D75545DEAF4D}"/>
    <cellStyle name="Normal 3 6 2 3" xfId="334" xr:uid="{D6D5F8CB-B43B-488D-8495-B318F0BFAF17}"/>
    <cellStyle name="Normal 3 6 2 3 2" xfId="614" xr:uid="{F567BC2F-947B-40FA-BC5D-5FC3A026A212}"/>
    <cellStyle name="Normal 3 6 2 4" xfId="547" xr:uid="{81552CAA-008C-4F3B-839A-62C58032902A}"/>
    <cellStyle name="Normal 3 6 2 5" xfId="1043" xr:uid="{A6F63CF3-DE76-4719-9431-D198676ACB93}"/>
    <cellStyle name="Normal 3 6 2 6" xfId="867" xr:uid="{0D625BBB-2AC8-4F5C-913A-814E601C6CDD}"/>
    <cellStyle name="Normal 3 6 2 7" xfId="803" xr:uid="{6AF79A21-D1BB-49A6-9985-8CFE777D3EF6}"/>
    <cellStyle name="Normal 3 6 2 8" xfId="479" xr:uid="{B8B29FD8-5F2E-4D68-BACC-D9062FA1FA67}"/>
    <cellStyle name="Normal 3 6 3" xfId="252" xr:uid="{880C3127-2469-42D6-BA82-0E84B3C937EF}"/>
    <cellStyle name="Normal 3 6 3 2" xfId="367" xr:uid="{FC25F9B4-FBE4-4E3F-8707-8583E8190C5B}"/>
    <cellStyle name="Normal 3 6 3 3" xfId="680" xr:uid="{349724A1-131E-4D8A-911C-B7BB94F6E476}"/>
    <cellStyle name="Normal 3 6 4" xfId="277" xr:uid="{05691A05-9A74-49C7-B147-8B5DCDEC0D39}"/>
    <cellStyle name="Normal 3 6 4 2" xfId="651" xr:uid="{24B600AD-D4A8-4609-AFF3-1B3331CC9521}"/>
    <cellStyle name="Normal 3 6 5" xfId="191" xr:uid="{BA860D4B-1152-4A28-B928-EA726D7EEFBC}"/>
    <cellStyle name="Normal 3 6 5 2" xfId="585" xr:uid="{1036430B-7862-45E7-A4DC-ED1C8F8C0400}"/>
    <cellStyle name="Normal 3 6 6" xfId="310" xr:uid="{7E39433B-21D1-43EC-895F-0EFC8B0DF26F}"/>
    <cellStyle name="Normal 3 6 6 2" xfId="518" xr:uid="{B9A94D0F-6AD3-4125-BF57-86F798F320C8}"/>
    <cellStyle name="Normal 3 6 7" xfId="119" xr:uid="{3BF8E531-2E20-4160-9E4E-6027FAF0C131}"/>
    <cellStyle name="Normal 3 6 7 2" xfId="449" xr:uid="{1FCEE4AB-25DC-4AC7-BA25-7F942A67AF49}"/>
    <cellStyle name="Normal 3 6 8" xfId="91" xr:uid="{0926C4D3-7979-434D-8E6A-C9E0D4E64976}"/>
    <cellStyle name="Normal 3 6 8 2" xfId="774" xr:uid="{6A451050-E07A-41A6-8F82-2ACA13A866CA}"/>
    <cellStyle name="Normal 3 6 9" xfId="729" xr:uid="{C4861F6C-4FB9-4B55-9BBC-765A721D747D}"/>
    <cellStyle name="Normal 3 7" xfId="49" xr:uid="{00000000-0005-0000-0000-00002E000000}"/>
    <cellStyle name="Normal 3 7 10" xfId="429" xr:uid="{9746A830-C50C-4E8A-9465-89BF757B674B}"/>
    <cellStyle name="Normal 3 7 2" xfId="147" xr:uid="{5175BF59-F25E-4CC7-A390-C2C19661AFF6}"/>
    <cellStyle name="Normal 3 7 2 2" xfId="218" xr:uid="{75ED402E-10E4-4BA2-951E-64157EB5C4EB}"/>
    <cellStyle name="Normal 3 7 2 2 2" xfId="678" xr:uid="{F16ACEBE-0D48-494B-BAA1-C79A2DF05F7F}"/>
    <cellStyle name="Normal 3 7 2 3" xfId="332" xr:uid="{1F19110A-284E-46DE-B310-982B785F59D9}"/>
    <cellStyle name="Normal 3 7 2 3 2" xfId="612" xr:uid="{5D9420CC-9E63-4B0B-957B-C9B38F088988}"/>
    <cellStyle name="Normal 3 7 2 4" xfId="545" xr:uid="{9A626FBE-1027-4452-8121-B7F9066C9E82}"/>
    <cellStyle name="Normal 3 7 2 5" xfId="1041" xr:uid="{46D5CECE-F7D9-4B03-B82A-CE34BCA42811}"/>
    <cellStyle name="Normal 3 7 2 6" xfId="865" xr:uid="{0AC518F0-2BEB-4766-96C8-0EC9C01AE899}"/>
    <cellStyle name="Normal 3 7 2 7" xfId="801" xr:uid="{D63E5420-3BB4-4E53-B6AB-2C006372C411}"/>
    <cellStyle name="Normal 3 7 2 8" xfId="477" xr:uid="{D44B7288-16A6-428C-A804-F92F4F7898FA}"/>
    <cellStyle name="Normal 3 7 3" xfId="273" xr:uid="{53561D13-829C-4F75-855F-7FE7B928B86A}"/>
    <cellStyle name="Normal 3 7 3 2" xfId="361" xr:uid="{F65A8A08-DA67-40B5-8569-50CFDF6EE87D}"/>
    <cellStyle name="Normal 3 7 3 3" xfId="649" xr:uid="{8D2CF28F-E564-4778-B3C2-30947A2D95B4}"/>
    <cellStyle name="Normal 3 7 4" xfId="189" xr:uid="{3C3A9A88-A369-4A9A-901C-D90A615A5B11}"/>
    <cellStyle name="Normal 3 7 4 2" xfId="583" xr:uid="{BFDE9E30-E192-49C6-9904-71F848BA5180}"/>
    <cellStyle name="Normal 3 7 5" xfId="315" xr:uid="{E9696AB4-C494-4329-B572-263E4410BB02}"/>
    <cellStyle name="Normal 3 7 5 2" xfId="516" xr:uid="{AA35ABA3-3031-48F9-988A-A2D82DDC7582}"/>
    <cellStyle name="Normal 3 7 6" xfId="117" xr:uid="{37CD8208-47EC-4A30-BC9B-D41F668B89E1}"/>
    <cellStyle name="Normal 3 7 6 2" xfId="447" xr:uid="{546A8F32-B4EB-4C7D-A29A-DFB1D3388FBE}"/>
    <cellStyle name="Normal 3 7 7" xfId="96" xr:uid="{BAC5F8E2-5EF4-4F49-AB7C-0C811933727C}"/>
    <cellStyle name="Normal 3 7 7 2" xfId="840" xr:uid="{FB3F93AC-0DBD-48DB-A719-A92FD72E1823}"/>
    <cellStyle name="Normal 3 7 8" xfId="772" xr:uid="{668068CA-4323-4274-8CED-27F45FFDEEE5}"/>
    <cellStyle name="Normal 3 7 9" xfId="727" xr:uid="{E09AE583-9B7D-44F2-AD90-63726F84CB8C}"/>
    <cellStyle name="Normal 3 8" xfId="22" xr:uid="{00000000-0005-0000-0000-00002F000000}"/>
    <cellStyle name="Normal 3 8 10" xfId="403" xr:uid="{73C63FE2-2410-4940-B310-4544099D6816}"/>
    <cellStyle name="Normal 3 8 2" xfId="145" xr:uid="{5C70C6FB-37F4-4541-9066-4C71E670C8C0}"/>
    <cellStyle name="Normal 3 8 2 2" xfId="216" xr:uid="{A3A3FE31-18FC-4547-BC88-CFB056F7C05C}"/>
    <cellStyle name="Normal 3 8 2 2 2" xfId="676" xr:uid="{D139F45B-17C1-46F0-9B58-295A5A805F87}"/>
    <cellStyle name="Normal 3 8 2 3" xfId="610" xr:uid="{26E830D8-0A23-4E70-A761-6CF7BD6EF522}"/>
    <cellStyle name="Normal 3 8 2 4" xfId="543" xr:uid="{F5CDCB6F-A2A8-4296-AA3D-430FA5985120}"/>
    <cellStyle name="Normal 3 8 2 5" xfId="1039" xr:uid="{ABA9A81C-4185-4666-9EA9-F707ADD11F3D}"/>
    <cellStyle name="Normal 3 8 2 6" xfId="863" xr:uid="{12A8418C-53A2-4972-8392-78F85E8ADAB2}"/>
    <cellStyle name="Normal 3 8 2 7" xfId="799" xr:uid="{4A246F89-D91F-4173-BAF0-1791F756BF94}"/>
    <cellStyle name="Normal 3 8 2 8" xfId="475" xr:uid="{50366792-B241-45A5-A5CB-0782633B2078}"/>
    <cellStyle name="Normal 3 8 3" xfId="269" xr:uid="{BDE90C29-FC90-4696-85F4-346D5B3222DD}"/>
    <cellStyle name="Normal 3 8 3 2" xfId="647" xr:uid="{7810A850-0A16-4EB7-B206-7DD7CA91645B}"/>
    <cellStyle name="Normal 3 8 4" xfId="187" xr:uid="{888BCA2A-0079-4366-975F-038A6F88EE0E}"/>
    <cellStyle name="Normal 3 8 4 2" xfId="581" xr:uid="{FE11B952-D399-428E-AC15-ED9C7129B8A9}"/>
    <cellStyle name="Normal 3 8 5" xfId="330" xr:uid="{E1E09477-609F-46A1-B97A-E65833872E6F}"/>
    <cellStyle name="Normal 3 8 5 2" xfId="514" xr:uid="{E41B12A5-5345-4266-A718-2F104ED42E27}"/>
    <cellStyle name="Normal 3 8 6" xfId="115" xr:uid="{73878E3A-E784-4E07-9915-F5ADB453992C}"/>
    <cellStyle name="Normal 3 8 6 2" xfId="445" xr:uid="{3BD3D2CF-7537-43CE-B430-FC0A80128560}"/>
    <cellStyle name="Normal 3 8 7" xfId="105" xr:uid="{07B62FBB-3D99-4B20-81D8-7F9CD582B7FD}"/>
    <cellStyle name="Normal 3 8 7 2" xfId="838" xr:uid="{A3382627-7652-465A-AE44-BD1173005E05}"/>
    <cellStyle name="Normal 3 8 8" xfId="770" xr:uid="{CEAD2F45-DC33-4C2D-84A2-1133DCF09129}"/>
    <cellStyle name="Normal 3 8 9" xfId="725" xr:uid="{9DCFBB16-EEC5-4701-91CC-9BD12667D2F4}"/>
    <cellStyle name="Normal 3 9" xfId="19" xr:uid="{00000000-0005-0000-0000-000030000000}"/>
    <cellStyle name="Normal 3 9 10" xfId="400" xr:uid="{D6D431EB-9540-423C-836D-B2ED8ACCCA55}"/>
    <cellStyle name="Normal 3 9 2" xfId="142" xr:uid="{F7A5D626-AF9F-44B3-8245-DAACABA82FC9}"/>
    <cellStyle name="Normal 3 9 2 2" xfId="213" xr:uid="{916E0C83-B929-4764-A758-A116E1FD7729}"/>
    <cellStyle name="Normal 3 9 2 2 2" xfId="673" xr:uid="{A3A1F00E-197C-4516-B34C-6E62DCDE15EB}"/>
    <cellStyle name="Normal 3 9 2 3" xfId="607" xr:uid="{99B8AAE6-B40B-4E1B-9362-AAA476042AE5}"/>
    <cellStyle name="Normal 3 9 2 4" xfId="540" xr:uid="{89D39C7D-FBAC-4706-8CAE-19F8C7B707A7}"/>
    <cellStyle name="Normal 3 9 2 5" xfId="1036" xr:uid="{6E8D3094-6E83-4649-9869-196EC7F0A6C7}"/>
    <cellStyle name="Normal 3 9 2 6" xfId="860" xr:uid="{D99DA983-F824-446E-8BBC-E17178BAD16B}"/>
    <cellStyle name="Normal 3 9 2 7" xfId="796" xr:uid="{8B6F66AF-8BFA-4CBC-B591-55B32CEFF347}"/>
    <cellStyle name="Normal 3 9 2 8" xfId="472" xr:uid="{69C003F7-3222-4D2B-A6D2-1706CBA51BDD}"/>
    <cellStyle name="Normal 3 9 3" xfId="184" xr:uid="{943765DE-3240-4E83-9F21-D9FA1B927077}"/>
    <cellStyle name="Normal 3 9 3 2" xfId="644" xr:uid="{C24693CA-1B80-421B-9214-D2308BCA3F9D}"/>
    <cellStyle name="Normal 3 9 4" xfId="327" xr:uid="{428DE4CB-5EB0-404F-A73A-DBAE9A89116A}"/>
    <cellStyle name="Normal 3 9 4 2" xfId="578" xr:uid="{7C63310E-C151-44F4-A139-3DFAB556A306}"/>
    <cellStyle name="Normal 3 9 5" xfId="112" xr:uid="{581EFFF1-37D5-472F-9ABB-554B0DA2BC94}"/>
    <cellStyle name="Normal 3 9 5 2" xfId="511" xr:uid="{902C0ADC-6F93-493B-8DF8-8C25AB8F9933}"/>
    <cellStyle name="Normal 3 9 6" xfId="78" xr:uid="{991E479E-438D-4141-A557-58E43D3DB4B3}"/>
    <cellStyle name="Normal 3 9 6 2" xfId="442" xr:uid="{1BE329EE-BEC8-4978-81CE-2B3432CC19F1}"/>
    <cellStyle name="Normal 3 9 7" xfId="835" xr:uid="{0B3EFA0E-9ACB-43CF-92AC-A90CE690BB73}"/>
    <cellStyle name="Normal 3 9 8" xfId="767" xr:uid="{0C141813-920A-4A2C-8E62-CCF8C7F46FFD}"/>
    <cellStyle name="Normal 3 9 9" xfId="722" xr:uid="{85B84592-67C5-407D-A01B-00F263500B13}"/>
    <cellStyle name="Normal 4" xfId="6" xr:uid="{00000000-0005-0000-0000-000031000000}"/>
    <cellStyle name="Normal 4 10" xfId="70" xr:uid="{449923CB-E829-49B9-868B-B57421C7A235}"/>
    <cellStyle name="Normal 4 10 2" xfId="983" xr:uid="{9DA00376-DC18-4AB1-9C5B-97D962912250}"/>
    <cellStyle name="Normal 4 10 3" xfId="936" xr:uid="{7FABEAC9-66FB-478E-90A1-C4CEC3AE36A6}"/>
    <cellStyle name="Normal 4 2" xfId="31" xr:uid="{00000000-0005-0000-0000-000032000000}"/>
    <cellStyle name="Normal 4 2 10" xfId="778" xr:uid="{2CAD4028-B58A-4289-ABE1-DEC3E66BDD3F}"/>
    <cellStyle name="Normal 4 2 11" xfId="733" xr:uid="{6EA2195A-DF57-45B7-BE7F-FE656D8B4100}"/>
    <cellStyle name="Normal 4 2 12" xfId="1061" xr:uid="{E0B40608-7933-4F02-AB72-7764454D0BC9}"/>
    <cellStyle name="Normal 4 2 13" xfId="717" xr:uid="{6F64799C-7C05-4823-AA11-29FC92EEF0B9}"/>
    <cellStyle name="Normal 4 2 14" xfId="411" xr:uid="{34CD8836-FB88-4079-B2B3-5DE1BE787567}"/>
    <cellStyle name="Normal 4 2 2" xfId="43" xr:uid="{00000000-0005-0000-0000-000033000000}"/>
    <cellStyle name="Normal 4 2 2 10" xfId="423" xr:uid="{B54F36E0-4723-4A37-B921-75C757F6178E}"/>
    <cellStyle name="Normal 4 2 2 2" xfId="164" xr:uid="{6A3136F1-BFA1-467E-B8B4-449825AFE226}"/>
    <cellStyle name="Normal 4 2 2 2 2" xfId="235" xr:uid="{92F84B88-B04E-41D1-B61D-C5B042A2E4E5}"/>
    <cellStyle name="Normal 4 2 2 2 2 2" xfId="708" xr:uid="{DA5F42B6-1E52-483F-9426-320F04F012BA}"/>
    <cellStyle name="Normal 4 2 2 2 3" xfId="384" xr:uid="{8957644A-35D2-44B3-B582-9290CB1F507E}"/>
    <cellStyle name="Normal 4 2 2 2 3 2" xfId="629" xr:uid="{116E00F6-6EAF-4996-8A48-E6A3F90B9A1A}"/>
    <cellStyle name="Normal 4 2 2 2 4" xfId="562" xr:uid="{4F2F6809-3BB2-4DC7-A8B5-FDCC8CEE1FBE}"/>
    <cellStyle name="Normal 4 2 2 2 5" xfId="1050" xr:uid="{B430FF75-48E0-4B50-BF02-82806AE6A011}"/>
    <cellStyle name="Normal 4 2 2 2 6" xfId="882" xr:uid="{B30951F5-64F8-4697-90BE-19B25F5C1DE8}"/>
    <cellStyle name="Normal 4 2 2 2 7" xfId="818" xr:uid="{EEA3AF2C-8A2E-401F-B5D6-D9F84463DF44}"/>
    <cellStyle name="Normal 4 2 2 2 8" xfId="494" xr:uid="{EFCA3186-56D4-4DD4-BF5C-58749DE70AE4}"/>
    <cellStyle name="Normal 4 2 2 3" xfId="206" xr:uid="{EA4AB562-4F08-4352-8C8F-E6A802B6664A}"/>
    <cellStyle name="Normal 4 2 2 3 2" xfId="695" xr:uid="{25B1A5BF-9680-4F05-9973-E7C55A617541}"/>
    <cellStyle name="Normal 4 2 2 4" xfId="322" xr:uid="{CD71ABBD-0582-41FA-A3CE-51A4B7E79EBB}"/>
    <cellStyle name="Normal 4 2 2 4 2" xfId="666" xr:uid="{1425200B-F2B9-460F-ACE0-0030AC5FB76F}"/>
    <cellStyle name="Normal 4 2 2 5" xfId="135" xr:uid="{2A26FD38-CB84-4A3A-89DE-826D768EB18C}"/>
    <cellStyle name="Normal 4 2 2 5 2" xfId="600" xr:uid="{93EB3B7D-FAE6-4D3F-A854-52E6EA2E93AD}"/>
    <cellStyle name="Normal 4 2 2 6" xfId="103" xr:uid="{206C4523-3B18-4B98-B30C-FCB93047C861}"/>
    <cellStyle name="Normal 4 2 2 6 2" xfId="533" xr:uid="{B28DFD07-E7EB-4057-89A1-6AD298803C98}"/>
    <cellStyle name="Normal 4 2 2 7" xfId="465" xr:uid="{EB34E610-35CE-4AA0-AAD2-E80168574F0E}"/>
    <cellStyle name="Normal 4 2 2 8" xfId="789" xr:uid="{87937C18-7584-4627-8AD3-AD6E680A7195}"/>
    <cellStyle name="Normal 4 2 2 9" xfId="744" xr:uid="{74A090B2-9C81-4ED4-8CF8-C6FA3B1F173E}"/>
    <cellStyle name="Normal 4 2 3" xfId="82" xr:uid="{1FB758F1-65AC-4681-8A37-EF1AE55EF51E}"/>
    <cellStyle name="Normal 4 2 3 2" xfId="245" xr:uid="{14973DC8-3097-4FC2-9E4C-6613BC2C080A}"/>
    <cellStyle name="Normal 4 2 3 2 2" xfId="703" xr:uid="{2D23ED2C-6AEB-4C56-9160-B9F3DC6885ED}"/>
    <cellStyle name="Normal 4 2 3 3" xfId="339" xr:uid="{7A44F584-0C5A-4538-96F8-2AF13B743EDA}"/>
    <cellStyle name="Normal 4 2 3 3 2" xfId="639" xr:uid="{1A745663-4134-46EF-B603-AD2452554952}"/>
    <cellStyle name="Normal 4 2 3 4" xfId="174" xr:uid="{9DED2998-BAB2-4014-AAE1-121CBAC44A2C}"/>
    <cellStyle name="Normal 4 2 3 4 2" xfId="1054" xr:uid="{C16F5EF0-0A6D-443B-8255-EAE50EE77ADF}"/>
    <cellStyle name="Normal 4 2 3 4 3" xfId="1030" xr:uid="{4A2DADDA-B473-412F-95C8-9E27FBFD562E}"/>
    <cellStyle name="Normal 4 2 3 4 4" xfId="572" xr:uid="{0A7CEDF6-8ECB-4EB3-AFCC-274DB8A3FE04}"/>
    <cellStyle name="Normal 4 2 3 5" xfId="929" xr:uid="{24A048A6-1499-4997-9FF5-B15089294C00}"/>
    <cellStyle name="Normal 4 2 3 6" xfId="892" xr:uid="{E7100244-7EB2-4DA1-BA2C-EC2CFEA99034}"/>
    <cellStyle name="Normal 4 2 3 7" xfId="828" xr:uid="{7830100A-6940-4939-AB02-27E416CF2A6A}"/>
    <cellStyle name="Normal 4 2 3 8" xfId="504" xr:uid="{CD37C6E7-E84D-433B-8EBF-B73D04DD1CAF}"/>
    <cellStyle name="Normal 4 2 4" xfId="153" xr:uid="{E0AB60B4-D3A6-4072-BEC3-4DB9B55F564E}"/>
    <cellStyle name="Normal 4 2 4 2" xfId="224" xr:uid="{997510A2-176D-47B5-962F-6AFD6A4506D1}"/>
    <cellStyle name="Normal 4 2 4 2 2" xfId="684" xr:uid="{3E5A7415-EEF6-496F-82AE-521EBBF139E7}"/>
    <cellStyle name="Normal 4 2 4 3" xfId="371" xr:uid="{EA583F78-5C8F-4F30-B901-84DA59460BA6}"/>
    <cellStyle name="Normal 4 2 4 3 2" xfId="618" xr:uid="{03AC9C1A-7689-49F1-AB60-61D6CDB6A27E}"/>
    <cellStyle name="Normal 4 2 4 4" xfId="551" xr:uid="{700D91A0-7DBB-46F2-9D1E-1F2B06ACA085}"/>
    <cellStyle name="Normal 4 2 4 5" xfId="1044" xr:uid="{B58471B3-B1AD-4F0C-ACFC-06505C364B8E}"/>
    <cellStyle name="Normal 4 2 4 6" xfId="871" xr:uid="{32FD94EC-B94B-4B11-BBF1-72B5C01043B0}"/>
    <cellStyle name="Normal 4 2 4 7" xfId="807" xr:uid="{FB5EBD77-49FD-4955-87B9-AD24AE2C6E18}"/>
    <cellStyle name="Normal 4 2 4 8" xfId="483" xr:uid="{49163182-99B7-42B8-B420-92F9F81351C8}"/>
    <cellStyle name="Normal 4 2 5" xfId="195" xr:uid="{25032CC6-EE2F-45E8-B58B-BE7D7BB79298}"/>
    <cellStyle name="Normal 4 2 5 2" xfId="655" xr:uid="{E377FBA6-4F9E-45D6-8B08-5D53000AAA9A}"/>
    <cellStyle name="Normal 4 2 6" xfId="301" xr:uid="{8D12015F-9370-4D81-970B-FFABF7CFA5FC}"/>
    <cellStyle name="Normal 4 2 6 2" xfId="589" xr:uid="{AFBD60CC-EF19-4EFA-AA9B-ABD935134323}"/>
    <cellStyle name="Normal 4 2 7" xfId="124" xr:uid="{98ADCCCA-8FEB-4B43-A159-16B79D81F9E5}"/>
    <cellStyle name="Normal 4 2 7 2" xfId="522" xr:uid="{ADC7635C-5225-43F3-A3C9-A3F8B88F0FE6}"/>
    <cellStyle name="Normal 4 2 8" xfId="75" xr:uid="{BCA6CAF4-C74B-4380-B67C-46B60EEB6048}"/>
    <cellStyle name="Normal 4 2 8 2" xfId="454" xr:uid="{7D21015E-7891-4E89-BA54-2C67E99D9C52}"/>
    <cellStyle name="Normal 4 2 9" xfId="845" xr:uid="{9B7D0031-F2DA-42AD-A5CE-AE88CCDF1E6C}"/>
    <cellStyle name="Normal 4 3" xfId="34" xr:uid="{00000000-0005-0000-0000-000034000000}"/>
    <cellStyle name="Normal 4 3 10" xfId="783" xr:uid="{31212201-E884-439F-A595-F7563E8A24E8}"/>
    <cellStyle name="Normal 4 3 11" xfId="738" xr:uid="{D3ED7C98-71B5-44CD-84CC-6A6BD068C529}"/>
    <cellStyle name="Normal 4 3 12" xfId="414" xr:uid="{CA2D8FDE-F910-47B0-94D2-77666022CF70}"/>
    <cellStyle name="Normal 4 3 2" xfId="46" xr:uid="{00000000-0005-0000-0000-000035000000}"/>
    <cellStyle name="Normal 4 3 2 10" xfId="426" xr:uid="{93E781E0-5EDF-4284-84B6-663B965AC8EE}"/>
    <cellStyle name="Normal 4 3 2 2" xfId="166" xr:uid="{C46FD920-89BE-473D-8770-696FCC28CDC6}"/>
    <cellStyle name="Normal 4 3 2 2 2" xfId="237" xr:uid="{AFDEAD53-28B5-419E-8654-B5F7DD2C3BFB}"/>
    <cellStyle name="Normal 4 3 2 2 2 2" xfId="697" xr:uid="{278EC6A7-DCB3-44D8-BECF-78FBDE5C5875}"/>
    <cellStyle name="Normal 4 3 2 2 3" xfId="631" xr:uid="{71DB71EA-A929-4272-8AC5-BC39C609A8A0}"/>
    <cellStyle name="Normal 4 3 2 2 4" xfId="564" xr:uid="{39D4312B-A8FB-4610-B0C5-EFB5D56ABBE1}"/>
    <cellStyle name="Normal 4 3 2 2 5" xfId="1052" xr:uid="{DDD39870-34A8-4FF3-9532-85861E573DD0}"/>
    <cellStyle name="Normal 4 3 2 2 6" xfId="884" xr:uid="{42B923A7-6711-4AFB-A276-CBF29169AB06}"/>
    <cellStyle name="Normal 4 3 2 2 7" xfId="820" xr:uid="{46B9BD98-BC6D-48DC-9DB2-A0359B2D8903}"/>
    <cellStyle name="Normal 4 3 2 2 8" xfId="496" xr:uid="{47101BDD-E53E-4403-8E45-A0BB7B5B59E2}"/>
    <cellStyle name="Normal 4 3 2 3" xfId="208" xr:uid="{AC0DC6BA-5CA1-4D39-88F6-CF748CD08FF0}"/>
    <cellStyle name="Normal 4 3 2 3 2" xfId="668" xr:uid="{F7A857F1-CCFB-46DE-BB87-34804B76D178}"/>
    <cellStyle name="Normal 4 3 2 4" xfId="344" xr:uid="{7A3D4166-5985-4AB9-ADC5-52DFF525049C}"/>
    <cellStyle name="Normal 4 3 2 4 2" xfId="602" xr:uid="{BC3A182F-3CE6-4AAC-8497-1F3F2091C566}"/>
    <cellStyle name="Normal 4 3 2 5" xfId="137" xr:uid="{0B04C6C3-A5E4-478C-92AD-75D2D9055CB4}"/>
    <cellStyle name="Normal 4 3 2 5 2" xfId="535" xr:uid="{0657D0EF-CB87-4615-90D1-F158CB14F0F3}"/>
    <cellStyle name="Normal 4 3 2 6" xfId="467" xr:uid="{EE56BA49-F370-4ECA-94CC-C88FE47244F6}"/>
    <cellStyle name="Normal 4 3 2 7" xfId="855" xr:uid="{107B61D5-24D3-4869-9429-50FC82FF34B1}"/>
    <cellStyle name="Normal 4 3 2 8" xfId="791" xr:uid="{1067ECF3-A519-4C08-8771-2829CEBB0ABE}"/>
    <cellStyle name="Normal 4 3 2 9" xfId="746" xr:uid="{4FFDBA36-891D-48C0-AE1F-DBF6F84E9E5C}"/>
    <cellStyle name="Normal 4 3 3" xfId="171" xr:uid="{9BB85127-5C98-4A6E-846F-34B505BF13BE}"/>
    <cellStyle name="Normal 4 3 3 2" xfId="242" xr:uid="{E81E8A6C-6CF4-44A0-9496-41FA561148E9}"/>
    <cellStyle name="Normal 4 3 3 2 2" xfId="1057" xr:uid="{D96E7949-F91B-487F-BF9A-514E2F108E5D}"/>
    <cellStyle name="Normal 4 3 3 2 3" xfId="956" xr:uid="{3C3651FC-98FB-4ACA-AB87-69EB062E5A22}"/>
    <cellStyle name="Normal 4 3 3 2 4" xfId="689" xr:uid="{F37ECB5B-C916-4DFF-B96B-2BE15F694E01}"/>
    <cellStyle name="Normal 4 3 3 3" xfId="374" xr:uid="{932B9E89-B4D5-4B79-B7C9-4D5A039B88F6}"/>
    <cellStyle name="Normal 4 3 3 3 2" xfId="636" xr:uid="{7EE59CF1-D306-45C8-A71E-3095472EFD26}"/>
    <cellStyle name="Normal 4 3 3 4" xfId="569" xr:uid="{E90E7230-FE0D-4B88-94ED-0719E0905282}"/>
    <cellStyle name="Normal 4 3 3 5" xfId="1053" xr:uid="{1A079DC0-457C-434D-869A-E91059CD3767}"/>
    <cellStyle name="Normal 4 3 3 6" xfId="889" xr:uid="{4AA296CF-94D2-490F-BFF3-166F09F03840}"/>
    <cellStyle name="Normal 4 3 3 7" xfId="825" xr:uid="{7AF7D5FB-20EF-4CB7-8BAD-EFD6E90C67D7}"/>
    <cellStyle name="Normal 4 3 3 8" xfId="501" xr:uid="{F7E100BC-F423-46B2-9D83-FD120009C67A}"/>
    <cellStyle name="Normal 4 3 4" xfId="158" xr:uid="{A9873608-08DA-4779-AC84-3AB5A290FC61}"/>
    <cellStyle name="Normal 4 3 4 2" xfId="229" xr:uid="{09E83554-B6A2-495B-A876-15577548B259}"/>
    <cellStyle name="Normal 4 3 4 2 2" xfId="623" xr:uid="{A3AE760A-BEAD-4928-9BAB-E2A31A72E24A}"/>
    <cellStyle name="Normal 4 3 4 3" xfId="556" xr:uid="{D86CB156-D904-4805-92EA-CC6620FE9C87}"/>
    <cellStyle name="Normal 4 3 4 4" xfId="1045" xr:uid="{EA2A9E80-46F9-4A98-A118-0EBA37F2F205}"/>
    <cellStyle name="Normal 4 3 4 5" xfId="876" xr:uid="{15DA277A-8D6C-4CD3-BCBD-C688325DE287}"/>
    <cellStyle name="Normal 4 3 4 6" xfId="812" xr:uid="{ED5A8F85-1714-4486-8201-73792068AF85}"/>
    <cellStyle name="Normal 4 3 4 7" xfId="488" xr:uid="{2997ABB7-889A-49D4-B73B-77A089B5C65C}"/>
    <cellStyle name="Normal 4 3 5" xfId="200" xr:uid="{17E0037B-80FE-4E52-AA9F-FBC450ECDA0B}"/>
    <cellStyle name="Normal 4 3 5 2" xfId="660" xr:uid="{BB475F42-0E55-47A3-B4C8-CC1A69B78645}"/>
    <cellStyle name="Normal 4 3 6" xfId="304" xr:uid="{AD0CF06D-49C0-4136-81C3-C0F0E5E167FE}"/>
    <cellStyle name="Normal 4 3 6 2" xfId="594" xr:uid="{ACD8BB69-C87E-4CED-A4DD-8552DF06A494}"/>
    <cellStyle name="Normal 4 3 7" xfId="129" xr:uid="{335EA06A-49DE-4082-AD03-BE93FCD5C230}"/>
    <cellStyle name="Normal 4 3 7 2" xfId="527" xr:uid="{2D892B88-BC30-4BC7-B40E-13265EC31C55}"/>
    <cellStyle name="Normal 4 3 8" xfId="85" xr:uid="{39091B16-7A79-441D-8BBA-6CC96EF864F2}"/>
    <cellStyle name="Normal 4 3 8 2" xfId="459" xr:uid="{C3BF5104-68BF-4541-AA81-C87E9E3E8D00}"/>
    <cellStyle name="Normal 4 3 9" xfId="848" xr:uid="{517B53C7-830D-44BB-8B67-63CB74D35BB1}"/>
    <cellStyle name="Normal 4 4" xfId="28" xr:uid="{00000000-0005-0000-0000-000036000000}"/>
    <cellStyle name="Normal 4 4 2" xfId="40" xr:uid="{00000000-0005-0000-0000-000037000000}"/>
    <cellStyle name="Normal 4 4 2 2" xfId="335" xr:uid="{25E57117-F9DA-4C18-BDA2-5BFD143BC06C}"/>
    <cellStyle name="Normal 4 4 2 3" xfId="713" xr:uid="{49787479-CD89-45AD-91C5-025BAB62D40A}"/>
    <cellStyle name="Normal 4 4 2 4" xfId="420" xr:uid="{24D3508A-883C-4461-BE1C-653EC2729980}"/>
    <cellStyle name="Normal 4 4 3" xfId="381" xr:uid="{E24A5444-8765-445E-8E59-6BA6D4C54AB0}"/>
    <cellStyle name="Normal 4 4 3 2" xfId="957" xr:uid="{E79A7AFA-8EE0-4660-8835-CC39C7D6ABA1}"/>
    <cellStyle name="Normal 4 4 3 3" xfId="450" xr:uid="{C686E9BB-8A57-4703-8E9F-CF7CDC180264}"/>
    <cellStyle name="Normal 4 4 4" xfId="311" xr:uid="{B5D2FE08-82D8-4201-BFB3-67D29E217EC5}"/>
    <cellStyle name="Normal 4 4 4 2" xfId="939" xr:uid="{70AA18DF-3956-493A-922F-4733C2D5373D}"/>
    <cellStyle name="Normal 4 4 5" xfId="120" xr:uid="{FAE793F0-AFE8-40D0-8741-4C49412F3BD8}"/>
    <cellStyle name="Normal 4 4 6" xfId="92" xr:uid="{BC45457F-1A1A-49A3-ABC0-58371AD6B4B3}"/>
    <cellStyle name="Normal 4 4 6 2" xfId="712" xr:uid="{6B0CF2F1-1228-4697-841F-7CF5B6BE628A}"/>
    <cellStyle name="Normal 4 4 7" xfId="408" xr:uid="{B37FF703-18A3-47B9-8D53-7A785473E455}"/>
    <cellStyle name="Normal 4 5" xfId="37" xr:uid="{00000000-0005-0000-0000-000038000000}"/>
    <cellStyle name="Normal 4 5 10" xfId="417" xr:uid="{691F3787-8FF4-42C4-BC6C-51FDDEB3596F}"/>
    <cellStyle name="Normal 4 5 2" xfId="161" xr:uid="{466DE989-AB60-4655-9A6B-3E3A51E253CA}"/>
    <cellStyle name="Normal 4 5 2 2" xfId="232" xr:uid="{D51B0931-76B6-4789-B4E8-0F080A085EC4}"/>
    <cellStyle name="Normal 4 5 2 2 2" xfId="692" xr:uid="{4BD5BF88-41AD-442A-A14B-55D4F97A620B}"/>
    <cellStyle name="Normal 4 5 2 3" xfId="626" xr:uid="{7A808BB3-6672-4FEB-9555-4AD5F1F76E95}"/>
    <cellStyle name="Normal 4 5 2 4" xfId="559" xr:uid="{241F3672-3032-4434-AE0F-5FCCA6D151DC}"/>
    <cellStyle name="Normal 4 5 2 5" xfId="1047" xr:uid="{37060F42-26D7-4AD1-9E69-BD211769AB81}"/>
    <cellStyle name="Normal 4 5 2 6" xfId="879" xr:uid="{D208D337-2044-4A43-9B0B-82A6C11A7A1A}"/>
    <cellStyle name="Normal 4 5 2 7" xfId="815" xr:uid="{D52A3DBF-366D-49AF-94FF-D6CD64382C94}"/>
    <cellStyle name="Normal 4 5 2 8" xfId="491" xr:uid="{BF8EC94E-8A37-4E5F-8700-903FCAFB0C52}"/>
    <cellStyle name="Normal 4 5 3" xfId="203" xr:uid="{31388E00-636E-4239-B008-3B9B16D6F95B}"/>
    <cellStyle name="Normal 4 5 3 2" xfId="1056" xr:uid="{4E055617-C060-432A-B5E3-52B13087DC34}"/>
    <cellStyle name="Normal 4 5 3 3" xfId="940" xr:uid="{643B9767-19F5-49D6-A2E4-3FEC75930BD2}"/>
    <cellStyle name="Normal 4 5 3 4" xfId="663" xr:uid="{4F63810F-C2EC-49CF-9E45-4E34A864B5B5}"/>
    <cellStyle name="Normal 4 5 4" xfId="314" xr:uid="{EFCA7688-76B8-48CC-B0C5-D69B95B3DF62}"/>
    <cellStyle name="Normal 4 5 4 2" xfId="597" xr:uid="{BF59C39D-82CC-4F4D-9A6A-ECB35608B39B}"/>
    <cellStyle name="Normal 4 5 5" xfId="132" xr:uid="{70312839-0F5E-4293-871D-056ABB61A45A}"/>
    <cellStyle name="Normal 4 5 5 2" xfId="530" xr:uid="{A022F103-6FF0-44AA-84C3-F56D874A2C8F}"/>
    <cellStyle name="Normal 4 5 6" xfId="95" xr:uid="{C6855EF7-6012-4AC7-B0E0-FAFE6F5D78F7}"/>
    <cellStyle name="Normal 4 5 6 2" xfId="462" xr:uid="{8DF76F80-7D51-430A-B3E8-F2EC6DC99AB0}"/>
    <cellStyle name="Normal 4 5 7" xfId="851" xr:uid="{7275D13D-F049-4AA9-B64C-07A82B793525}"/>
    <cellStyle name="Normal 4 5 8" xfId="786" xr:uid="{2EE23647-75D3-4B2B-BBFB-F04EF6F2AD25}"/>
    <cellStyle name="Normal 4 5 9" xfId="741" xr:uid="{D6C6EB4B-82FA-455C-9E2A-387033B000D1}"/>
    <cellStyle name="Normal 4 6" xfId="25" xr:uid="{00000000-0005-0000-0000-000039000000}"/>
    <cellStyle name="Normal 4 6 10" xfId="405" xr:uid="{027D4612-7630-496C-9234-1D9501A3DFEC}"/>
    <cellStyle name="Normal 4 6 2" xfId="143" xr:uid="{0BF69F42-CFC1-41C6-88B0-87E630AB3F66}"/>
    <cellStyle name="Normal 4 6 2 2" xfId="214" xr:uid="{D324CE36-84FF-4E43-BBC1-B9340465A4CD}"/>
    <cellStyle name="Normal 4 6 2 2 2" xfId="674" xr:uid="{6716888E-8BCC-42DB-B9F0-0B21BF6A76EB}"/>
    <cellStyle name="Normal 4 6 2 3" xfId="608" xr:uid="{FD297D7F-E146-40DD-82E6-1FF50517CACD}"/>
    <cellStyle name="Normal 4 6 2 4" xfId="541" xr:uid="{5AC261C6-0D17-4BB7-A2DA-35DBAEDF3C71}"/>
    <cellStyle name="Normal 4 6 2 5" xfId="1037" xr:uid="{93A3BB3C-6A2B-42A5-B6FB-28DBA9AFD540}"/>
    <cellStyle name="Normal 4 6 2 6" xfId="861" xr:uid="{A8C8510F-E8F7-4935-B8D7-929FC779B8AD}"/>
    <cellStyle name="Normal 4 6 2 7" xfId="797" xr:uid="{012871ED-1B9C-4E2B-988D-F2E8271CD8CA}"/>
    <cellStyle name="Normal 4 6 2 8" xfId="473" xr:uid="{8EF6C811-04B9-4966-8A7B-DFAD1B0379C2}"/>
    <cellStyle name="Normal 4 6 3" xfId="185" xr:uid="{94DE4AC0-D12C-4C30-AF51-2750DF0A4A14}"/>
    <cellStyle name="Normal 4 6 3 2" xfId="645" xr:uid="{A4CFC2E6-6620-43D4-8AAA-BA983220B240}"/>
    <cellStyle name="Normal 4 6 4" xfId="328" xr:uid="{F81D2F09-CE8D-4F3D-81BA-D859E9710511}"/>
    <cellStyle name="Normal 4 6 4 2" xfId="579" xr:uid="{233591E6-77BB-4EA8-8877-A70E8C0B547C}"/>
    <cellStyle name="Normal 4 6 5" xfId="113" xr:uid="{73D8D065-F360-4C70-B629-2F9244498E1D}"/>
    <cellStyle name="Normal 4 6 5 2" xfId="512" xr:uid="{A4195B0C-991D-4ECE-B51F-0F9BF7B764DB}"/>
    <cellStyle name="Normal 4 6 6" xfId="106" xr:uid="{2BEF09FB-6D06-475D-9991-6A789BCCD3DE}"/>
    <cellStyle name="Normal 4 6 6 2" xfId="443" xr:uid="{7A71EE5C-8E15-4308-93EA-6167D455F0A1}"/>
    <cellStyle name="Normal 4 6 7" xfId="836" xr:uid="{4C3B8C51-DF12-4D2F-931D-5774A1C296F0}"/>
    <cellStyle name="Normal 4 6 8" xfId="768" xr:uid="{85D69064-23C4-409E-881D-7972F47C406E}"/>
    <cellStyle name="Normal 4 6 9" xfId="723" xr:uid="{E0963013-E3E6-47A1-A6C0-226B763BDA6E}"/>
    <cellStyle name="Normal 4 7" xfId="79" xr:uid="{E59542D3-D27E-497B-B956-82BA2975AA13}"/>
    <cellStyle name="Normal 4 7 2" xfId="368" xr:uid="{4B2213CA-A622-4611-94B2-CEF72076EB4B}"/>
    <cellStyle name="Normal 4 7 2 2" xfId="944" xr:uid="{1D8CD621-D449-4FC1-BA87-7AB0379AAB31}"/>
    <cellStyle name="Normal 4 7 3" xfId="250" xr:uid="{E71D6A05-4B2E-4D22-9D71-BDEA1FCC2E8F}"/>
    <cellStyle name="Normal 4 7 4" xfId="912" xr:uid="{10F2DA66-98D6-4C5F-8796-E2C5994898EF}"/>
    <cellStyle name="Normal 4 8" xfId="298" xr:uid="{3776FF33-4F2B-4B4F-B6CB-87DE9865C4FD}"/>
    <cellStyle name="Normal 4 8 2" xfId="927" xr:uid="{6B12CB8C-4789-4F36-A199-69E5042ED655}"/>
    <cellStyle name="Normal 4 8 2 2" xfId="1007" xr:uid="{C20F73EF-0A63-46C4-A590-C6ACD7677EE0}"/>
    <cellStyle name="Normal 4 8 3" xfId="979" xr:uid="{FF80DD3D-007F-4F25-94FE-3B4B7AF82046}"/>
    <cellStyle name="Normal 4 8 4" xfId="911" xr:uid="{BA5EB9B9-F8BE-4B67-AB8A-7B7FD144A5EE}"/>
    <cellStyle name="Normal 4 9" xfId="291" xr:uid="{7DD7F96F-2BA4-4EB7-B39E-2A3D390E8EFB}"/>
    <cellStyle name="Normal 4 9 2" xfId="918" xr:uid="{2D594C10-12EA-46A9-B6F3-DAB4F54F5832}"/>
    <cellStyle name="Normal 4 9 2 2" xfId="995" xr:uid="{00321584-51AA-43BE-9A21-B57C56E399A9}"/>
    <cellStyle name="Normal 4 9 3" xfId="970" xr:uid="{F70A1505-1068-43D0-8DFF-66D05027BA5D}"/>
    <cellStyle name="Normal 4 9 4" xfId="906" xr:uid="{2ED0C8A6-4E3E-4C2D-AC60-1E47EE818A10}"/>
    <cellStyle name="Normal 5" xfId="11" xr:uid="{00000000-0005-0000-0000-00003A000000}"/>
    <cellStyle name="Normal 5 2" xfId="316" xr:uid="{76794C32-D30E-4A71-B995-86DCB03E423A}"/>
    <cellStyle name="Normal 5 2 2" xfId="949" xr:uid="{5B406ECE-C1BC-437E-BB33-BDA0096B2C19}"/>
    <cellStyle name="Normal 5 3" xfId="261" xr:uid="{A6BA5D3E-623C-45B9-B00D-D516AD8E294B}"/>
    <cellStyle name="Normal 5 3 2" xfId="988" xr:uid="{304D893B-A642-4B14-A04D-B25978D83DF1}"/>
    <cellStyle name="Normal 5 4" xfId="97" xr:uid="{DC692093-099F-43FE-AC27-B02C1BF4A02E}"/>
    <cellStyle name="Normal 5 4 2" xfId="1028" xr:uid="{7B381417-5AA1-48F4-A3E6-520639D73BED}"/>
    <cellStyle name="Normal 5 5" xfId="941" xr:uid="{D89E4B06-72A9-4BD3-A80C-3BB0D5679F2A}"/>
    <cellStyle name="Normal 5 6" xfId="711" xr:uid="{5652F546-65B6-4DF9-A638-796B27053D9D}"/>
    <cellStyle name="Normal 5 7" xfId="392" xr:uid="{85F92AE6-D598-44C1-9A2B-B11403C99774}"/>
    <cellStyle name="Normal 6" xfId="98" xr:uid="{BEB1C694-B85A-4D68-AA84-8A06A1540886}"/>
    <cellStyle name="Normal 6 2" xfId="317" xr:uid="{B7C81FEB-7387-4466-A249-C798D0B02F23}"/>
    <cellStyle name="Normal 6 2 2" xfId="950" xr:uid="{FF711BC7-1D7A-424C-990B-64FC3000D141}"/>
    <cellStyle name="Normal 6 3" xfId="942" xr:uid="{CF321990-BC3B-4DF2-BCF3-631D98BA61C8}"/>
    <cellStyle name="Normal 7" xfId="94" xr:uid="{86B19A0D-ED9B-41A8-9CEB-913343D0C935}"/>
    <cellStyle name="Normal 7 2" xfId="313" xr:uid="{5ED892D7-8769-448B-BB1A-B881BA7B3E0D}"/>
    <cellStyle name="Normal 8" xfId="951" xr:uid="{FACE7964-42C0-44D1-8941-84098833119C}"/>
    <cellStyle name="Normal 9" xfId="952" xr:uid="{31791E82-0E9C-44CD-B353-7107D269E1DC}"/>
    <cellStyle name="Normal 9 2" xfId="989" xr:uid="{6D0F3E7C-B2FD-4BE8-AFCD-ADABEC1FF487}"/>
    <cellStyle name="Normal 9 3" xfId="1029" xr:uid="{64C46CE7-64A0-42BB-9419-3EA90B4CF967}"/>
    <cellStyle name="Percent 2" xfId="1031" xr:uid="{6C5E589E-4351-4C22-91F4-656CDABF0F11}"/>
    <cellStyle name="Percent 7" xfId="953" xr:uid="{9F86A655-AF30-4BE8-9822-70FA70DE9614}"/>
  </cellStyles>
  <dxfs count="0"/>
  <tableStyles count="0" defaultTableStyle="TableStyleMedium9" defaultPivotStyle="PivotStyleLight16"/>
  <colors>
    <mruColors>
      <color rgb="FF66FF99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4" dropStyle="combo" dx="31" fmlaLink="$V$12" fmlaRange="$W$12:$W$26" noThreeD="1" sel="13" val="0"/>
</file>

<file path=xl/ctrlProps/ctrlProp2.xml><?xml version="1.0" encoding="utf-8"?>
<formControlPr xmlns="http://schemas.microsoft.com/office/spreadsheetml/2009/9/main" objectType="Drop" dropLines="3" dropStyle="combo" dx="31" fmlaLink="$X$12" fmlaRange="$Y$12:$AA$14" noThreeD="1" sel="3" val="0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289560</xdr:colOff>
          <xdr:row>11</xdr:row>
          <xdr:rowOff>114300</xdr:rowOff>
        </xdr:from>
        <xdr:to>
          <xdr:col>15</xdr:col>
          <xdr:colOff>365760</xdr:colOff>
          <xdr:row>13</xdr:row>
          <xdr:rowOff>68580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274320</xdr:colOff>
          <xdr:row>14</xdr:row>
          <xdr:rowOff>114300</xdr:rowOff>
        </xdr:from>
        <xdr:to>
          <xdr:col>15</xdr:col>
          <xdr:colOff>365760</xdr:colOff>
          <xdr:row>16</xdr:row>
          <xdr:rowOff>60960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183445</xdr:colOff>
      <xdr:row>13</xdr:row>
      <xdr:rowOff>77611</xdr:rowOff>
    </xdr:from>
    <xdr:to>
      <xdr:col>15</xdr:col>
      <xdr:colOff>381000</xdr:colOff>
      <xdr:row>14</xdr:row>
      <xdr:rowOff>77611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7464778" y="2744611"/>
          <a:ext cx="1834444" cy="1905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100"/>
            <a:t>Untuk Pilih Metode / CMC</a:t>
          </a:r>
        </a:p>
      </xdr:txBody>
    </xdr:sp>
    <xdr:clientData/>
  </xdr:twoCellAnchor>
  <xdr:twoCellAnchor>
    <xdr:from>
      <xdr:col>12</xdr:col>
      <xdr:colOff>197555</xdr:colOff>
      <xdr:row>10</xdr:row>
      <xdr:rowOff>49388</xdr:rowOff>
    </xdr:from>
    <xdr:to>
      <xdr:col>15</xdr:col>
      <xdr:colOff>119944</xdr:colOff>
      <xdr:row>11</xdr:row>
      <xdr:rowOff>84666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7478888" y="2144888"/>
          <a:ext cx="1559278" cy="225778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100"/>
            <a:t>Untuk Pilih Standar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</xdr:row>
          <xdr:rowOff>45720</xdr:rowOff>
        </xdr:from>
        <xdr:to>
          <xdr:col>15</xdr:col>
          <xdr:colOff>175260</xdr:colOff>
          <xdr:row>5</xdr:row>
          <xdr:rowOff>7620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24130</xdr:colOff>
      <xdr:row>16</xdr:row>
      <xdr:rowOff>90170</xdr:rowOff>
    </xdr:from>
    <xdr:to>
      <xdr:col>19</xdr:col>
      <xdr:colOff>588010</xdr:colOff>
      <xdr:row>21</xdr:row>
      <xdr:rowOff>120650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6480" y="2712720"/>
          <a:ext cx="4221480" cy="925830"/>
        </a:xfrm>
        <a:prstGeom prst="rect">
          <a:avLst/>
        </a:prstGeom>
      </xdr:spPr>
    </xdr:pic>
    <xdr:clientData/>
  </xdr:twoCellAnchor>
  <xdr:twoCellAnchor editAs="oneCell">
    <xdr:from>
      <xdr:col>12</xdr:col>
      <xdr:colOff>579120</xdr:colOff>
      <xdr:row>23</xdr:row>
      <xdr:rowOff>15240</xdr:rowOff>
    </xdr:from>
    <xdr:to>
      <xdr:col>17</xdr:col>
      <xdr:colOff>259080</xdr:colOff>
      <xdr:row>30</xdr:row>
      <xdr:rowOff>83820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00" y="4114800"/>
          <a:ext cx="2727960" cy="14173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476250</xdr:colOff>
      <xdr:row>4</xdr:row>
      <xdr:rowOff>47625</xdr:rowOff>
    </xdr:from>
    <xdr:to>
      <xdr:col>11</xdr:col>
      <xdr:colOff>133350</xdr:colOff>
      <xdr:row>20</xdr:row>
      <xdr:rowOff>9525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GrpSpPr/>
      </xdr:nvGrpSpPr>
      <xdr:grpSpPr>
        <a:xfrm>
          <a:off x="3524250" y="718185"/>
          <a:ext cx="3314700" cy="2644140"/>
          <a:chOff x="3524250" y="695325"/>
          <a:chExt cx="3314700" cy="2552700"/>
        </a:xfrm>
      </xdr:grpSpPr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GrpSpPr/>
        </xdr:nvGrpSpPr>
        <xdr:grpSpPr>
          <a:xfrm>
            <a:off x="4276725" y="1619250"/>
            <a:ext cx="1828800" cy="1628775"/>
            <a:chOff x="4276725" y="1619250"/>
            <a:chExt cx="1828800" cy="1628775"/>
          </a:xfrm>
        </xdr:grpSpPr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900-00000C000000}"/>
                </a:ext>
              </a:extLst>
            </xdr:cNvPr>
            <xdr:cNvGrpSpPr/>
          </xdr:nvGrpSpPr>
          <xdr:grpSpPr>
            <a:xfrm>
              <a:off x="4276725" y="1619250"/>
              <a:ext cx="1819275" cy="1628775"/>
              <a:chOff x="4276725" y="1619250"/>
              <a:chExt cx="1819275" cy="1628775"/>
            </a:xfrm>
          </xdr:grpSpPr>
          <xdr:cxnSp macro="">
            <xdr:nvCxnSpPr>
              <xdr:cNvPr id="4" name="Straight Connector 3">
                <a:extLst>
                  <a:ext uri="{FF2B5EF4-FFF2-40B4-BE49-F238E27FC236}">
                    <a16:creationId xmlns:a16="http://schemas.microsoft.com/office/drawing/2014/main" id="{00000000-0008-0000-0900-000004000000}"/>
                  </a:ext>
                </a:extLst>
              </xdr:cNvPr>
              <xdr:cNvCxnSpPr/>
            </xdr:nvCxnSpPr>
            <xdr:spPr bwMode="auto">
              <a:xfrm>
                <a:off x="4276725" y="1619250"/>
                <a:ext cx="0" cy="1619250"/>
              </a:xfrm>
              <a:prstGeom prst="line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2">
                <a:schemeClr val="dk1"/>
              </a:lnRef>
              <a:fillRef idx="0">
                <a:schemeClr val="dk1"/>
              </a:fillRef>
              <a:effectRef idx="1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6" name="Straight Connector 5">
                <a:extLst>
                  <a:ext uri="{FF2B5EF4-FFF2-40B4-BE49-F238E27FC236}">
                    <a16:creationId xmlns:a16="http://schemas.microsoft.com/office/drawing/2014/main" id="{00000000-0008-0000-0900-000006000000}"/>
                  </a:ext>
                </a:extLst>
              </xdr:cNvPr>
              <xdr:cNvCxnSpPr/>
            </xdr:nvCxnSpPr>
            <xdr:spPr bwMode="auto">
              <a:xfrm>
                <a:off x="6096000" y="1628775"/>
                <a:ext cx="0" cy="1619250"/>
              </a:xfrm>
              <a:prstGeom prst="line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2">
                <a:schemeClr val="dk1"/>
              </a:lnRef>
              <a:fillRef idx="0">
                <a:schemeClr val="dk1"/>
              </a:fillRef>
              <a:effectRef idx="1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7" name="Straight Connector 6">
                <a:extLst>
                  <a:ext uri="{FF2B5EF4-FFF2-40B4-BE49-F238E27FC236}">
                    <a16:creationId xmlns:a16="http://schemas.microsoft.com/office/drawing/2014/main" id="{00000000-0008-0000-0900-000007000000}"/>
                  </a:ext>
                </a:extLst>
              </xdr:cNvPr>
              <xdr:cNvCxnSpPr/>
            </xdr:nvCxnSpPr>
            <xdr:spPr bwMode="auto">
              <a:xfrm>
                <a:off x="4286250" y="3228975"/>
                <a:ext cx="1809750" cy="9525"/>
              </a:xfrm>
              <a:prstGeom prst="line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2">
                <a:schemeClr val="dk1"/>
              </a:lnRef>
              <a:fillRef idx="0">
                <a:schemeClr val="dk1"/>
              </a:fillRef>
              <a:effectRef idx="1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900-00000D000000}"/>
                </a:ext>
              </a:extLst>
            </xdr:cNvPr>
            <xdr:cNvSpPr txBox="1"/>
          </xdr:nvSpPr>
          <xdr:spPr>
            <a:xfrm>
              <a:off x="4657725" y="2952750"/>
              <a:ext cx="1171575" cy="2381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Media Pemanas</a:t>
              </a:r>
            </a:p>
          </xdr:txBody>
        </xdr:sp>
        <xdr:sp macro="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:cNvPr>
            <xdr:cNvSpPr/>
          </xdr:nvSpPr>
          <xdr:spPr bwMode="auto">
            <a:xfrm>
              <a:off x="4781550" y="1638300"/>
              <a:ext cx="800100" cy="1266825"/>
            </a:xfrm>
            <a:prstGeom prst="roundRect">
              <a:avLst/>
            </a:prstGeom>
            <a:ln>
              <a:headEnd type="none" w="med" len="med"/>
              <a:tailEnd type="none" w="med" len="med"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l"/>
              <a:endParaRPr lang="en-US" sz="1100"/>
            </a:p>
          </xdr:txBody>
        </xdr:sp>
        <xdr:cxnSp macro="">
          <xdr:nvCxnSpPr>
            <xdr:cNvPr id="16" name="Straight Connector 15"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:cNvPr>
            <xdr:cNvCxnSpPr/>
          </xdr:nvCxnSpPr>
          <xdr:spPr bwMode="auto">
            <a:xfrm>
              <a:off x="4276725" y="1628775"/>
              <a:ext cx="457200" cy="0"/>
            </a:xfrm>
            <a:prstGeom prst="line">
              <a:avLst/>
            </a:prstGeom>
            <a:ln>
              <a:headEnd type="none" w="med" len="med"/>
              <a:tailEnd type="none" w="med" len="med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7" name="Straight Connector 16"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CxnSpPr/>
          </xdr:nvCxnSpPr>
          <xdr:spPr bwMode="auto">
            <a:xfrm>
              <a:off x="5648325" y="1628775"/>
              <a:ext cx="457200" cy="0"/>
            </a:xfrm>
            <a:prstGeom prst="line">
              <a:avLst/>
            </a:prstGeom>
            <a:ln>
              <a:headEnd type="none" w="med" len="med"/>
              <a:tailEnd type="none" w="med" len="med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 bwMode="auto">
          <a:xfrm flipH="1">
            <a:off x="5031106" y="1333500"/>
            <a:ext cx="45719" cy="1333500"/>
          </a:xfrm>
          <a:prstGeom prst="roundRect">
            <a:avLst/>
          </a:prstGeom>
          <a:ln>
            <a:headEnd type="none" w="med" len="med"/>
            <a:tailEnd type="none" w="med" len="med"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18288" tIns="0" rIns="0" bIns="0" rtlCol="0" anchor="ctr" upright="1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SpPr/>
        </xdr:nvSpPr>
        <xdr:spPr bwMode="auto">
          <a:xfrm flipH="1">
            <a:off x="5286375" y="1333500"/>
            <a:ext cx="45719" cy="1333500"/>
          </a:xfrm>
          <a:prstGeom prst="roundRect">
            <a:avLst/>
          </a:prstGeom>
          <a:ln>
            <a:headEnd type="none" w="med" len="med"/>
            <a:tailEnd type="none" w="med" len="med"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18288" tIns="0" rIns="0" bIns="0" rtlCol="0" anchor="ctr" upright="1"/>
          <a:lstStyle/>
          <a:p>
            <a:pPr algn="l"/>
            <a:endParaRPr lang="en-US" sz="1100"/>
          </a:p>
        </xdr:txBody>
      </xdr: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GrpSpPr/>
        </xdr:nvGrpSpPr>
        <xdr:grpSpPr>
          <a:xfrm>
            <a:off x="3524250" y="695325"/>
            <a:ext cx="3314700" cy="2533650"/>
            <a:chOff x="3524250" y="695325"/>
            <a:chExt cx="3314700" cy="2533650"/>
          </a:xfrm>
        </xdr:grpSpPr>
        <xdr:cxnSp macro="">
          <xdr:nvCxnSpPr>
            <xdr:cNvPr id="54" name="Straight Connector 53">
              <a:extLst>
                <a:ext uri="{FF2B5EF4-FFF2-40B4-BE49-F238E27FC236}">
                  <a16:creationId xmlns:a16="http://schemas.microsoft.com/office/drawing/2014/main" id="{00000000-0008-0000-0900-000036000000}"/>
                </a:ext>
              </a:extLst>
            </xdr:cNvPr>
            <xdr:cNvCxnSpPr/>
          </xdr:nvCxnSpPr>
          <xdr:spPr bwMode="auto">
            <a:xfrm flipV="1">
              <a:off x="5048250" y="962025"/>
              <a:ext cx="1" cy="466723"/>
            </a:xfrm>
            <a:prstGeom prst="line">
              <a:avLst/>
            </a:prstGeom>
            <a:ln>
              <a:headEnd type="none" w="med" len="med"/>
              <a:tailEnd type="none" w="med" len="med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  <xdr:grpSp>
          <xdr:nvGrpSpPr>
            <xdr:cNvPr id="59" name="Group 58">
              <a:extLst>
                <a:ext uri="{FF2B5EF4-FFF2-40B4-BE49-F238E27FC236}">
                  <a16:creationId xmlns:a16="http://schemas.microsoft.com/office/drawing/2014/main" id="{00000000-0008-0000-0900-00003B000000}"/>
                </a:ext>
              </a:extLst>
            </xdr:cNvPr>
            <xdr:cNvGrpSpPr/>
          </xdr:nvGrpSpPr>
          <xdr:grpSpPr>
            <a:xfrm>
              <a:off x="3524250" y="695325"/>
              <a:ext cx="3314700" cy="2533650"/>
              <a:chOff x="3524250" y="695325"/>
              <a:chExt cx="3314700" cy="2533650"/>
            </a:xfrm>
          </xdr:grpSpPr>
          <xdr:sp macro="" textlink="">
            <xdr:nvSpPr>
              <xdr:cNvPr id="21" name="Rectangle: Rounded Corners 20">
                <a:extLst>
                  <a:ext uri="{FF2B5EF4-FFF2-40B4-BE49-F238E27FC236}">
                    <a16:creationId xmlns:a16="http://schemas.microsoft.com/office/drawing/2014/main" id="{00000000-0008-0000-0900-000015000000}"/>
                  </a:ext>
                </a:extLst>
              </xdr:cNvPr>
              <xdr:cNvSpPr/>
            </xdr:nvSpPr>
            <xdr:spPr bwMode="auto">
              <a:xfrm>
                <a:off x="3524250" y="2533650"/>
                <a:ext cx="590550" cy="685800"/>
              </a:xfrm>
              <a:prstGeom prst="roundRect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wrap="square" lIns="18288" tIns="0" rIns="0" bIns="0" rtlCol="0" anchor="ctr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2" name="Rectangle: Rounded Corners 21">
                <a:extLst>
                  <a:ext uri="{FF2B5EF4-FFF2-40B4-BE49-F238E27FC236}">
                    <a16:creationId xmlns:a16="http://schemas.microsoft.com/office/drawing/2014/main" id="{00000000-0008-0000-0900-000016000000}"/>
                  </a:ext>
                </a:extLst>
              </xdr:cNvPr>
              <xdr:cNvSpPr/>
            </xdr:nvSpPr>
            <xdr:spPr bwMode="auto">
              <a:xfrm>
                <a:off x="6248400" y="2543175"/>
                <a:ext cx="590550" cy="685800"/>
              </a:xfrm>
              <a:prstGeom prst="roundRect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wrap="square" lIns="18288" tIns="0" rIns="0" bIns="0" rtlCol="0" anchor="ctr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4" name="Rectangle: Rounded Corners 23">
                <a:extLst>
                  <a:ext uri="{FF2B5EF4-FFF2-40B4-BE49-F238E27FC236}">
                    <a16:creationId xmlns:a16="http://schemas.microsoft.com/office/drawing/2014/main" id="{00000000-0008-0000-0900-000018000000}"/>
                  </a:ext>
                </a:extLst>
              </xdr:cNvPr>
              <xdr:cNvSpPr/>
            </xdr:nvSpPr>
            <xdr:spPr bwMode="auto">
              <a:xfrm>
                <a:off x="3619500" y="2619375"/>
                <a:ext cx="409575" cy="304800"/>
              </a:xfrm>
              <a:prstGeom prst="roundRect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wrap="square" lIns="18288" tIns="0" rIns="0" bIns="0" rtlCol="0" anchor="ctr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" name="Rectangle: Rounded Corners 24">
                <a:extLst>
                  <a:ext uri="{FF2B5EF4-FFF2-40B4-BE49-F238E27FC236}">
                    <a16:creationId xmlns:a16="http://schemas.microsoft.com/office/drawing/2014/main" id="{00000000-0008-0000-0900-000019000000}"/>
                  </a:ext>
                </a:extLst>
              </xdr:cNvPr>
              <xdr:cNvSpPr/>
            </xdr:nvSpPr>
            <xdr:spPr bwMode="auto">
              <a:xfrm>
                <a:off x="6343650" y="2619375"/>
                <a:ext cx="409575" cy="304800"/>
              </a:xfrm>
              <a:prstGeom prst="roundRect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wrap="square" lIns="18288" tIns="0" rIns="0" bIns="0" rtlCol="0" anchor="ctr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00000000-0008-0000-0900-00001A000000}"/>
                  </a:ext>
                </a:extLst>
              </xdr:cNvPr>
              <xdr:cNvSpPr txBox="1"/>
            </xdr:nvSpPr>
            <xdr:spPr>
              <a:xfrm>
                <a:off x="3629026" y="2943225"/>
                <a:ext cx="419100" cy="2190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bg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/>
                  <a:t>STD</a:t>
                </a:r>
              </a:p>
            </xdr:txBody>
          </xdr:sp>
          <xdr:sp macro="" textlink="">
            <xdr:nvSpPr>
              <xdr:cNvPr id="27" name="TextBox 26">
                <a:extLst>
                  <a:ext uri="{FF2B5EF4-FFF2-40B4-BE49-F238E27FC236}">
                    <a16:creationId xmlns:a16="http://schemas.microsoft.com/office/drawing/2014/main" id="{00000000-0008-0000-0900-00001B000000}"/>
                  </a:ext>
                </a:extLst>
              </xdr:cNvPr>
              <xdr:cNvSpPr txBox="1"/>
            </xdr:nvSpPr>
            <xdr:spPr>
              <a:xfrm>
                <a:off x="6353175" y="2962275"/>
                <a:ext cx="419100" cy="2190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bg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/>
                  <a:t>Alat</a:t>
                </a:r>
              </a:p>
            </xdr:txBody>
          </xdr:sp>
          <xdr:cxnSp macro="">
            <xdr:nvCxnSpPr>
              <xdr:cNvPr id="43" name="Straight Connector 42">
                <a:extLst>
                  <a:ext uri="{FF2B5EF4-FFF2-40B4-BE49-F238E27FC236}">
                    <a16:creationId xmlns:a16="http://schemas.microsoft.com/office/drawing/2014/main" id="{00000000-0008-0000-0900-00002B000000}"/>
                  </a:ext>
                </a:extLst>
              </xdr:cNvPr>
              <xdr:cNvCxnSpPr>
                <a:stCxn id="21" idx="0"/>
              </xdr:cNvCxnSpPr>
            </xdr:nvCxnSpPr>
            <xdr:spPr bwMode="auto">
              <a:xfrm flipV="1">
                <a:off x="3819525" y="962025"/>
                <a:ext cx="0" cy="1571625"/>
              </a:xfrm>
              <a:prstGeom prst="line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2">
                <a:schemeClr val="dk1"/>
              </a:lnRef>
              <a:fillRef idx="0">
                <a:schemeClr val="dk1"/>
              </a:fillRef>
              <a:effectRef idx="1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44" name="Straight Connector 43">
                <a:extLst>
                  <a:ext uri="{FF2B5EF4-FFF2-40B4-BE49-F238E27FC236}">
                    <a16:creationId xmlns:a16="http://schemas.microsoft.com/office/drawing/2014/main" id="{00000000-0008-0000-0900-00002C000000}"/>
                  </a:ext>
                </a:extLst>
              </xdr:cNvPr>
              <xdr:cNvCxnSpPr/>
            </xdr:nvCxnSpPr>
            <xdr:spPr bwMode="auto">
              <a:xfrm flipV="1">
                <a:off x="6543675" y="971550"/>
                <a:ext cx="0" cy="1571625"/>
              </a:xfrm>
              <a:prstGeom prst="line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2">
                <a:schemeClr val="dk1"/>
              </a:lnRef>
              <a:fillRef idx="0">
                <a:schemeClr val="dk1"/>
              </a:fillRef>
              <a:effectRef idx="1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900-00002D000000}"/>
                  </a:ext>
                </a:extLst>
              </xdr:cNvPr>
              <xdr:cNvCxnSpPr/>
            </xdr:nvCxnSpPr>
            <xdr:spPr bwMode="auto">
              <a:xfrm flipH="1">
                <a:off x="3819526" y="971550"/>
                <a:ext cx="1238249" cy="1"/>
              </a:xfrm>
              <a:prstGeom prst="line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2">
                <a:schemeClr val="dk1"/>
              </a:lnRef>
              <a:fillRef idx="0">
                <a:schemeClr val="dk1"/>
              </a:fillRef>
              <a:effectRef idx="1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49" name="Straight Connector 48">
                <a:extLst>
                  <a:ext uri="{FF2B5EF4-FFF2-40B4-BE49-F238E27FC236}">
                    <a16:creationId xmlns:a16="http://schemas.microsoft.com/office/drawing/2014/main" id="{00000000-0008-0000-0900-000031000000}"/>
                  </a:ext>
                </a:extLst>
              </xdr:cNvPr>
              <xdr:cNvCxnSpPr/>
            </xdr:nvCxnSpPr>
            <xdr:spPr bwMode="auto">
              <a:xfrm flipH="1">
                <a:off x="5314950" y="971550"/>
                <a:ext cx="1238249" cy="1"/>
              </a:xfrm>
              <a:prstGeom prst="line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2">
                <a:schemeClr val="dk1"/>
              </a:lnRef>
              <a:fillRef idx="0">
                <a:schemeClr val="dk1"/>
              </a:fillRef>
              <a:effectRef idx="1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50" name="Straight Connector 49">
                <a:extLst>
                  <a:ext uri="{FF2B5EF4-FFF2-40B4-BE49-F238E27FC236}">
                    <a16:creationId xmlns:a16="http://schemas.microsoft.com/office/drawing/2014/main" id="{00000000-0008-0000-0900-000032000000}"/>
                  </a:ext>
                </a:extLst>
              </xdr:cNvPr>
              <xdr:cNvCxnSpPr/>
            </xdr:nvCxnSpPr>
            <xdr:spPr bwMode="auto">
              <a:xfrm flipV="1">
                <a:off x="5314950" y="971552"/>
                <a:ext cx="1" cy="466723"/>
              </a:xfrm>
              <a:prstGeom prst="line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2">
                <a:schemeClr val="dk1"/>
              </a:lnRef>
              <a:fillRef idx="0">
                <a:schemeClr val="dk1"/>
              </a:fillRef>
              <a:effectRef idx="1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8" name="TextBox 57">
                <a:extLst>
                  <a:ext uri="{FF2B5EF4-FFF2-40B4-BE49-F238E27FC236}">
                    <a16:creationId xmlns:a16="http://schemas.microsoft.com/office/drawing/2014/main" id="{00000000-0008-0000-0900-00003A000000}"/>
                  </a:ext>
                </a:extLst>
              </xdr:cNvPr>
              <xdr:cNvSpPr txBox="1"/>
            </xdr:nvSpPr>
            <xdr:spPr>
              <a:xfrm>
                <a:off x="4714875" y="695325"/>
                <a:ext cx="1076325" cy="2286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bg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/>
                  <a:t>Thermocouple</a:t>
                </a:r>
              </a:p>
            </xdr:txBody>
          </xdr:sp>
        </xdr:grp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99\4.%20Admin%20Teknis\Template%20Terbaru\Gaya%20Massa%20Pressure%20Alat%20Uji%20Kimia%20Stopwatch%20Volume\Template%20Volumetrik%2019.02.0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s-pc-00\template%20input%20data\Template%20Terbaru\Gaya%20Massa%20Pressure%20Alat%20Uji%20Kimia%20Stopwatch%20Volume\Template%20Volumetrik%2019.02.06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99\4.%20Admin%20Teknis\Users\HP\Documents\Workspace\Koreksian\Darurat%2018%20Maret%202017\Sudah%20OK\Terkirim%20ke%20Admin\D023_PT.%20INDONESIA%20STANLEY%20ELECTRIC_OUTSIDE%20MICROMETER%205613079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s-pc-00\template%20input%20data\Users\HP\Documents\Workspace\Koreksian\Darurat%2018%20Maret%202017\Sudah%20OK\Terkirim%20ke%20Admin\D023_PT.%20INDONESIA%20STANLEY%20ELECTRIC_OUTSIDE%20MICROMETER%205613079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STER%20ONE_MARK,volum2005,mei%205,200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SA008354_Precision%20Sample%20Cutter_HM%20Sampoern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MULTI_MARK,volum2005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KAN%20Reasesment\No.%2002%20CMC%20Budget%20dan%20data%20perhitungan\CMC%20SUHU\13.%20CMC%20Themperatur%20Indicator%20(%20Tanpa%20Sensor%20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essure%20Gauge%20(%20std%20SM%20103%20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C034733_DigOutMicrometer-25-50mm_PT.ToyoBesq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ORMAT%20SERTIFIKAT%20BARU%20Spectro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OUTSTANDING\@tang\06-2008\C017046_DigOutMicrometer_0-25mm_PT.Toyo.Besq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mbangan"/>
      <sheetName val="Thermometer yang dipakai"/>
      <sheetName val="Thermohygro Database"/>
      <sheetName val="Entry Data"/>
      <sheetName val="Ketidakpastian"/>
      <sheetName val="Cover"/>
      <sheetName val="Sertifikat"/>
      <sheetName val="Riwayat"/>
    </sheetNames>
    <sheetDataSet>
      <sheetData sheetId="0" refreshError="1"/>
      <sheetData sheetId="1" refreshError="1"/>
      <sheetData sheetId="2" refreshError="1"/>
      <sheetData sheetId="3">
        <row r="10">
          <cell r="B10">
            <v>0.01</v>
          </cell>
        </row>
        <row r="39">
          <cell r="C39">
            <v>0.99985307999999995</v>
          </cell>
        </row>
        <row r="40">
          <cell r="C40">
            <v>6.3269300000000001E-5</v>
          </cell>
        </row>
        <row r="41">
          <cell r="C41">
            <v>-8.5238290000000006E-6</v>
          </cell>
        </row>
        <row r="42">
          <cell r="C42">
            <v>6.943249E-8</v>
          </cell>
        </row>
        <row r="43">
          <cell r="C43">
            <v>-3.8212160000000001E-10</v>
          </cell>
        </row>
        <row r="47">
          <cell r="C47">
            <v>9.9000000000000001E-6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mbangan"/>
      <sheetName val="Thermometer yang dipakai"/>
      <sheetName val="Thermohygro Database"/>
      <sheetName val="Entry Data"/>
      <sheetName val="Ketidakpastian"/>
      <sheetName val="Cover"/>
      <sheetName val="Sertifikat"/>
      <sheetName val="Riwayat"/>
      <sheetName val="TABEL DATA"/>
    </sheetNames>
    <sheetDataSet>
      <sheetData sheetId="0" refreshError="1"/>
      <sheetData sheetId="1" refreshError="1"/>
      <sheetData sheetId="2" refreshError="1"/>
      <sheetData sheetId="3">
        <row r="10">
          <cell r="B10">
            <v>0.01</v>
          </cell>
        </row>
        <row r="39">
          <cell r="C39">
            <v>0.99985307999999995</v>
          </cell>
        </row>
        <row r="40">
          <cell r="C40">
            <v>6.3269300000000001E-5</v>
          </cell>
        </row>
        <row r="41">
          <cell r="C41">
            <v>-8.5238290000000006E-6</v>
          </cell>
        </row>
        <row r="42">
          <cell r="C42">
            <v>6.943249E-8</v>
          </cell>
        </row>
        <row r="43">
          <cell r="C43">
            <v>-3.8212160000000001E-10</v>
          </cell>
        </row>
        <row r="47">
          <cell r="C47">
            <v>9.9000000000000001E-6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 Thermohygro"/>
      <sheetName val="Database Standard GB"/>
      <sheetName val="Product"/>
      <sheetName val="Entry Data"/>
      <sheetName val="Uncertainty"/>
      <sheetName val="Certificate 1"/>
      <sheetName val="Certificate 2"/>
      <sheetName val="Tips"/>
    </sheetNames>
    <sheetDataSet>
      <sheetData sheetId="0" refreshError="1"/>
      <sheetData sheetId="1" refreshError="1"/>
      <sheetData sheetId="2">
        <row r="1">
          <cell r="B1" t="str">
            <v>Outside</v>
          </cell>
          <cell r="C1" t="str">
            <v>Outside</v>
          </cell>
        </row>
        <row r="2">
          <cell r="B2" t="str">
            <v>Inside</v>
          </cell>
        </row>
        <row r="3">
          <cell r="B3" t="str">
            <v>Depth</v>
          </cell>
        </row>
      </sheetData>
      <sheetData sheetId="3">
        <row r="9">
          <cell r="B9" t="str">
            <v>Outside Micrometer</v>
          </cell>
        </row>
        <row r="24">
          <cell r="Q24">
            <v>4</v>
          </cell>
        </row>
      </sheetData>
      <sheetData sheetId="4">
        <row r="18">
          <cell r="B18">
            <v>1.4</v>
          </cell>
        </row>
      </sheetData>
      <sheetData sheetId="5">
        <row r="24">
          <cell r="I24" t="str">
            <v>103-139-10 / 56130792</v>
          </cell>
        </row>
      </sheetData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 Thermohygro"/>
      <sheetName val="Database Standard GB"/>
      <sheetName val="Product"/>
      <sheetName val="Entry Data"/>
      <sheetName val="Uncertainty"/>
      <sheetName val="Certificate 1"/>
      <sheetName val="Certificate 2"/>
      <sheetName val="Tips"/>
    </sheetNames>
    <sheetDataSet>
      <sheetData sheetId="0" refreshError="1"/>
      <sheetData sheetId="1" refreshError="1"/>
      <sheetData sheetId="2">
        <row r="1">
          <cell r="B1" t="str">
            <v>Outside</v>
          </cell>
          <cell r="C1" t="str">
            <v>Outside</v>
          </cell>
        </row>
        <row r="2">
          <cell r="B2" t="str">
            <v>Inside</v>
          </cell>
        </row>
        <row r="3">
          <cell r="B3" t="str">
            <v>Depth</v>
          </cell>
        </row>
      </sheetData>
      <sheetData sheetId="3">
        <row r="9">
          <cell r="B9" t="str">
            <v>Outside Micrometer</v>
          </cell>
        </row>
        <row r="24">
          <cell r="Q24">
            <v>4</v>
          </cell>
        </row>
      </sheetData>
      <sheetData sheetId="4">
        <row r="18">
          <cell r="B18">
            <v>1.4</v>
          </cell>
        </row>
      </sheetData>
      <sheetData sheetId="5">
        <row r="24">
          <cell r="I24" t="str">
            <v>103-139-10 / 56130792</v>
          </cell>
        </row>
      </sheetData>
      <sheetData sheetId="6" refreshError="1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ksi"/>
      <sheetName val="Report"/>
      <sheetName val="pipet volume1-100ml"/>
      <sheetName val="Pyknometer10ml"/>
      <sheetName val="BMC."/>
      <sheetName val="Labu ukur 10ml"/>
      <sheetName val="Labu ukur 5ml"/>
      <sheetName val="BMC"/>
      <sheetName val="regresi timb"/>
      <sheetName val="Data"/>
      <sheetName val="Dutu"/>
      <sheetName val="Sertifikat"/>
      <sheetName val="Ue-dgn meniskus"/>
      <sheetName val="Ue tanpa koreksi meniskus"/>
    </sheetNames>
    <sheetDataSet>
      <sheetData sheetId="0">
        <row r="32">
          <cell r="C32">
            <v>6.3269300000000001E-5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2">
          <cell r="C32">
            <v>6.3269300000000001E-5</v>
          </cell>
        </row>
        <row r="34">
          <cell r="C34">
            <v>6.943249E-8</v>
          </cell>
        </row>
        <row r="35">
          <cell r="C35">
            <v>-3.8212160000000001E-10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Mentah"/>
      <sheetName val="SDS016"/>
      <sheetName val="analisa data"/>
      <sheetName val="Ketidakpastian"/>
      <sheetName val="Sertifikat"/>
      <sheetName val="New-Sertifikat"/>
      <sheetName val="BMC"/>
    </sheetNames>
    <sheetDataSet>
      <sheetData sheetId="0">
        <row r="19">
          <cell r="L19">
            <v>3</v>
          </cell>
        </row>
      </sheetData>
      <sheetData sheetId="1"/>
      <sheetData sheetId="2"/>
      <sheetData sheetId="3">
        <row r="19">
          <cell r="L19">
            <v>3</v>
          </cell>
        </row>
      </sheetData>
      <sheetData sheetId="4"/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ksi"/>
      <sheetName val="Data Input"/>
      <sheetName val="BURET 100ml"/>
      <sheetName val="Pipet Ukur1-50ml"/>
      <sheetName val="Pipet Ukur50-100ml"/>
      <sheetName val="Gelas Ukur 5-50"/>
      <sheetName val="Gelas Ukur 100-2000ml"/>
      <sheetName val="buret1-100"/>
      <sheetName val="Analisis"/>
      <sheetName val="Report"/>
    </sheetNames>
    <sheetDataSet>
      <sheetData sheetId="0">
        <row r="33">
          <cell r="C33">
            <v>-8.5238290000000006E-6</v>
          </cell>
        </row>
      </sheetData>
      <sheetData sheetId="1">
        <row r="33">
          <cell r="C33">
            <v>-8.5238290000000006E-6</v>
          </cell>
        </row>
        <row r="35">
          <cell r="C35">
            <v>-3.8212160000000001E-10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"/>
      <sheetName val="CMC Suhu"/>
      <sheetName val="CMC Massa"/>
      <sheetName val="CMC Timbangan"/>
      <sheetName val="CMC tekanan"/>
      <sheetName val="CMC Dimensi"/>
      <sheetName val="CMC Volume"/>
      <sheetName val="TABEL DATA"/>
      <sheetName val="KONTROL SUHU"/>
    </sheetNames>
    <sheetDataSet>
      <sheetData sheetId="0">
        <row r="2">
          <cell r="A2" t="str">
            <v>(Kop dan alamat Laboratorium pemohon akreditasi)</v>
          </cell>
        </row>
        <row r="3">
          <cell r="A3" t="str">
            <v>KEMAMPUAN KALIBRASI DAN PENGUKURAN (CMC) LABORATORIUM KALIBRASI</v>
          </cell>
        </row>
        <row r="4">
          <cell r="A4" t="str">
            <v>CQA Laboratorium Bid. Kalibrasi PT. Indofood CBP Sukses Makmur ( LK-056-IDN )</v>
          </cell>
        </row>
        <row r="5">
          <cell r="A5" t="str">
            <v>No.</v>
          </cell>
          <cell r="B5" t="str">
            <v>Jenis alat atau standar atau bahan yang dikalibrasi atau diukur
( a )</v>
          </cell>
          <cell r="C5" t="str">
            <v>Besaran yang diukur, dan 
syarat batas (bila relevan)
( b )</v>
          </cell>
          <cell r="D5" t="str">
            <v>Rentang Ukur
( c )</v>
          </cell>
          <cell r="I5" t="str">
            <v>Expanded Uncertainty*) 
(at 95% c.l.) 
( d )</v>
          </cell>
          <cell r="K5" t="str">
            <v>Metode Kalibrasi;  
Dokumen Standar dan Spesifikasi (Bila Relevan) 
( e )</v>
          </cell>
          <cell r="L5" t="str">
            <v>Standar, Peralatan Utama dan Alat Bantu
( f )</v>
          </cell>
          <cell r="P5" t="str">
            <v>Sumber Ketertelusuran Pengukuran 
( g )</v>
          </cell>
          <cell r="Q5" t="str">
            <v>Interval Kalibrasi 
( h )</v>
          </cell>
          <cell r="R5" t="str">
            <v>Tanggal Kalibrasi Terakhir 
( i )</v>
          </cell>
          <cell r="S5" t="str">
            <v>Akomodasi dan kondisi Lingkungan
(j)</v>
          </cell>
          <cell r="U5" t="str">
            <v>Personel Yang Bertanggungjawab
 ( k )</v>
          </cell>
          <cell r="V5" t="str">
            <v>Pengendalian Mutu dan Pengecekan Antara 
( l )</v>
          </cell>
          <cell r="W5" t="str">
            <v>Interval Pengendalian Mutu dan Pengecekan Antara 
( m )</v>
          </cell>
        </row>
        <row r="7">
          <cell r="B7" t="str">
            <v>TEMPERATUR DAN KELEMBABAN</v>
          </cell>
        </row>
        <row r="9">
          <cell r="A9" t="str">
            <v>1.</v>
          </cell>
          <cell r="B9" t="str">
            <v>Liquid glass thermometer</v>
          </cell>
          <cell r="C9" t="str">
            <v>Temperature</v>
          </cell>
        </row>
        <row r="13">
          <cell r="A13" t="str">
            <v>2.</v>
          </cell>
          <cell r="B13" t="str">
            <v>Temerature sensor with</v>
          </cell>
          <cell r="C13" t="str">
            <v>Temperature</v>
          </cell>
        </row>
        <row r="14">
          <cell r="B14" t="str">
            <v>Display unit</v>
          </cell>
        </row>
        <row r="17">
          <cell r="A17" t="str">
            <v>3.</v>
          </cell>
          <cell r="B17" t="str">
            <v>Temperature indikator</v>
          </cell>
          <cell r="C17" t="str">
            <v>Temperature</v>
          </cell>
        </row>
        <row r="18">
          <cell r="B18" t="str">
            <v>( tanpa sensor )</v>
          </cell>
        </row>
        <row r="20">
          <cell r="A20" t="str">
            <v>4.</v>
          </cell>
          <cell r="B20" t="str">
            <v xml:space="preserve">Temperature Enclousure </v>
          </cell>
          <cell r="C20" t="str">
            <v>Temperature</v>
          </cell>
        </row>
        <row r="21">
          <cell r="B21" t="str">
            <v>- Oven, Incubator, Autoclave</v>
          </cell>
        </row>
        <row r="22">
          <cell r="B22" t="str">
            <v>- Furnace</v>
          </cell>
        </row>
        <row r="24">
          <cell r="B24" t="str">
            <v>MASSA</v>
          </cell>
        </row>
        <row r="25">
          <cell r="A25">
            <v>1</v>
          </cell>
          <cell r="B25" t="str">
            <v>Anak Timbangan</v>
          </cell>
          <cell r="C25" t="str">
            <v>Massa Konvensional</v>
          </cell>
        </row>
        <row r="41">
          <cell r="A41">
            <v>2</v>
          </cell>
          <cell r="B41" t="str">
            <v>Timbangan</v>
          </cell>
          <cell r="C41" t="str">
            <v>Massa Konvensional</v>
          </cell>
        </row>
        <row r="42">
          <cell r="B42" t="str">
            <v>(Elektronik, mekanik)</v>
          </cell>
        </row>
        <row r="56">
          <cell r="B56" t="str">
            <v>TEKANAN</v>
          </cell>
        </row>
        <row r="57">
          <cell r="A57">
            <v>1</v>
          </cell>
          <cell r="B57" t="str">
            <v>Pressure Gauge</v>
          </cell>
          <cell r="C57" t="str">
            <v>Tekanan</v>
          </cell>
        </row>
        <row r="58">
          <cell r="B58" t="str">
            <v>(pneumatic )</v>
          </cell>
        </row>
        <row r="60">
          <cell r="A60">
            <v>2</v>
          </cell>
          <cell r="B60" t="str">
            <v>Vacuum Gauge</v>
          </cell>
        </row>
        <row r="63">
          <cell r="B63" t="str">
            <v>VOLUME DAN ALIRAN</v>
          </cell>
        </row>
        <row r="64">
          <cell r="A64">
            <v>1</v>
          </cell>
          <cell r="B64" t="str">
            <v>Volumetric Glassware;</v>
          </cell>
          <cell r="C64" t="str">
            <v>Volume</v>
          </cell>
        </row>
        <row r="65">
          <cell r="B65" t="str">
            <v>Volumetric Measures</v>
          </cell>
        </row>
        <row r="73">
          <cell r="B73" t="str">
            <v>PANJANG, DIMENSI DAN SUDUT</v>
          </cell>
        </row>
        <row r="74">
          <cell r="A74">
            <v>1</v>
          </cell>
          <cell r="B74" t="str">
            <v>Outside Mucrometer</v>
          </cell>
          <cell r="C74" t="str">
            <v>length</v>
          </cell>
        </row>
        <row r="75">
          <cell r="B75" t="str">
            <v>Dial Thickness Gauge</v>
          </cell>
        </row>
        <row r="77">
          <cell r="B77" t="str">
            <v>Vernier Caliper</v>
          </cell>
        </row>
        <row r="82">
          <cell r="B82" t="str">
            <v>Expanded Uncertainty *) : "best achievable uncertainty" which is more or less routinely reported to laboratory's customer in the calibration of "customer's best available devices" respective to the laboratory's resources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hermohygro"/>
      <sheetName val="TG 103"/>
      <sheetName val="analisa"/>
      <sheetName val="sertifikat hal 1"/>
      <sheetName val="sertifikat hal 2"/>
      <sheetName val="data kalibrasi"/>
    </sheetNames>
    <sheetDataSet>
      <sheetData sheetId="0">
        <row r="7">
          <cell r="C7" t="str">
            <v>kg/cm²</v>
          </cell>
        </row>
      </sheetData>
      <sheetData sheetId="1" refreshError="1"/>
      <sheetData sheetId="2">
        <row r="7">
          <cell r="C7" t="str">
            <v>kg/cm²</v>
          </cell>
        </row>
      </sheetData>
      <sheetData sheetId="3" refreshError="1"/>
      <sheetData sheetId="4" refreshError="1"/>
      <sheetData sheetId="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046"/>
      <sheetName val="SD062"/>
      <sheetName val="SD001-2007"/>
      <sheetName val="SD001-2009"/>
      <sheetName val="DATA MENTAH"/>
      <sheetName val="Ketidakpastian"/>
      <sheetName val="New-Sertifikat"/>
      <sheetName val="sertifikat"/>
      <sheetName val="BMC_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tifikat"/>
      <sheetName val="Hasil Kal."/>
      <sheetName val="entry data"/>
      <sheetName val="Analisa"/>
      <sheetName val="Thermohygro"/>
      <sheetName val="Std 2012"/>
      <sheetName val="STD 2010"/>
      <sheetName val="Drift"/>
      <sheetName val="Ue CMC"/>
    </sheetNames>
    <sheetDataSet>
      <sheetData sheetId="0" refreshError="1"/>
      <sheetData sheetId="1" refreshError="1"/>
      <sheetData sheetId="2">
        <row r="14">
          <cell r="P14">
            <v>29.033333333333331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046-SD013"/>
      <sheetName val="SD001"/>
      <sheetName val="DATA MENTAH"/>
      <sheetName val="Ketidakpastian"/>
      <sheetName val="New-Sertifikat"/>
      <sheetName val="sertifikat"/>
      <sheetName val="BMC_2"/>
    </sheetNames>
    <sheetDataSet>
      <sheetData sheetId="0"/>
      <sheetData sheetId="1"/>
      <sheetData sheetId="2">
        <row r="8">
          <cell r="E8">
            <v>20.2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2"/>
  <sheetViews>
    <sheetView workbookViewId="0">
      <selection activeCell="C4" sqref="C4"/>
    </sheetView>
  </sheetViews>
  <sheetFormatPr defaultColWidth="10.5546875" defaultRowHeight="11.4" x14ac:dyDescent="0.25"/>
  <cols>
    <col min="1" max="2" width="10.5546875" style="86"/>
    <col min="3" max="3" width="30" style="86" customWidth="1"/>
    <col min="4" max="4" width="15.5546875" style="86" customWidth="1"/>
    <col min="5" max="5" width="49.109375" style="86" bestFit="1" customWidth="1"/>
    <col min="6" max="16384" width="10.5546875" style="86"/>
  </cols>
  <sheetData>
    <row r="1" spans="1:6" s="94" customFormat="1" ht="20.100000000000001" customHeight="1" x14ac:dyDescent="0.25">
      <c r="A1" s="92" t="s">
        <v>188</v>
      </c>
      <c r="B1" s="92" t="s">
        <v>189</v>
      </c>
      <c r="C1" s="93" t="s">
        <v>150</v>
      </c>
      <c r="D1" s="93" t="s">
        <v>191</v>
      </c>
      <c r="E1" s="93" t="s">
        <v>192</v>
      </c>
      <c r="F1" s="92" t="s">
        <v>208</v>
      </c>
    </row>
    <row r="2" spans="1:6" x14ac:dyDescent="0.25">
      <c r="A2" s="95" t="s">
        <v>48</v>
      </c>
      <c r="B2" s="96" t="s">
        <v>49</v>
      </c>
      <c r="C2" s="96" t="s">
        <v>215</v>
      </c>
      <c r="D2" s="99" t="s">
        <v>227</v>
      </c>
      <c r="E2" s="117" t="s">
        <v>213</v>
      </c>
      <c r="F2" s="96" t="s">
        <v>1</v>
      </c>
    </row>
    <row r="3" spans="1:6" x14ac:dyDescent="0.25">
      <c r="A3" s="95" t="s">
        <v>50</v>
      </c>
      <c r="B3" s="96" t="s">
        <v>51</v>
      </c>
      <c r="C3" s="96" t="s">
        <v>254</v>
      </c>
      <c r="D3" s="99" t="s">
        <v>229</v>
      </c>
      <c r="E3" s="117" t="str">
        <f>CONCATENATE('INPUT DATA'!E28)</f>
        <v/>
      </c>
      <c r="F3" s="96" t="s">
        <v>209</v>
      </c>
    </row>
    <row r="4" spans="1:6" ht="13.2" x14ac:dyDescent="0.25">
      <c r="A4" s="95" t="s">
        <v>52</v>
      </c>
      <c r="B4" s="96" t="s">
        <v>53</v>
      </c>
      <c r="C4" s="96" t="str">
        <f>CONCATENATE('INPUT DATA'!E16)</f>
        <v/>
      </c>
      <c r="D4" t="s">
        <v>226</v>
      </c>
      <c r="E4"/>
    </row>
    <row r="5" spans="1:6" ht="13.2" x14ac:dyDescent="0.25">
      <c r="A5" s="95" t="s">
        <v>54</v>
      </c>
      <c r="B5" s="96" t="s">
        <v>55</v>
      </c>
      <c r="C5"/>
      <c r="D5"/>
      <c r="E5"/>
    </row>
    <row r="6" spans="1:6" ht="13.2" x14ac:dyDescent="0.25">
      <c r="A6" s="95" t="s">
        <v>56</v>
      </c>
      <c r="B6" s="96" t="s">
        <v>57</v>
      </c>
      <c r="C6"/>
      <c r="D6"/>
      <c r="E6"/>
    </row>
    <row r="7" spans="1:6" ht="13.2" x14ac:dyDescent="0.25">
      <c r="A7" s="95" t="s">
        <v>58</v>
      </c>
      <c r="B7" s="96" t="s">
        <v>190</v>
      </c>
      <c r="C7"/>
      <c r="D7"/>
      <c r="E7"/>
    </row>
    <row r="8" spans="1:6" ht="13.2" x14ac:dyDescent="0.25">
      <c r="A8" s="95" t="s">
        <v>59</v>
      </c>
      <c r="B8" s="96" t="s">
        <v>60</v>
      </c>
      <c r="C8"/>
      <c r="D8"/>
      <c r="E8"/>
    </row>
    <row r="9" spans="1:6" x14ac:dyDescent="0.25">
      <c r="A9" s="95" t="s">
        <v>61</v>
      </c>
      <c r="B9" s="96" t="s">
        <v>62</v>
      </c>
    </row>
    <row r="10" spans="1:6" x14ac:dyDescent="0.25">
      <c r="A10" s="95" t="s">
        <v>45</v>
      </c>
      <c r="B10" s="96" t="s">
        <v>43</v>
      </c>
    </row>
    <row r="11" spans="1:6" x14ac:dyDescent="0.25">
      <c r="A11" s="95" t="s">
        <v>63</v>
      </c>
      <c r="B11" s="96" t="s">
        <v>64</v>
      </c>
    </row>
    <row r="12" spans="1:6" x14ac:dyDescent="0.25">
      <c r="A12" s="95" t="s">
        <v>65</v>
      </c>
      <c r="B12" s="96" t="s">
        <v>66</v>
      </c>
    </row>
    <row r="13" spans="1:6" x14ac:dyDescent="0.25">
      <c r="A13" s="95" t="s">
        <v>67</v>
      </c>
      <c r="B13" s="96" t="s">
        <v>68</v>
      </c>
    </row>
    <row r="14" spans="1:6" x14ac:dyDescent="0.25">
      <c r="A14" s="95" t="s">
        <v>89</v>
      </c>
    </row>
    <row r="15" spans="1:6" x14ac:dyDescent="0.25">
      <c r="A15" s="95" t="s">
        <v>90</v>
      </c>
    </row>
    <row r="16" spans="1:6" x14ac:dyDescent="0.25">
      <c r="A16" s="95" t="s">
        <v>91</v>
      </c>
    </row>
    <row r="17" spans="1:1" x14ac:dyDescent="0.25">
      <c r="A17" s="95" t="s">
        <v>92</v>
      </c>
    </row>
    <row r="18" spans="1:1" x14ac:dyDescent="0.25">
      <c r="A18" s="95" t="s">
        <v>93</v>
      </c>
    </row>
    <row r="19" spans="1:1" x14ac:dyDescent="0.25">
      <c r="A19" s="95" t="s">
        <v>94</v>
      </c>
    </row>
    <row r="20" spans="1:1" x14ac:dyDescent="0.25">
      <c r="A20" s="95" t="s">
        <v>95</v>
      </c>
    </row>
    <row r="21" spans="1:1" x14ac:dyDescent="0.25">
      <c r="A21" s="95" t="s">
        <v>96</v>
      </c>
    </row>
    <row r="22" spans="1:1" x14ac:dyDescent="0.25">
      <c r="A22" s="95" t="s">
        <v>81</v>
      </c>
    </row>
    <row r="23" spans="1:1" x14ac:dyDescent="0.25">
      <c r="A23" s="95" t="s">
        <v>97</v>
      </c>
    </row>
    <row r="24" spans="1:1" x14ac:dyDescent="0.25">
      <c r="A24" s="95" t="s">
        <v>98</v>
      </c>
    </row>
    <row r="25" spans="1:1" x14ac:dyDescent="0.25">
      <c r="A25" s="95" t="s">
        <v>82</v>
      </c>
    </row>
    <row r="26" spans="1:1" x14ac:dyDescent="0.25">
      <c r="A26" s="95" t="s">
        <v>99</v>
      </c>
    </row>
    <row r="27" spans="1:1" x14ac:dyDescent="0.25">
      <c r="A27" s="95" t="s">
        <v>84</v>
      </c>
    </row>
    <row r="28" spans="1:1" x14ac:dyDescent="0.25">
      <c r="A28" s="95" t="s">
        <v>83</v>
      </c>
    </row>
    <row r="29" spans="1:1" x14ac:dyDescent="0.25">
      <c r="A29" s="95" t="s">
        <v>100</v>
      </c>
    </row>
    <row r="30" spans="1:1" x14ac:dyDescent="0.25">
      <c r="A30" s="95" t="s">
        <v>101</v>
      </c>
    </row>
    <row r="31" spans="1:1" x14ac:dyDescent="0.25">
      <c r="A31" s="95" t="s">
        <v>102</v>
      </c>
    </row>
    <row r="32" spans="1:1" x14ac:dyDescent="0.25">
      <c r="A32" s="95" t="s">
        <v>103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U48"/>
  <sheetViews>
    <sheetView topLeftCell="A19" zoomScale="70" zoomScaleNormal="70" workbookViewId="0">
      <selection activeCell="AF14" sqref="AF14"/>
    </sheetView>
  </sheetViews>
  <sheetFormatPr defaultColWidth="9.109375" defaultRowHeight="18" customHeight="1" x14ac:dyDescent="0.25"/>
  <cols>
    <col min="1" max="2" width="20.5546875" style="12" customWidth="1"/>
    <col min="3" max="3" width="10.5546875" style="12" customWidth="1"/>
    <col min="4" max="4" width="14.6640625" style="12" customWidth="1"/>
    <col min="5" max="5" width="15.5546875" style="12" customWidth="1"/>
    <col min="6" max="6" width="4.33203125" style="12" customWidth="1"/>
    <col min="7" max="8" width="20.5546875" style="12" customWidth="1"/>
    <col min="9" max="9" width="10.5546875" style="12" customWidth="1"/>
    <col min="10" max="11" width="15.5546875" style="12" customWidth="1"/>
    <col min="12" max="12" width="4.5546875" style="12" customWidth="1"/>
    <col min="13" max="14" width="20.5546875" style="12" customWidth="1"/>
    <col min="15" max="15" width="10.5546875" style="12" customWidth="1"/>
    <col min="16" max="17" width="15.5546875" style="12" customWidth="1"/>
    <col min="18" max="18" width="5.109375" style="12" customWidth="1"/>
    <col min="19" max="20" width="20.5546875" style="12" customWidth="1"/>
    <col min="21" max="21" width="10.5546875" style="12" customWidth="1"/>
    <col min="22" max="23" width="15.5546875" style="12" customWidth="1"/>
    <col min="24" max="24" width="5.109375" style="12" customWidth="1"/>
    <col min="25" max="26" width="20.5546875" style="12" customWidth="1"/>
    <col min="27" max="27" width="10.5546875" style="12" customWidth="1"/>
    <col min="28" max="29" width="15.5546875" style="12" customWidth="1"/>
    <col min="30" max="30" width="5.109375" style="12" customWidth="1"/>
    <col min="31" max="45" width="10.5546875" style="12" customWidth="1"/>
    <col min="46" max="51" width="15.5546875" style="12" customWidth="1"/>
    <col min="52" max="16384" width="9.109375" style="12"/>
  </cols>
  <sheetData>
    <row r="1" spans="1:47" s="1" customFormat="1" ht="18" customHeight="1" x14ac:dyDescent="0.25">
      <c r="A1" s="111" t="s">
        <v>193</v>
      </c>
      <c r="B1" s="263" t="s">
        <v>194</v>
      </c>
      <c r="C1" s="264"/>
      <c r="D1"/>
      <c r="E1"/>
      <c r="F1"/>
      <c r="G1" s="111" t="s">
        <v>193</v>
      </c>
      <c r="H1" s="263" t="s">
        <v>194</v>
      </c>
      <c r="I1" s="264"/>
      <c r="J1"/>
      <c r="K1"/>
      <c r="L1" s="12"/>
      <c r="M1" s="111" t="s">
        <v>193</v>
      </c>
      <c r="N1" s="263" t="s">
        <v>194</v>
      </c>
      <c r="O1" s="264"/>
      <c r="P1"/>
      <c r="Q1"/>
      <c r="R1" s="12"/>
      <c r="S1" s="111" t="s">
        <v>193</v>
      </c>
      <c r="T1" s="263" t="s">
        <v>194</v>
      </c>
      <c r="U1" s="264"/>
      <c r="V1"/>
      <c r="W1"/>
      <c r="X1" s="12"/>
      <c r="Y1" s="111" t="s">
        <v>193</v>
      </c>
      <c r="Z1" s="263" t="s">
        <v>194</v>
      </c>
      <c r="AA1" s="264"/>
      <c r="AB1"/>
      <c r="AC1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" customFormat="1" ht="18" customHeight="1" x14ac:dyDescent="0.25">
      <c r="A2" s="111" t="s">
        <v>85</v>
      </c>
      <c r="B2" s="263" t="s">
        <v>195</v>
      </c>
      <c r="C2" s="264"/>
      <c r="D2"/>
      <c r="E2"/>
      <c r="F2"/>
      <c r="G2" s="111" t="s">
        <v>85</v>
      </c>
      <c r="H2" s="263" t="s">
        <v>195</v>
      </c>
      <c r="I2" s="264"/>
      <c r="J2"/>
      <c r="K2"/>
      <c r="L2" s="12"/>
      <c r="M2" s="111" t="s">
        <v>85</v>
      </c>
      <c r="N2" s="263" t="s">
        <v>334</v>
      </c>
      <c r="O2" s="264"/>
      <c r="P2"/>
      <c r="Q2"/>
      <c r="R2" s="12"/>
      <c r="S2" s="111" t="s">
        <v>85</v>
      </c>
      <c r="T2" s="263" t="s">
        <v>357</v>
      </c>
      <c r="U2" s="264"/>
      <c r="V2"/>
      <c r="W2"/>
      <c r="X2" s="12"/>
      <c r="Y2" s="111" t="s">
        <v>85</v>
      </c>
      <c r="Z2" s="263" t="s">
        <v>357</v>
      </c>
      <c r="AA2" s="264"/>
      <c r="AB2"/>
      <c r="AC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</row>
    <row r="3" spans="1:47" s="1" customFormat="1" ht="18" customHeight="1" x14ac:dyDescent="0.25">
      <c r="A3" s="111" t="s">
        <v>196</v>
      </c>
      <c r="B3" s="263" t="s">
        <v>355</v>
      </c>
      <c r="C3" s="264"/>
      <c r="D3"/>
      <c r="E3"/>
      <c r="F3"/>
      <c r="G3" s="111" t="s">
        <v>196</v>
      </c>
      <c r="H3" s="263" t="s">
        <v>339</v>
      </c>
      <c r="I3" s="264"/>
      <c r="J3"/>
      <c r="K3"/>
      <c r="L3" s="12"/>
      <c r="M3" s="111" t="s">
        <v>196</v>
      </c>
      <c r="N3" s="263" t="s">
        <v>354</v>
      </c>
      <c r="O3" s="264"/>
      <c r="P3"/>
      <c r="Q3"/>
      <c r="R3" s="12"/>
      <c r="S3" s="111" t="s">
        <v>196</v>
      </c>
      <c r="T3" s="263" t="s">
        <v>381</v>
      </c>
      <c r="U3" s="264"/>
      <c r="V3"/>
      <c r="W3"/>
      <c r="X3" s="12"/>
      <c r="Y3" s="111" t="s">
        <v>196</v>
      </c>
      <c r="Z3" s="263" t="s">
        <v>400</v>
      </c>
      <c r="AA3" s="264"/>
      <c r="AB3"/>
      <c r="AC3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</row>
    <row r="4" spans="1:47" s="1" customFormat="1" ht="18" customHeight="1" x14ac:dyDescent="0.25">
      <c r="A4" s="111" t="s">
        <v>105</v>
      </c>
      <c r="B4" s="263" t="s">
        <v>340</v>
      </c>
      <c r="C4" s="264"/>
      <c r="D4"/>
      <c r="E4"/>
      <c r="F4"/>
      <c r="G4" s="111" t="s">
        <v>105</v>
      </c>
      <c r="H4" s="263" t="s">
        <v>340</v>
      </c>
      <c r="I4" s="264"/>
      <c r="J4"/>
      <c r="K4"/>
      <c r="L4" s="12"/>
      <c r="M4" s="111" t="s">
        <v>105</v>
      </c>
      <c r="N4" s="263">
        <v>24098029</v>
      </c>
      <c r="O4" s="264"/>
      <c r="P4"/>
      <c r="Q4"/>
      <c r="R4" s="12"/>
      <c r="S4" s="111" t="s">
        <v>105</v>
      </c>
      <c r="T4" s="263" t="s">
        <v>358</v>
      </c>
      <c r="U4" s="264"/>
      <c r="V4"/>
      <c r="W4"/>
      <c r="X4" s="12"/>
      <c r="Y4" s="111" t="s">
        <v>105</v>
      </c>
      <c r="Z4" s="263" t="s">
        <v>401</v>
      </c>
      <c r="AA4" s="264"/>
      <c r="AB4"/>
      <c r="AC4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</row>
    <row r="5" spans="1:47" s="1" customFormat="1" ht="18" customHeight="1" x14ac:dyDescent="0.25">
      <c r="A5" s="111" t="s">
        <v>359</v>
      </c>
      <c r="B5" s="255" t="s">
        <v>360</v>
      </c>
      <c r="C5" s="256"/>
      <c r="D5"/>
      <c r="E5"/>
      <c r="F5"/>
      <c r="G5" s="111" t="s">
        <v>359</v>
      </c>
      <c r="H5" s="255" t="s">
        <v>361</v>
      </c>
      <c r="I5" s="256"/>
      <c r="J5"/>
      <c r="K5"/>
      <c r="L5" s="12"/>
      <c r="M5" s="111" t="s">
        <v>359</v>
      </c>
      <c r="N5" s="255" t="s">
        <v>362</v>
      </c>
      <c r="O5" s="256"/>
      <c r="P5"/>
      <c r="Q5"/>
      <c r="R5" s="12"/>
      <c r="S5" s="111" t="s">
        <v>359</v>
      </c>
      <c r="T5" s="255" t="s">
        <v>363</v>
      </c>
      <c r="U5" s="256"/>
      <c r="V5"/>
      <c r="W5"/>
      <c r="X5" s="12"/>
      <c r="Y5" s="111" t="s">
        <v>359</v>
      </c>
      <c r="Z5" s="255" t="s">
        <v>402</v>
      </c>
      <c r="AA5" s="256"/>
      <c r="AB5"/>
      <c r="AC5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</row>
    <row r="6" spans="1:47" s="1" customFormat="1" ht="18" customHeight="1" x14ac:dyDescent="0.25">
      <c r="A6" s="111" t="s">
        <v>87</v>
      </c>
      <c r="B6" s="257" t="s">
        <v>341</v>
      </c>
      <c r="C6" s="258"/>
      <c r="D6"/>
      <c r="E6"/>
      <c r="F6"/>
      <c r="G6" s="111" t="s">
        <v>87</v>
      </c>
      <c r="H6" s="257" t="s">
        <v>341</v>
      </c>
      <c r="I6" s="258"/>
      <c r="J6"/>
      <c r="K6"/>
      <c r="L6" s="12"/>
      <c r="M6" s="111" t="s">
        <v>87</v>
      </c>
      <c r="N6" s="257" t="s">
        <v>388</v>
      </c>
      <c r="O6" s="258"/>
      <c r="P6"/>
      <c r="Q6"/>
      <c r="R6" s="12"/>
      <c r="S6" s="111" t="s">
        <v>87</v>
      </c>
      <c r="T6" s="257" t="s">
        <v>390</v>
      </c>
      <c r="U6" s="258"/>
      <c r="V6"/>
      <c r="W6"/>
      <c r="X6" s="12"/>
      <c r="Y6" s="111" t="s">
        <v>87</v>
      </c>
      <c r="Z6" s="257" t="s">
        <v>403</v>
      </c>
      <c r="AA6" s="258"/>
      <c r="AB6"/>
      <c r="AC6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</row>
    <row r="7" spans="1:47" s="1" customFormat="1" ht="18" customHeight="1" x14ac:dyDescent="0.25">
      <c r="A7" s="111" t="s">
        <v>86</v>
      </c>
      <c r="B7" s="259">
        <v>45783</v>
      </c>
      <c r="C7" s="258"/>
      <c r="D7"/>
      <c r="E7"/>
      <c r="F7"/>
      <c r="G7" s="111" t="s">
        <v>86</v>
      </c>
      <c r="H7" s="259" t="s">
        <v>387</v>
      </c>
      <c r="I7" s="258"/>
      <c r="J7"/>
      <c r="K7"/>
      <c r="L7" s="12"/>
      <c r="M7" s="111" t="s">
        <v>86</v>
      </c>
      <c r="N7" s="259">
        <v>45842</v>
      </c>
      <c r="O7" s="258"/>
      <c r="P7"/>
      <c r="Q7"/>
      <c r="R7" s="12"/>
      <c r="S7" s="111" t="s">
        <v>86</v>
      </c>
      <c r="T7" s="259">
        <v>45881</v>
      </c>
      <c r="U7" s="258"/>
      <c r="V7"/>
      <c r="W7"/>
      <c r="X7" s="12"/>
      <c r="Y7" s="111" t="s">
        <v>86</v>
      </c>
      <c r="Z7" s="259" t="s">
        <v>404</v>
      </c>
      <c r="AA7" s="258"/>
      <c r="AB7"/>
      <c r="AC7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</row>
    <row r="8" spans="1:47" ht="18" customHeight="1" x14ac:dyDescent="0.25">
      <c r="A8"/>
      <c r="B8"/>
      <c r="C8"/>
      <c r="D8"/>
      <c r="E8"/>
      <c r="F8"/>
      <c r="J8"/>
      <c r="K8"/>
      <c r="M8" s="233" t="s">
        <v>356</v>
      </c>
      <c r="P8"/>
      <c r="Q8"/>
      <c r="V8"/>
      <c r="W8"/>
      <c r="AB8"/>
      <c r="AC8"/>
    </row>
    <row r="9" spans="1:47" ht="18" customHeight="1" x14ac:dyDescent="0.25">
      <c r="A9" s="112" t="s">
        <v>198</v>
      </c>
      <c r="B9" s="110" t="s">
        <v>214</v>
      </c>
      <c r="C9" s="110" t="s">
        <v>7</v>
      </c>
      <c r="D9" s="110" t="s">
        <v>197</v>
      </c>
      <c r="E9" s="110" t="s">
        <v>197</v>
      </c>
      <c r="G9" s="112" t="s">
        <v>198</v>
      </c>
      <c r="H9" s="110" t="s">
        <v>214</v>
      </c>
      <c r="I9" s="110" t="s">
        <v>7</v>
      </c>
      <c r="J9" s="110" t="s">
        <v>197</v>
      </c>
      <c r="K9" s="110" t="s">
        <v>197</v>
      </c>
      <c r="M9" s="112" t="s">
        <v>198</v>
      </c>
      <c r="N9" s="110" t="s">
        <v>214</v>
      </c>
      <c r="O9" s="110" t="s">
        <v>7</v>
      </c>
      <c r="P9" s="110" t="s">
        <v>197</v>
      </c>
      <c r="Q9" s="110" t="s">
        <v>197</v>
      </c>
      <c r="S9" s="112" t="s">
        <v>198</v>
      </c>
      <c r="T9" s="110" t="s">
        <v>214</v>
      </c>
      <c r="U9" s="110" t="s">
        <v>7</v>
      </c>
      <c r="V9" s="110" t="s">
        <v>197</v>
      </c>
      <c r="W9" s="110" t="s">
        <v>197</v>
      </c>
      <c r="Y9" s="112" t="s">
        <v>198</v>
      </c>
      <c r="Z9" s="110" t="s">
        <v>214</v>
      </c>
      <c r="AA9" s="110" t="s">
        <v>7</v>
      </c>
      <c r="AB9" s="110" t="s">
        <v>197</v>
      </c>
      <c r="AC9" s="110" t="s">
        <v>197</v>
      </c>
    </row>
    <row r="10" spans="1:47" ht="18" customHeight="1" x14ac:dyDescent="0.25">
      <c r="A10" s="113" t="s">
        <v>160</v>
      </c>
      <c r="B10" s="113" t="s">
        <v>160</v>
      </c>
      <c r="C10" s="113" t="s">
        <v>160</v>
      </c>
      <c r="D10" s="113" t="s">
        <v>160</v>
      </c>
      <c r="E10" s="110" t="s">
        <v>303</v>
      </c>
      <c r="G10" s="113" t="s">
        <v>160</v>
      </c>
      <c r="H10" s="113" t="s">
        <v>160</v>
      </c>
      <c r="I10" s="113" t="s">
        <v>160</v>
      </c>
      <c r="J10" s="113" t="s">
        <v>160</v>
      </c>
      <c r="K10" s="110" t="s">
        <v>303</v>
      </c>
      <c r="M10" s="113" t="s">
        <v>160</v>
      </c>
      <c r="N10" s="113" t="s">
        <v>160</v>
      </c>
      <c r="O10" s="113" t="s">
        <v>160</v>
      </c>
      <c r="P10" s="113" t="s">
        <v>160</v>
      </c>
      <c r="Q10" s="110" t="s">
        <v>303</v>
      </c>
      <c r="S10" s="113" t="s">
        <v>160</v>
      </c>
      <c r="T10" s="113" t="s">
        <v>160</v>
      </c>
      <c r="U10" s="113" t="s">
        <v>160</v>
      </c>
      <c r="V10" s="113" t="s">
        <v>160</v>
      </c>
      <c r="W10" s="110" t="s">
        <v>303</v>
      </c>
      <c r="Y10" s="113" t="s">
        <v>160</v>
      </c>
      <c r="Z10" s="113" t="s">
        <v>160</v>
      </c>
      <c r="AA10" s="113" t="s">
        <v>160</v>
      </c>
      <c r="AB10" s="113" t="s">
        <v>160</v>
      </c>
      <c r="AC10" s="110" t="s">
        <v>303</v>
      </c>
    </row>
    <row r="11" spans="1:47" ht="18" customHeight="1" x14ac:dyDescent="0.25">
      <c r="A11" s="121">
        <v>-30.04</v>
      </c>
      <c r="B11" s="121">
        <v>-30.14</v>
      </c>
      <c r="C11" s="121">
        <f>A11-B11</f>
        <v>0.10000000000000142</v>
      </c>
      <c r="D11" s="122">
        <v>0.03</v>
      </c>
      <c r="E11" s="122">
        <v>0.03</v>
      </c>
      <c r="G11" s="121">
        <v>-25.03</v>
      </c>
      <c r="H11" s="121">
        <v>-25.36</v>
      </c>
      <c r="I11" s="121">
        <f>G11-H11</f>
        <v>0.32999999999999829</v>
      </c>
      <c r="J11" s="122">
        <v>0.09</v>
      </c>
      <c r="K11" s="122">
        <v>0.09</v>
      </c>
      <c r="M11" s="121">
        <v>-24.07</v>
      </c>
      <c r="N11" s="121">
        <v>-24.1</v>
      </c>
      <c r="O11" s="121">
        <f>M11-N11</f>
        <v>3.0000000000001137E-2</v>
      </c>
      <c r="P11" s="122">
        <v>0.5</v>
      </c>
      <c r="Q11" s="122">
        <v>0.5</v>
      </c>
      <c r="S11" s="121">
        <v>50.682000000000002</v>
      </c>
      <c r="T11" s="121">
        <v>50</v>
      </c>
      <c r="U11" s="121">
        <f>S11-T11</f>
        <v>0.68200000000000216</v>
      </c>
      <c r="V11" s="236">
        <v>1.2</v>
      </c>
      <c r="W11" s="236">
        <v>1.2</v>
      </c>
      <c r="Y11" s="219">
        <v>-29.82</v>
      </c>
      <c r="Z11" s="121">
        <v>-30</v>
      </c>
      <c r="AA11" s="219">
        <f>Y11-Z11</f>
        <v>0.17999999999999972</v>
      </c>
      <c r="AB11" s="242">
        <v>5.0999999999999997E-2</v>
      </c>
      <c r="AC11" s="242">
        <v>5.0999999999999997E-2</v>
      </c>
    </row>
    <row r="12" spans="1:47" ht="18" customHeight="1" x14ac:dyDescent="0.25">
      <c r="A12" s="122">
        <v>0</v>
      </c>
      <c r="B12" s="122">
        <v>0.04</v>
      </c>
      <c r="C12" s="122">
        <f>A12-B12</f>
        <v>-0.04</v>
      </c>
      <c r="D12" s="122">
        <v>0.03</v>
      </c>
      <c r="E12" s="122">
        <v>0.03</v>
      </c>
      <c r="G12" s="122">
        <v>0</v>
      </c>
      <c r="H12" s="122">
        <v>-0.27</v>
      </c>
      <c r="I12" s="122">
        <f>G12-H12</f>
        <v>0.27</v>
      </c>
      <c r="J12" s="122">
        <v>0.09</v>
      </c>
      <c r="K12" s="122">
        <v>0.09</v>
      </c>
      <c r="M12" s="122">
        <v>0.06</v>
      </c>
      <c r="N12" s="122">
        <v>0.18</v>
      </c>
      <c r="O12" s="122">
        <f>M12-N12</f>
        <v>-0.12</v>
      </c>
      <c r="P12" s="122">
        <v>0.5</v>
      </c>
      <c r="Q12" s="122">
        <v>0.5</v>
      </c>
      <c r="S12" s="122">
        <v>100.577</v>
      </c>
      <c r="T12" s="122">
        <v>99</v>
      </c>
      <c r="U12" s="122">
        <f>S12-T12</f>
        <v>1.5769999999999982</v>
      </c>
      <c r="V12" s="236">
        <v>1.2</v>
      </c>
      <c r="W12" s="236">
        <v>1.2</v>
      </c>
      <c r="Y12" s="242">
        <v>7.9000000000000001E-2</v>
      </c>
      <c r="Z12" s="122">
        <v>0</v>
      </c>
      <c r="AA12" s="242">
        <f>Y12-Z12</f>
        <v>7.9000000000000001E-2</v>
      </c>
      <c r="AB12" s="242">
        <v>5.0999999999999997E-2</v>
      </c>
      <c r="AC12" s="242">
        <v>5.0999999999999997E-2</v>
      </c>
    </row>
    <row r="13" spans="1:47" ht="18" customHeight="1" x14ac:dyDescent="0.25">
      <c r="A13" s="122">
        <v>75.05</v>
      </c>
      <c r="B13" s="122">
        <v>75.069999999999993</v>
      </c>
      <c r="C13" s="122">
        <f t="shared" ref="C13:C16" si="0">A13-B13</f>
        <v>-1.9999999999996021E-2</v>
      </c>
      <c r="D13" s="122">
        <v>0.03</v>
      </c>
      <c r="E13" s="122">
        <v>0.03</v>
      </c>
      <c r="G13" s="122">
        <v>49.94</v>
      </c>
      <c r="H13" s="122">
        <v>49.67</v>
      </c>
      <c r="I13" s="122">
        <f t="shared" ref="I13:I18" si="1">G13-H13</f>
        <v>0.26999999999999602</v>
      </c>
      <c r="J13" s="122">
        <v>0.09</v>
      </c>
      <c r="K13" s="122">
        <v>0.09</v>
      </c>
      <c r="M13" s="122">
        <v>49.95</v>
      </c>
      <c r="N13" s="122">
        <v>49.84</v>
      </c>
      <c r="O13" s="122">
        <f t="shared" ref="O13:O16" si="2">M13-N13</f>
        <v>0.10999999999999943</v>
      </c>
      <c r="P13" s="122">
        <v>0.5</v>
      </c>
      <c r="Q13" s="122">
        <v>0.5</v>
      </c>
      <c r="S13" s="122">
        <v>198.70400000000001</v>
      </c>
      <c r="T13" s="122">
        <v>194.2</v>
      </c>
      <c r="U13" s="122">
        <f t="shared" ref="U13:U16" si="3">S13-T13</f>
        <v>4.5040000000000191</v>
      </c>
      <c r="V13" s="236">
        <v>1.2</v>
      </c>
      <c r="W13" s="236">
        <v>1.2</v>
      </c>
      <c r="Y13" s="242">
        <v>50.003999999999998</v>
      </c>
      <c r="Z13" s="122">
        <v>50</v>
      </c>
      <c r="AA13" s="242">
        <f t="shared" ref="AA13:AA16" si="4">Y13-Z13</f>
        <v>3.9999999999977831E-3</v>
      </c>
      <c r="AB13" s="242">
        <v>4.9000000000000002E-2</v>
      </c>
      <c r="AC13" s="242">
        <v>4.9000000000000002E-2</v>
      </c>
    </row>
    <row r="14" spans="1:47" ht="18" customHeight="1" x14ac:dyDescent="0.25">
      <c r="A14" s="122">
        <v>149.88</v>
      </c>
      <c r="B14" s="122">
        <v>149.91</v>
      </c>
      <c r="C14" s="122">
        <f t="shared" si="0"/>
        <v>-3.0000000000001137E-2</v>
      </c>
      <c r="D14" s="122">
        <v>0.03</v>
      </c>
      <c r="E14" s="122">
        <v>0.03</v>
      </c>
      <c r="G14" s="122">
        <v>150</v>
      </c>
      <c r="H14" s="122">
        <v>149.47999999999999</v>
      </c>
      <c r="I14" s="122">
        <f t="shared" si="1"/>
        <v>0.52000000000001023</v>
      </c>
      <c r="J14" s="122">
        <v>0.09</v>
      </c>
      <c r="K14" s="122">
        <v>0.09</v>
      </c>
      <c r="L14" s="1"/>
      <c r="M14" s="122">
        <v>99.82</v>
      </c>
      <c r="N14" s="122">
        <v>100.08</v>
      </c>
      <c r="O14" s="122">
        <f t="shared" si="2"/>
        <v>-0.26000000000000512</v>
      </c>
      <c r="P14" s="122">
        <v>0.5</v>
      </c>
      <c r="Q14" s="122">
        <v>0.5</v>
      </c>
      <c r="R14" s="1"/>
      <c r="S14" s="122">
        <v>298.05599999999998</v>
      </c>
      <c r="T14" s="122">
        <v>289.39999999999998</v>
      </c>
      <c r="U14" s="122">
        <f t="shared" si="3"/>
        <v>8.6560000000000059</v>
      </c>
      <c r="V14" s="236">
        <v>1.2</v>
      </c>
      <c r="W14" s="236">
        <v>1.2</v>
      </c>
      <c r="X14" s="1"/>
      <c r="Y14" s="242">
        <v>100.02200000000001</v>
      </c>
      <c r="Z14" s="122">
        <v>100</v>
      </c>
      <c r="AA14" s="242">
        <f t="shared" si="4"/>
        <v>2.2000000000005571E-2</v>
      </c>
      <c r="AB14" s="242">
        <v>4.9000000000000002E-2</v>
      </c>
      <c r="AC14" s="242">
        <v>4.9000000000000002E-2</v>
      </c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ht="18" customHeight="1" x14ac:dyDescent="0.25">
      <c r="A15" s="122">
        <v>200.16</v>
      </c>
      <c r="B15" s="122">
        <v>200.2</v>
      </c>
      <c r="C15" s="122">
        <f t="shared" si="0"/>
        <v>-3.9999999999992042E-2</v>
      </c>
      <c r="D15" s="122">
        <v>0.03</v>
      </c>
      <c r="E15" s="122">
        <v>0.03</v>
      </c>
      <c r="G15" s="122">
        <v>250.02</v>
      </c>
      <c r="H15" s="122">
        <v>248.67</v>
      </c>
      <c r="I15" s="122">
        <f t="shared" si="1"/>
        <v>1.3500000000000227</v>
      </c>
      <c r="J15" s="122">
        <v>0.09</v>
      </c>
      <c r="K15" s="122">
        <v>0.09</v>
      </c>
      <c r="L15" s="1"/>
      <c r="M15" s="122">
        <v>149.25</v>
      </c>
      <c r="N15" s="122">
        <v>149.69</v>
      </c>
      <c r="O15" s="122">
        <f t="shared" si="2"/>
        <v>-0.43999999999999773</v>
      </c>
      <c r="P15" s="122">
        <v>0.5</v>
      </c>
      <c r="Q15" s="122">
        <v>0.5</v>
      </c>
      <c r="R15" s="1"/>
      <c r="S15" s="122">
        <v>397.77300000000002</v>
      </c>
      <c r="T15" s="122">
        <v>384.4</v>
      </c>
      <c r="U15" s="122">
        <f t="shared" si="3"/>
        <v>13.373000000000047</v>
      </c>
      <c r="V15" s="236">
        <v>1.2</v>
      </c>
      <c r="W15" s="236">
        <v>1.2</v>
      </c>
      <c r="X15" s="1"/>
      <c r="Y15" s="242">
        <v>150.10400000000001</v>
      </c>
      <c r="Z15" s="122">
        <v>150</v>
      </c>
      <c r="AA15" s="242">
        <f t="shared" si="4"/>
        <v>0.10400000000001342</v>
      </c>
      <c r="AB15" s="242">
        <v>4.9000000000000002E-2</v>
      </c>
      <c r="AC15" s="242">
        <v>4.9000000000000002E-2</v>
      </c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ht="18" customHeight="1" x14ac:dyDescent="0.25">
      <c r="A16" s="122">
        <v>249.94</v>
      </c>
      <c r="B16" s="122">
        <v>249.99</v>
      </c>
      <c r="C16" s="122">
        <f t="shared" si="0"/>
        <v>-5.0000000000011369E-2</v>
      </c>
      <c r="D16" s="122">
        <v>0.04</v>
      </c>
      <c r="E16" s="122">
        <v>0.04</v>
      </c>
      <c r="G16" s="122">
        <v>350.1</v>
      </c>
      <c r="H16" s="122">
        <v>347.3</v>
      </c>
      <c r="I16" s="122">
        <f t="shared" si="1"/>
        <v>2.8000000000000114</v>
      </c>
      <c r="J16" s="122">
        <v>0.09</v>
      </c>
      <c r="K16" s="122">
        <v>0.09</v>
      </c>
      <c r="L16" s="1"/>
      <c r="M16" s="122">
        <v>199.34</v>
      </c>
      <c r="N16" s="122">
        <v>199.76</v>
      </c>
      <c r="O16" s="122">
        <f t="shared" si="2"/>
        <v>-0.41999999999998749</v>
      </c>
      <c r="P16" s="122">
        <v>0.5</v>
      </c>
      <c r="Q16" s="122">
        <v>0.5</v>
      </c>
      <c r="R16" s="1"/>
      <c r="S16" s="122">
        <v>493.68299999999999</v>
      </c>
      <c r="T16" s="122">
        <v>478.8</v>
      </c>
      <c r="U16" s="122">
        <f t="shared" si="3"/>
        <v>14.882999999999981</v>
      </c>
      <c r="V16" s="236">
        <v>1.2</v>
      </c>
      <c r="W16" s="236">
        <v>1.2</v>
      </c>
      <c r="X16" s="1"/>
      <c r="Y16" s="242">
        <v>200.22200000000001</v>
      </c>
      <c r="Z16" s="122">
        <v>200</v>
      </c>
      <c r="AA16" s="242">
        <f t="shared" si="4"/>
        <v>0.22200000000000841</v>
      </c>
      <c r="AB16" s="242">
        <v>4.9000000000000002E-2</v>
      </c>
      <c r="AC16" s="242">
        <v>4.9000000000000002E-2</v>
      </c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ht="18" customHeight="1" x14ac:dyDescent="0.25">
      <c r="A17" s="108"/>
      <c r="B17" s="108"/>
      <c r="C17" s="108"/>
      <c r="D17" s="108"/>
      <c r="E17" s="108">
        <f>MAX(E11:E16)</f>
        <v>0.04</v>
      </c>
      <c r="G17" s="122">
        <v>500.12</v>
      </c>
      <c r="H17" s="122">
        <v>488.06</v>
      </c>
      <c r="I17" s="122">
        <f t="shared" si="1"/>
        <v>12.060000000000002</v>
      </c>
      <c r="J17" s="122">
        <v>0.09</v>
      </c>
      <c r="K17" s="122">
        <v>0.09</v>
      </c>
      <c r="L17" s="1"/>
      <c r="M17" s="185"/>
      <c r="N17" s="185"/>
      <c r="O17" s="185"/>
      <c r="P17" s="185"/>
      <c r="Q17" s="185">
        <f>MAX(Q11:Q16)</f>
        <v>0.5</v>
      </c>
      <c r="R17" s="1"/>
      <c r="S17" s="185"/>
      <c r="T17" s="185"/>
      <c r="U17" s="185"/>
      <c r="V17" s="185"/>
      <c r="W17" s="237">
        <f>MAX(W11:W16)</f>
        <v>1.2</v>
      </c>
      <c r="X17" s="1"/>
      <c r="Y17" s="185"/>
      <c r="Z17" s="185"/>
      <c r="AA17" s="185"/>
      <c r="AB17" s="185"/>
      <c r="AC17" s="243">
        <f>MAX(AC11:AC16)</f>
        <v>5.0999999999999997E-2</v>
      </c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ht="18" customHeight="1" x14ac:dyDescent="0.25">
      <c r="G18" s="226">
        <v>520.12</v>
      </c>
      <c r="H18" s="226">
        <v>508.06</v>
      </c>
      <c r="I18" s="226">
        <f t="shared" si="1"/>
        <v>12.060000000000002</v>
      </c>
      <c r="J18" s="122">
        <v>0.09</v>
      </c>
      <c r="K18" s="122">
        <v>0.09</v>
      </c>
      <c r="L18" s="1"/>
      <c r="R18" s="1"/>
      <c r="W18" s="185"/>
      <c r="X18" s="1"/>
      <c r="AC18" s="185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ht="18" customHeight="1" x14ac:dyDescent="0.25">
      <c r="G19" s="1"/>
      <c r="H19" s="182"/>
      <c r="I19" s="183"/>
      <c r="J19"/>
      <c r="K19" s="185">
        <f>MAX(K11:K18)</f>
        <v>0.09</v>
      </c>
      <c r="L19" s="1"/>
      <c r="M19" s="1"/>
      <c r="N19" s="182"/>
      <c r="O19" s="183"/>
      <c r="P19"/>
      <c r="Q19" s="1"/>
      <c r="R19" s="1"/>
      <c r="S19" s="1"/>
      <c r="T19" s="182"/>
      <c r="U19" s="183"/>
      <c r="V19"/>
      <c r="W19" s="1"/>
      <c r="X19" s="1"/>
      <c r="Y19" s="1"/>
      <c r="Z19" s="182"/>
      <c r="AA19" s="183"/>
      <c r="AB19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ht="18" customHeight="1" x14ac:dyDescent="0.25">
      <c r="J20"/>
      <c r="P20"/>
      <c r="V20"/>
      <c r="AB20"/>
    </row>
    <row r="21" spans="1:47" ht="17.399999999999999" customHeight="1" x14ac:dyDescent="0.25">
      <c r="A21" s="112" t="s">
        <v>307</v>
      </c>
      <c r="B21" s="110" t="s">
        <v>7</v>
      </c>
      <c r="G21" s="112" t="s">
        <v>307</v>
      </c>
      <c r="H21" s="110" t="s">
        <v>7</v>
      </c>
      <c r="J21" s="181"/>
      <c r="M21" s="112" t="s">
        <v>307</v>
      </c>
      <c r="N21" s="110" t="s">
        <v>7</v>
      </c>
      <c r="P21" s="181"/>
      <c r="S21" s="112" t="s">
        <v>307</v>
      </c>
      <c r="T21" s="110" t="s">
        <v>7</v>
      </c>
      <c r="V21" s="181"/>
      <c r="Y21" s="112" t="s">
        <v>307</v>
      </c>
      <c r="Z21" s="110" t="s">
        <v>7</v>
      </c>
      <c r="AB21" s="181"/>
      <c r="AE21" s="91" t="s">
        <v>360</v>
      </c>
      <c r="AF21" s="91" t="s">
        <v>360</v>
      </c>
      <c r="AG21" s="91" t="s">
        <v>360</v>
      </c>
      <c r="AH21" s="91" t="s">
        <v>361</v>
      </c>
      <c r="AI21" s="91" t="s">
        <v>361</v>
      </c>
      <c r="AJ21" s="91" t="s">
        <v>361</v>
      </c>
      <c r="AK21" s="91" t="s">
        <v>362</v>
      </c>
      <c r="AL21" s="91" t="s">
        <v>362</v>
      </c>
      <c r="AM21" s="91" t="s">
        <v>362</v>
      </c>
      <c r="AN21" s="91" t="s">
        <v>363</v>
      </c>
      <c r="AO21" s="91" t="s">
        <v>363</v>
      </c>
      <c r="AP21" s="91" t="s">
        <v>363</v>
      </c>
      <c r="AQ21" s="91" t="s">
        <v>402</v>
      </c>
      <c r="AR21" s="91" t="s">
        <v>402</v>
      </c>
      <c r="AS21" s="91" t="s">
        <v>402</v>
      </c>
      <c r="AT21" s="91" t="s">
        <v>302</v>
      </c>
    </row>
    <row r="22" spans="1:47" ht="18" customHeight="1" x14ac:dyDescent="0.25">
      <c r="A22" s="113" t="s">
        <v>160</v>
      </c>
      <c r="B22" s="113" t="s">
        <v>160</v>
      </c>
      <c r="G22" s="113" t="s">
        <v>160</v>
      </c>
      <c r="H22" s="113" t="s">
        <v>160</v>
      </c>
      <c r="J22" s="14"/>
      <c r="M22" s="113" t="s">
        <v>160</v>
      </c>
      <c r="N22" s="113" t="s">
        <v>160</v>
      </c>
      <c r="P22" s="14"/>
      <c r="S22" s="113" t="s">
        <v>160</v>
      </c>
      <c r="T22" s="113" t="s">
        <v>160</v>
      </c>
      <c r="V22" s="14"/>
      <c r="Y22" s="113" t="s">
        <v>160</v>
      </c>
      <c r="Z22" s="113" t="s">
        <v>160</v>
      </c>
      <c r="AB22" s="14"/>
      <c r="AE22" s="91" t="s">
        <v>7</v>
      </c>
      <c r="AF22" s="91" t="s">
        <v>7</v>
      </c>
      <c r="AG22" s="91" t="s">
        <v>7</v>
      </c>
      <c r="AH22" s="91" t="s">
        <v>7</v>
      </c>
      <c r="AI22" s="91" t="s">
        <v>7</v>
      </c>
      <c r="AJ22" s="91" t="s">
        <v>7</v>
      </c>
      <c r="AK22" s="91" t="s">
        <v>7</v>
      </c>
      <c r="AL22" s="91" t="s">
        <v>7</v>
      </c>
      <c r="AM22" s="91" t="s">
        <v>7</v>
      </c>
      <c r="AN22" s="91" t="s">
        <v>7</v>
      </c>
      <c r="AO22" s="91" t="s">
        <v>7</v>
      </c>
      <c r="AP22" s="91" t="s">
        <v>7</v>
      </c>
      <c r="AQ22" s="91" t="s">
        <v>7</v>
      </c>
      <c r="AR22" s="91" t="s">
        <v>7</v>
      </c>
      <c r="AS22" s="91" t="s">
        <v>7</v>
      </c>
      <c r="AT22" s="91">
        <f>'INPUT DATA'!V12</f>
        <v>13</v>
      </c>
    </row>
    <row r="23" spans="1:47" ht="18" customHeight="1" x14ac:dyDescent="0.25">
      <c r="A23" s="121">
        <f>IF(ISERROR('INPUT DATA'!L49),"",'INPUT DATA'!L49)</f>
        <v>0</v>
      </c>
      <c r="B23" s="219">
        <f t="shared" ref="B23:B33" ca="1" si="5">IF(A23="","",FORECAST(A23,OFFSET($C$11:$C$16,MATCH(A23,$B$11:$B$16,1)-1,0,2),OFFSET($B$11:$B$16,MATCH(A23,$B$11:$B$16,1)-1,0,2)))</f>
        <v>-3.9814446653412855E-2</v>
      </c>
      <c r="G23" s="121">
        <f>IF(ISERROR('INPUT DATA'!L49),"",'INPUT DATA'!L49)</f>
        <v>0</v>
      </c>
      <c r="H23" s="121">
        <f ca="1">IF(G23="","",FORECAST(G23,OFFSET($I$11:$I$17,MATCH(G23,$H$11:$H$17,1)-1,0,2),OFFSET($H$11:$H$17,MATCH(G23,$H$11:$H$17,1)-1,0,2)))</f>
        <v>0.27</v>
      </c>
      <c r="J23" s="184"/>
      <c r="M23" s="121">
        <f>IF(ISERROR('INPUT DATA'!L49),"",'INPUT DATA'!L49)</f>
        <v>0</v>
      </c>
      <c r="N23" s="121">
        <f ca="1">IF(M23="","",FORECAST(M23,OFFSET($O$11:$O$16,MATCH(M23,$N$11:$N$16,1)-1,0,2),OFFSET($N$11:$N$16,MATCH(M23,$N$11:$N$16,1)-1,0,2)))</f>
        <v>-0.11888797364085667</v>
      </c>
      <c r="P23" s="184"/>
      <c r="S23" s="121">
        <f>IF(ISERROR('INPUT DATA'!L49),"",'INPUT DATA'!L49)</f>
        <v>0</v>
      </c>
      <c r="T23" s="121" t="e">
        <f ca="1">IF(S23="","",FORECAST(S23,OFFSET($U$11:$U$16,MATCH(S23,$T$11:$T$16,1)-1,0,2),OFFSET($T$11:$T$16,MATCH(S23,$T$11:$T$16,1)-1,0,2)))</f>
        <v>#N/A</v>
      </c>
      <c r="V23" s="184"/>
      <c r="Y23" s="121">
        <f>IF(ISERROR('INPUT DATA'!R49),"",'INPUT DATA'!R49)</f>
        <v>0</v>
      </c>
      <c r="Z23" s="121">
        <f ca="1">IF(Y23="","",FORECAST(Y23,OFFSET($AA$11:$AA$16,MATCH(Y23,$Z$11:$Z$16,1)-1,0,2),OFFSET($Z$11:$Z$16,MATCH(Y23,$Z$11:$Z$16,1)-1,0,2)))</f>
        <v>7.9000000000000001E-2</v>
      </c>
      <c r="AB23" s="184"/>
      <c r="AE23" s="122">
        <f ca="1">B23</f>
        <v>-3.9814446653412855E-2</v>
      </c>
      <c r="AF23" s="122">
        <f ca="1">B23</f>
        <v>-3.9814446653412855E-2</v>
      </c>
      <c r="AG23" s="122">
        <f ca="1">B23</f>
        <v>-3.9814446653412855E-2</v>
      </c>
      <c r="AH23" s="122">
        <f ca="1">H23</f>
        <v>0.27</v>
      </c>
      <c r="AI23" s="122">
        <f ca="1">H23</f>
        <v>0.27</v>
      </c>
      <c r="AJ23" s="122">
        <f ca="1">H23</f>
        <v>0.27</v>
      </c>
      <c r="AK23" s="122">
        <f ca="1">N23</f>
        <v>-0.11888797364085667</v>
      </c>
      <c r="AL23" s="122">
        <f ca="1">N23</f>
        <v>-0.11888797364085667</v>
      </c>
      <c r="AM23" s="122">
        <f ca="1">N23</f>
        <v>-0.11888797364085667</v>
      </c>
      <c r="AN23" s="122" t="e">
        <f ca="1">T23</f>
        <v>#N/A</v>
      </c>
      <c r="AO23" s="122" t="e">
        <f ca="1">T23</f>
        <v>#N/A</v>
      </c>
      <c r="AP23" s="122" t="e">
        <f ca="1">T23</f>
        <v>#N/A</v>
      </c>
      <c r="AQ23" s="122">
        <f ca="1">Z23</f>
        <v>7.9000000000000001E-2</v>
      </c>
      <c r="AR23" s="122">
        <f ca="1">Z23</f>
        <v>7.9000000000000001E-2</v>
      </c>
      <c r="AS23" s="122">
        <f ca="1">Z23</f>
        <v>7.9000000000000001E-2</v>
      </c>
      <c r="AT23" s="122">
        <f ca="1">INDEX(AE23:AS23,AT$22)</f>
        <v>7.9000000000000001E-2</v>
      </c>
    </row>
    <row r="24" spans="1:47" ht="18" customHeight="1" x14ac:dyDescent="0.25">
      <c r="A24" s="121">
        <f>IF(ISERROR('INPUT DATA'!L50),"",'INPUT DATA'!L50)</f>
        <v>0</v>
      </c>
      <c r="B24" s="219">
        <f t="shared" ca="1" si="5"/>
        <v>-3.9814446653412855E-2</v>
      </c>
      <c r="G24" s="121">
        <f>IF(ISERROR('INPUT DATA'!L50),"",'INPUT DATA'!L50)</f>
        <v>0</v>
      </c>
      <c r="H24" s="121">
        <f t="shared" ref="H24:H33" ca="1" si="6">IF(G24="","",FORECAST(G24,OFFSET($I$11:$I$17,MATCH(G24,$H$11:$H$17,1)-1,0,2),OFFSET($H$11:$H$17,MATCH(G24,$H$11:$H$17,1)-1,0,2)))</f>
        <v>0.27</v>
      </c>
      <c r="J24" s="184"/>
      <c r="M24" s="121">
        <f>IF(ISERROR('INPUT DATA'!L50),"",'INPUT DATA'!L50)</f>
        <v>0</v>
      </c>
      <c r="N24" s="121">
        <f t="shared" ref="N24:N33" ca="1" si="7">IF(M24="","",FORECAST(M24,OFFSET($O$11:$O$16,MATCH(M24,$N$11:$N$16,1)-1,0,2),OFFSET($N$11:$N$16,MATCH(M24,$N$11:$N$16,1)-1,0,2)))</f>
        <v>-0.11888797364085667</v>
      </c>
      <c r="P24" s="184"/>
      <c r="S24" s="121">
        <f>IF(ISERROR('INPUT DATA'!L50),"",'INPUT DATA'!L50)</f>
        <v>0</v>
      </c>
      <c r="T24" s="121" t="e">
        <f t="shared" ref="T24:T33" ca="1" si="8">IF(S24="","",FORECAST(S24,OFFSET($U$11:$U$16,MATCH(S24,$T$11:$T$16,1)-1,0,2),OFFSET($T$11:$T$16,MATCH(S24,$T$11:$T$16,1)-1,0,2)))</f>
        <v>#N/A</v>
      </c>
      <c r="V24" s="184"/>
      <c r="Y24" s="121">
        <f>IF(ISERROR('INPUT DATA'!R50),"",'INPUT DATA'!R50)</f>
        <v>0</v>
      </c>
      <c r="Z24" s="121">
        <f t="shared" ref="Z24:Z32" ca="1" si="9">IF(Y24="","",FORECAST(Y24,OFFSET($AA$11:$AA$16,MATCH(Y24,$Z$11:$Z$16,1)-1,0,2),OFFSET($Z$11:$Z$16,MATCH(Y24,$Z$11:$Z$16,1)-1,0,2)))</f>
        <v>7.9000000000000001E-2</v>
      </c>
      <c r="AB24" s="184"/>
      <c r="AE24" s="122">
        <f t="shared" ref="AE24:AE33" ca="1" si="10">B24</f>
        <v>-3.9814446653412855E-2</v>
      </c>
      <c r="AF24" s="122">
        <f t="shared" ref="AF24:AF33" ca="1" si="11">B24</f>
        <v>-3.9814446653412855E-2</v>
      </c>
      <c r="AG24" s="122">
        <f t="shared" ref="AG24:AG33" ca="1" si="12">B24</f>
        <v>-3.9814446653412855E-2</v>
      </c>
      <c r="AH24" s="122">
        <f t="shared" ref="AH24:AH33" ca="1" si="13">H24</f>
        <v>0.27</v>
      </c>
      <c r="AI24" s="122">
        <f t="shared" ref="AI24:AI33" ca="1" si="14">H24</f>
        <v>0.27</v>
      </c>
      <c r="AJ24" s="122">
        <f t="shared" ref="AJ24:AJ33" ca="1" si="15">H24</f>
        <v>0.27</v>
      </c>
      <c r="AK24" s="122">
        <f t="shared" ref="AK24:AK33" ca="1" si="16">N24</f>
        <v>-0.11888797364085667</v>
      </c>
      <c r="AL24" s="122">
        <f t="shared" ref="AL24:AL33" ca="1" si="17">N24</f>
        <v>-0.11888797364085667</v>
      </c>
      <c r="AM24" s="122">
        <f t="shared" ref="AM24:AM33" ca="1" si="18">N24</f>
        <v>-0.11888797364085667</v>
      </c>
      <c r="AN24" s="122" t="e">
        <f t="shared" ref="AN24:AN33" ca="1" si="19">T24</f>
        <v>#N/A</v>
      </c>
      <c r="AO24" s="122" t="e">
        <f t="shared" ref="AO24:AO33" ca="1" si="20">T24</f>
        <v>#N/A</v>
      </c>
      <c r="AP24" s="122" t="e">
        <f t="shared" ref="AP24:AP33" ca="1" si="21">T24</f>
        <v>#N/A</v>
      </c>
      <c r="AQ24" s="122">
        <f t="shared" ref="AQ24:AQ33" ca="1" si="22">Z24</f>
        <v>7.9000000000000001E-2</v>
      </c>
      <c r="AR24" s="122">
        <f t="shared" ref="AR24:AR33" ca="1" si="23">Z24</f>
        <v>7.9000000000000001E-2</v>
      </c>
      <c r="AS24" s="122">
        <f t="shared" ref="AS24:AS33" ca="1" si="24">Z24</f>
        <v>7.9000000000000001E-2</v>
      </c>
      <c r="AT24" s="122">
        <f t="shared" ref="AT24:AT33" ca="1" si="25">INDEX(AE24:AS24,AT$22)</f>
        <v>7.9000000000000001E-2</v>
      </c>
    </row>
    <row r="25" spans="1:47" ht="18" customHeight="1" x14ac:dyDescent="0.25">
      <c r="A25" s="121">
        <f>IF(ISERROR('INPUT DATA'!L51),"",'INPUT DATA'!L51)</f>
        <v>0</v>
      </c>
      <c r="B25" s="219">
        <f t="shared" ca="1" si="5"/>
        <v>-3.9814446653412855E-2</v>
      </c>
      <c r="G25" s="121">
        <f>IF(ISERROR('INPUT DATA'!L51),"",'INPUT DATA'!L51)</f>
        <v>0</v>
      </c>
      <c r="H25" s="121">
        <f t="shared" ca="1" si="6"/>
        <v>0.27</v>
      </c>
      <c r="J25" s="184"/>
      <c r="M25" s="121">
        <f>IF(ISERROR('INPUT DATA'!L51),"",'INPUT DATA'!L51)</f>
        <v>0</v>
      </c>
      <c r="N25" s="121">
        <f t="shared" ca="1" si="7"/>
        <v>-0.11888797364085667</v>
      </c>
      <c r="P25" s="184"/>
      <c r="S25" s="121">
        <f>IF(ISERROR('INPUT DATA'!L51),"",'INPUT DATA'!L51)</f>
        <v>0</v>
      </c>
      <c r="T25" s="121" t="e">
        <f t="shared" ca="1" si="8"/>
        <v>#N/A</v>
      </c>
      <c r="V25" s="184"/>
      <c r="Y25" s="121">
        <f>IF(ISERROR('INPUT DATA'!R51),"",'INPUT DATA'!R51)</f>
        <v>0</v>
      </c>
      <c r="Z25" s="121">
        <f t="shared" ca="1" si="9"/>
        <v>7.9000000000000001E-2</v>
      </c>
      <c r="AB25" s="184"/>
      <c r="AE25" s="122">
        <f t="shared" ca="1" si="10"/>
        <v>-3.9814446653412855E-2</v>
      </c>
      <c r="AF25" s="122">
        <f t="shared" ca="1" si="11"/>
        <v>-3.9814446653412855E-2</v>
      </c>
      <c r="AG25" s="122">
        <f t="shared" ca="1" si="12"/>
        <v>-3.9814446653412855E-2</v>
      </c>
      <c r="AH25" s="122">
        <f t="shared" ca="1" si="13"/>
        <v>0.27</v>
      </c>
      <c r="AI25" s="122">
        <f t="shared" ca="1" si="14"/>
        <v>0.27</v>
      </c>
      <c r="AJ25" s="122">
        <f t="shared" ca="1" si="15"/>
        <v>0.27</v>
      </c>
      <c r="AK25" s="122">
        <f t="shared" ca="1" si="16"/>
        <v>-0.11888797364085667</v>
      </c>
      <c r="AL25" s="122">
        <f t="shared" ca="1" si="17"/>
        <v>-0.11888797364085667</v>
      </c>
      <c r="AM25" s="122">
        <f t="shared" ca="1" si="18"/>
        <v>-0.11888797364085667</v>
      </c>
      <c r="AN25" s="122" t="e">
        <f t="shared" ca="1" si="19"/>
        <v>#N/A</v>
      </c>
      <c r="AO25" s="122" t="e">
        <f t="shared" ca="1" si="20"/>
        <v>#N/A</v>
      </c>
      <c r="AP25" s="122" t="e">
        <f t="shared" ca="1" si="21"/>
        <v>#N/A</v>
      </c>
      <c r="AQ25" s="122">
        <f t="shared" ca="1" si="22"/>
        <v>7.9000000000000001E-2</v>
      </c>
      <c r="AR25" s="122">
        <f t="shared" ca="1" si="23"/>
        <v>7.9000000000000001E-2</v>
      </c>
      <c r="AS25" s="122">
        <f t="shared" ca="1" si="24"/>
        <v>7.9000000000000001E-2</v>
      </c>
      <c r="AT25" s="122">
        <f t="shared" ca="1" si="25"/>
        <v>7.9000000000000001E-2</v>
      </c>
    </row>
    <row r="26" spans="1:47" ht="18" customHeight="1" x14ac:dyDescent="0.25">
      <c r="A26" s="121">
        <f>IF(ISERROR('INPUT DATA'!L52),"",'INPUT DATA'!L52)</f>
        <v>0</v>
      </c>
      <c r="B26" s="219">
        <f t="shared" ca="1" si="5"/>
        <v>-3.9814446653412855E-2</v>
      </c>
      <c r="G26" s="121">
        <f>IF(ISERROR('INPUT DATA'!L52),"",'INPUT DATA'!L52)</f>
        <v>0</v>
      </c>
      <c r="H26" s="121">
        <f t="shared" ca="1" si="6"/>
        <v>0.27</v>
      </c>
      <c r="J26" s="184"/>
      <c r="M26" s="121">
        <f>IF(ISERROR('INPUT DATA'!L52),"",'INPUT DATA'!L52)</f>
        <v>0</v>
      </c>
      <c r="N26" s="121">
        <f t="shared" ca="1" si="7"/>
        <v>-0.11888797364085667</v>
      </c>
      <c r="P26" s="184"/>
      <c r="S26" s="121">
        <f>IF(ISERROR('INPUT DATA'!L52),"",'INPUT DATA'!L52)</f>
        <v>0</v>
      </c>
      <c r="T26" s="121" t="e">
        <f t="shared" ca="1" si="8"/>
        <v>#N/A</v>
      </c>
      <c r="V26" s="184"/>
      <c r="Y26" s="121">
        <f>IF(ISERROR('INPUT DATA'!R52),"",'INPUT DATA'!R52)</f>
        <v>0</v>
      </c>
      <c r="Z26" s="121">
        <f t="shared" ca="1" si="9"/>
        <v>7.9000000000000001E-2</v>
      </c>
      <c r="AB26" s="184"/>
      <c r="AE26" s="122">
        <f t="shared" ca="1" si="10"/>
        <v>-3.9814446653412855E-2</v>
      </c>
      <c r="AF26" s="122">
        <f t="shared" ca="1" si="11"/>
        <v>-3.9814446653412855E-2</v>
      </c>
      <c r="AG26" s="122">
        <f t="shared" ca="1" si="12"/>
        <v>-3.9814446653412855E-2</v>
      </c>
      <c r="AH26" s="122">
        <f t="shared" ca="1" si="13"/>
        <v>0.27</v>
      </c>
      <c r="AI26" s="122">
        <f t="shared" ca="1" si="14"/>
        <v>0.27</v>
      </c>
      <c r="AJ26" s="122">
        <f t="shared" ca="1" si="15"/>
        <v>0.27</v>
      </c>
      <c r="AK26" s="122">
        <f t="shared" ca="1" si="16"/>
        <v>-0.11888797364085667</v>
      </c>
      <c r="AL26" s="122">
        <f t="shared" ca="1" si="17"/>
        <v>-0.11888797364085667</v>
      </c>
      <c r="AM26" s="122">
        <f t="shared" ca="1" si="18"/>
        <v>-0.11888797364085667</v>
      </c>
      <c r="AN26" s="122" t="e">
        <f t="shared" ca="1" si="19"/>
        <v>#N/A</v>
      </c>
      <c r="AO26" s="122" t="e">
        <f t="shared" ca="1" si="20"/>
        <v>#N/A</v>
      </c>
      <c r="AP26" s="122" t="e">
        <f t="shared" ca="1" si="21"/>
        <v>#N/A</v>
      </c>
      <c r="AQ26" s="122">
        <f t="shared" ca="1" si="22"/>
        <v>7.9000000000000001E-2</v>
      </c>
      <c r="AR26" s="122">
        <f t="shared" ca="1" si="23"/>
        <v>7.9000000000000001E-2</v>
      </c>
      <c r="AS26" s="122">
        <f t="shared" ca="1" si="24"/>
        <v>7.9000000000000001E-2</v>
      </c>
      <c r="AT26" s="122">
        <f t="shared" ca="1" si="25"/>
        <v>7.9000000000000001E-2</v>
      </c>
    </row>
    <row r="27" spans="1:47" ht="18" customHeight="1" x14ac:dyDescent="0.25">
      <c r="A27" s="121">
        <f>IF(ISERROR('INPUT DATA'!L53),"",'INPUT DATA'!L53)</f>
        <v>0</v>
      </c>
      <c r="B27" s="219">
        <f t="shared" ca="1" si="5"/>
        <v>-3.9814446653412855E-2</v>
      </c>
      <c r="G27" s="121">
        <f>IF(ISERROR('INPUT DATA'!L53),"",'INPUT DATA'!L53)</f>
        <v>0</v>
      </c>
      <c r="H27" s="121">
        <f t="shared" ca="1" si="6"/>
        <v>0.27</v>
      </c>
      <c r="J27" s="184"/>
      <c r="M27" s="121">
        <f>IF(ISERROR('INPUT DATA'!L53),"",'INPUT DATA'!L53)</f>
        <v>0</v>
      </c>
      <c r="N27" s="121">
        <f t="shared" ca="1" si="7"/>
        <v>-0.11888797364085667</v>
      </c>
      <c r="P27" s="184"/>
      <c r="S27" s="121">
        <f>IF(ISERROR('INPUT DATA'!L53),"",'INPUT DATA'!L53)</f>
        <v>0</v>
      </c>
      <c r="T27" s="121" t="e">
        <f t="shared" ca="1" si="8"/>
        <v>#N/A</v>
      </c>
      <c r="V27" s="184"/>
      <c r="Y27" s="121">
        <f>IF(ISERROR('INPUT DATA'!R53),"",'INPUT DATA'!R53)</f>
        <v>0</v>
      </c>
      <c r="Z27" s="121">
        <f t="shared" ca="1" si="9"/>
        <v>7.9000000000000001E-2</v>
      </c>
      <c r="AB27" s="184"/>
      <c r="AE27" s="122">
        <f t="shared" ca="1" si="10"/>
        <v>-3.9814446653412855E-2</v>
      </c>
      <c r="AF27" s="122">
        <f t="shared" ca="1" si="11"/>
        <v>-3.9814446653412855E-2</v>
      </c>
      <c r="AG27" s="122">
        <f t="shared" ca="1" si="12"/>
        <v>-3.9814446653412855E-2</v>
      </c>
      <c r="AH27" s="122">
        <f t="shared" ca="1" si="13"/>
        <v>0.27</v>
      </c>
      <c r="AI27" s="122">
        <f t="shared" ca="1" si="14"/>
        <v>0.27</v>
      </c>
      <c r="AJ27" s="122">
        <f t="shared" ca="1" si="15"/>
        <v>0.27</v>
      </c>
      <c r="AK27" s="122">
        <f t="shared" ca="1" si="16"/>
        <v>-0.11888797364085667</v>
      </c>
      <c r="AL27" s="122">
        <f t="shared" ca="1" si="17"/>
        <v>-0.11888797364085667</v>
      </c>
      <c r="AM27" s="122">
        <f t="shared" ca="1" si="18"/>
        <v>-0.11888797364085667</v>
      </c>
      <c r="AN27" s="122" t="e">
        <f t="shared" ca="1" si="19"/>
        <v>#N/A</v>
      </c>
      <c r="AO27" s="122" t="e">
        <f t="shared" ca="1" si="20"/>
        <v>#N/A</v>
      </c>
      <c r="AP27" s="122" t="e">
        <f t="shared" ca="1" si="21"/>
        <v>#N/A</v>
      </c>
      <c r="AQ27" s="122">
        <f t="shared" ca="1" si="22"/>
        <v>7.9000000000000001E-2</v>
      </c>
      <c r="AR27" s="122">
        <f t="shared" ca="1" si="23"/>
        <v>7.9000000000000001E-2</v>
      </c>
      <c r="AS27" s="122">
        <f t="shared" ca="1" si="24"/>
        <v>7.9000000000000001E-2</v>
      </c>
      <c r="AT27" s="122">
        <f t="shared" ca="1" si="25"/>
        <v>7.9000000000000001E-2</v>
      </c>
    </row>
    <row r="28" spans="1:47" ht="18" customHeight="1" x14ac:dyDescent="0.25">
      <c r="A28" s="121">
        <f>IF(ISERROR('INPUT DATA'!L54),"",'INPUT DATA'!L54)</f>
        <v>0</v>
      </c>
      <c r="B28" s="219">
        <f t="shared" ca="1" si="5"/>
        <v>-3.9814446653412855E-2</v>
      </c>
      <c r="G28" s="121">
        <f>IF(ISERROR('INPUT DATA'!L54),"",'INPUT DATA'!L54)</f>
        <v>0</v>
      </c>
      <c r="H28" s="121">
        <f t="shared" ca="1" si="6"/>
        <v>0.27</v>
      </c>
      <c r="J28" s="184"/>
      <c r="M28" s="121">
        <f>IF(ISERROR('INPUT DATA'!L54),"",'INPUT DATA'!L54)</f>
        <v>0</v>
      </c>
      <c r="N28" s="121">
        <f t="shared" ca="1" si="7"/>
        <v>-0.11888797364085667</v>
      </c>
      <c r="P28" s="184"/>
      <c r="S28" s="121">
        <f>IF(ISERROR('INPUT DATA'!L54),"",'INPUT DATA'!L54)</f>
        <v>0</v>
      </c>
      <c r="T28" s="121" t="e">
        <f t="shared" ca="1" si="8"/>
        <v>#N/A</v>
      </c>
      <c r="V28" s="184"/>
      <c r="Y28" s="121">
        <f>IF(ISERROR('INPUT DATA'!R54),"",'INPUT DATA'!R54)</f>
        <v>0</v>
      </c>
      <c r="Z28" s="121">
        <f t="shared" ca="1" si="9"/>
        <v>7.9000000000000001E-2</v>
      </c>
      <c r="AB28" s="184"/>
      <c r="AE28" s="122">
        <f t="shared" ca="1" si="10"/>
        <v>-3.9814446653412855E-2</v>
      </c>
      <c r="AF28" s="122">
        <f t="shared" ca="1" si="11"/>
        <v>-3.9814446653412855E-2</v>
      </c>
      <c r="AG28" s="122">
        <f t="shared" ca="1" si="12"/>
        <v>-3.9814446653412855E-2</v>
      </c>
      <c r="AH28" s="122">
        <f t="shared" ca="1" si="13"/>
        <v>0.27</v>
      </c>
      <c r="AI28" s="122">
        <f t="shared" ca="1" si="14"/>
        <v>0.27</v>
      </c>
      <c r="AJ28" s="122">
        <f t="shared" ca="1" si="15"/>
        <v>0.27</v>
      </c>
      <c r="AK28" s="122">
        <f t="shared" ca="1" si="16"/>
        <v>-0.11888797364085667</v>
      </c>
      <c r="AL28" s="122">
        <f t="shared" ca="1" si="17"/>
        <v>-0.11888797364085667</v>
      </c>
      <c r="AM28" s="122">
        <f t="shared" ca="1" si="18"/>
        <v>-0.11888797364085667</v>
      </c>
      <c r="AN28" s="122" t="e">
        <f t="shared" ca="1" si="19"/>
        <v>#N/A</v>
      </c>
      <c r="AO28" s="122" t="e">
        <f t="shared" ca="1" si="20"/>
        <v>#N/A</v>
      </c>
      <c r="AP28" s="122" t="e">
        <f t="shared" ca="1" si="21"/>
        <v>#N/A</v>
      </c>
      <c r="AQ28" s="122">
        <f t="shared" ca="1" si="22"/>
        <v>7.9000000000000001E-2</v>
      </c>
      <c r="AR28" s="122">
        <f t="shared" ca="1" si="23"/>
        <v>7.9000000000000001E-2</v>
      </c>
      <c r="AS28" s="122">
        <f t="shared" ca="1" si="24"/>
        <v>7.9000000000000001E-2</v>
      </c>
      <c r="AT28" s="122">
        <f t="shared" ca="1" si="25"/>
        <v>7.9000000000000001E-2</v>
      </c>
    </row>
    <row r="29" spans="1:47" ht="18" customHeight="1" x14ac:dyDescent="0.25">
      <c r="A29" s="121">
        <f>IF(ISERROR('INPUT DATA'!L55),"",'INPUT DATA'!L55)</f>
        <v>0</v>
      </c>
      <c r="B29" s="219">
        <f t="shared" ca="1" si="5"/>
        <v>-3.9814446653412855E-2</v>
      </c>
      <c r="G29" s="121">
        <f>IF(ISERROR('INPUT DATA'!L55),"",'INPUT DATA'!L55)</f>
        <v>0</v>
      </c>
      <c r="H29" s="121">
        <f t="shared" ca="1" si="6"/>
        <v>0.27</v>
      </c>
      <c r="J29" s="184"/>
      <c r="M29" s="121">
        <f>IF(ISERROR('INPUT DATA'!L55),"",'INPUT DATA'!L55)</f>
        <v>0</v>
      </c>
      <c r="N29" s="121">
        <f t="shared" ca="1" si="7"/>
        <v>-0.11888797364085667</v>
      </c>
      <c r="P29" s="184"/>
      <c r="S29" s="121">
        <f>IF(ISERROR('INPUT DATA'!L55),"",'INPUT DATA'!L55)</f>
        <v>0</v>
      </c>
      <c r="T29" s="121" t="e">
        <f t="shared" ca="1" si="8"/>
        <v>#N/A</v>
      </c>
      <c r="V29" s="184"/>
      <c r="Y29" s="121">
        <f>IF(ISERROR('INPUT DATA'!R55),"",'INPUT DATA'!R55)</f>
        <v>0</v>
      </c>
      <c r="Z29" s="121">
        <f t="shared" ca="1" si="9"/>
        <v>7.9000000000000001E-2</v>
      </c>
      <c r="AB29" s="184"/>
      <c r="AE29" s="122">
        <f t="shared" ca="1" si="10"/>
        <v>-3.9814446653412855E-2</v>
      </c>
      <c r="AF29" s="122">
        <f t="shared" ca="1" si="11"/>
        <v>-3.9814446653412855E-2</v>
      </c>
      <c r="AG29" s="122">
        <f t="shared" ca="1" si="12"/>
        <v>-3.9814446653412855E-2</v>
      </c>
      <c r="AH29" s="122">
        <f t="shared" ca="1" si="13"/>
        <v>0.27</v>
      </c>
      <c r="AI29" s="122">
        <f t="shared" ca="1" si="14"/>
        <v>0.27</v>
      </c>
      <c r="AJ29" s="122">
        <f t="shared" ca="1" si="15"/>
        <v>0.27</v>
      </c>
      <c r="AK29" s="122">
        <f t="shared" ca="1" si="16"/>
        <v>-0.11888797364085667</v>
      </c>
      <c r="AL29" s="122">
        <f t="shared" ca="1" si="17"/>
        <v>-0.11888797364085667</v>
      </c>
      <c r="AM29" s="122">
        <f t="shared" ca="1" si="18"/>
        <v>-0.11888797364085667</v>
      </c>
      <c r="AN29" s="122" t="e">
        <f t="shared" ca="1" si="19"/>
        <v>#N/A</v>
      </c>
      <c r="AO29" s="122" t="e">
        <f t="shared" ca="1" si="20"/>
        <v>#N/A</v>
      </c>
      <c r="AP29" s="122" t="e">
        <f t="shared" ca="1" si="21"/>
        <v>#N/A</v>
      </c>
      <c r="AQ29" s="122">
        <f t="shared" ca="1" si="22"/>
        <v>7.9000000000000001E-2</v>
      </c>
      <c r="AR29" s="122">
        <f t="shared" ca="1" si="23"/>
        <v>7.9000000000000001E-2</v>
      </c>
      <c r="AS29" s="122">
        <f t="shared" ca="1" si="24"/>
        <v>7.9000000000000001E-2</v>
      </c>
      <c r="AT29" s="122">
        <f t="shared" ca="1" si="25"/>
        <v>7.9000000000000001E-2</v>
      </c>
    </row>
    <row r="30" spans="1:47" ht="18" customHeight="1" x14ac:dyDescent="0.25">
      <c r="A30" s="121">
        <f>IF(ISERROR('INPUT DATA'!L56),"",'INPUT DATA'!L56)</f>
        <v>0</v>
      </c>
      <c r="B30" s="219">
        <f t="shared" ca="1" si="5"/>
        <v>-3.9814446653412855E-2</v>
      </c>
      <c r="G30" s="121">
        <f>IF(ISERROR('INPUT DATA'!L56),"",'INPUT DATA'!L56)</f>
        <v>0</v>
      </c>
      <c r="H30" s="121">
        <f t="shared" ca="1" si="6"/>
        <v>0.27</v>
      </c>
      <c r="J30" s="184"/>
      <c r="M30" s="121">
        <f>IF(ISERROR('INPUT DATA'!L56),"",'INPUT DATA'!L56)</f>
        <v>0</v>
      </c>
      <c r="N30" s="121">
        <f t="shared" ca="1" si="7"/>
        <v>-0.11888797364085667</v>
      </c>
      <c r="P30" s="184"/>
      <c r="S30" s="121">
        <f>IF(ISERROR('INPUT DATA'!L56),"",'INPUT DATA'!L56)</f>
        <v>0</v>
      </c>
      <c r="T30" s="121" t="e">
        <f t="shared" ca="1" si="8"/>
        <v>#N/A</v>
      </c>
      <c r="V30" s="184"/>
      <c r="Y30" s="121">
        <f>IF(ISERROR('INPUT DATA'!R56),"",'INPUT DATA'!R56)</f>
        <v>0</v>
      </c>
      <c r="Z30" s="121">
        <f t="shared" ca="1" si="9"/>
        <v>7.9000000000000001E-2</v>
      </c>
      <c r="AB30" s="184"/>
      <c r="AE30" s="122">
        <f t="shared" ca="1" si="10"/>
        <v>-3.9814446653412855E-2</v>
      </c>
      <c r="AF30" s="122">
        <f t="shared" ca="1" si="11"/>
        <v>-3.9814446653412855E-2</v>
      </c>
      <c r="AG30" s="122">
        <f t="shared" ca="1" si="12"/>
        <v>-3.9814446653412855E-2</v>
      </c>
      <c r="AH30" s="122">
        <f t="shared" ca="1" si="13"/>
        <v>0.27</v>
      </c>
      <c r="AI30" s="122">
        <f t="shared" ca="1" si="14"/>
        <v>0.27</v>
      </c>
      <c r="AJ30" s="122">
        <f t="shared" ca="1" si="15"/>
        <v>0.27</v>
      </c>
      <c r="AK30" s="122">
        <f t="shared" ca="1" si="16"/>
        <v>-0.11888797364085667</v>
      </c>
      <c r="AL30" s="122">
        <f t="shared" ca="1" si="17"/>
        <v>-0.11888797364085667</v>
      </c>
      <c r="AM30" s="122">
        <f t="shared" ca="1" si="18"/>
        <v>-0.11888797364085667</v>
      </c>
      <c r="AN30" s="122" t="e">
        <f t="shared" ca="1" si="19"/>
        <v>#N/A</v>
      </c>
      <c r="AO30" s="122" t="e">
        <f t="shared" ca="1" si="20"/>
        <v>#N/A</v>
      </c>
      <c r="AP30" s="122" t="e">
        <f t="shared" ca="1" si="21"/>
        <v>#N/A</v>
      </c>
      <c r="AQ30" s="122">
        <f t="shared" ca="1" si="22"/>
        <v>7.9000000000000001E-2</v>
      </c>
      <c r="AR30" s="122">
        <f t="shared" ca="1" si="23"/>
        <v>7.9000000000000001E-2</v>
      </c>
      <c r="AS30" s="122">
        <f t="shared" ca="1" si="24"/>
        <v>7.9000000000000001E-2</v>
      </c>
      <c r="AT30" s="122">
        <f t="shared" ca="1" si="25"/>
        <v>7.9000000000000001E-2</v>
      </c>
    </row>
    <row r="31" spans="1:47" ht="18" customHeight="1" x14ac:dyDescent="0.25">
      <c r="A31" s="121">
        <f>IF(ISERROR('INPUT DATA'!L57),"",'INPUT DATA'!L57)</f>
        <v>0</v>
      </c>
      <c r="B31" s="219">
        <f t="shared" ca="1" si="5"/>
        <v>-3.9814446653412855E-2</v>
      </c>
      <c r="G31" s="121">
        <f>IF(ISERROR('INPUT DATA'!L57),"",'INPUT DATA'!L57)</f>
        <v>0</v>
      </c>
      <c r="H31" s="121">
        <f t="shared" ca="1" si="6"/>
        <v>0.27</v>
      </c>
      <c r="J31" s="184"/>
      <c r="M31" s="121">
        <f>IF(ISERROR('INPUT DATA'!L57),"",'INPUT DATA'!L57)</f>
        <v>0</v>
      </c>
      <c r="N31" s="121">
        <f t="shared" ca="1" si="7"/>
        <v>-0.11888797364085667</v>
      </c>
      <c r="P31" s="184"/>
      <c r="S31" s="121">
        <f>IF(ISERROR('INPUT DATA'!L57),"",'INPUT DATA'!L57)</f>
        <v>0</v>
      </c>
      <c r="T31" s="121" t="e">
        <f t="shared" ca="1" si="8"/>
        <v>#N/A</v>
      </c>
      <c r="V31" s="184"/>
      <c r="Y31" s="121">
        <f>IF(ISERROR('INPUT DATA'!R57),"",'INPUT DATA'!R57)</f>
        <v>0</v>
      </c>
      <c r="Z31" s="121">
        <f t="shared" ca="1" si="9"/>
        <v>7.9000000000000001E-2</v>
      </c>
      <c r="AB31" s="184"/>
      <c r="AE31" s="122">
        <f t="shared" ca="1" si="10"/>
        <v>-3.9814446653412855E-2</v>
      </c>
      <c r="AF31" s="122">
        <f t="shared" ca="1" si="11"/>
        <v>-3.9814446653412855E-2</v>
      </c>
      <c r="AG31" s="122">
        <f t="shared" ca="1" si="12"/>
        <v>-3.9814446653412855E-2</v>
      </c>
      <c r="AH31" s="122">
        <f t="shared" ca="1" si="13"/>
        <v>0.27</v>
      </c>
      <c r="AI31" s="122">
        <f t="shared" ca="1" si="14"/>
        <v>0.27</v>
      </c>
      <c r="AJ31" s="122">
        <f t="shared" ca="1" si="15"/>
        <v>0.27</v>
      </c>
      <c r="AK31" s="122">
        <f t="shared" ca="1" si="16"/>
        <v>-0.11888797364085667</v>
      </c>
      <c r="AL31" s="122">
        <f t="shared" ca="1" si="17"/>
        <v>-0.11888797364085667</v>
      </c>
      <c r="AM31" s="122">
        <f t="shared" ca="1" si="18"/>
        <v>-0.11888797364085667</v>
      </c>
      <c r="AN31" s="122" t="e">
        <f t="shared" ca="1" si="19"/>
        <v>#N/A</v>
      </c>
      <c r="AO31" s="122" t="e">
        <f t="shared" ca="1" si="20"/>
        <v>#N/A</v>
      </c>
      <c r="AP31" s="122" t="e">
        <f t="shared" ca="1" si="21"/>
        <v>#N/A</v>
      </c>
      <c r="AQ31" s="122">
        <f t="shared" ca="1" si="22"/>
        <v>7.9000000000000001E-2</v>
      </c>
      <c r="AR31" s="122">
        <f t="shared" ca="1" si="23"/>
        <v>7.9000000000000001E-2</v>
      </c>
      <c r="AS31" s="122">
        <f ca="1">Z31</f>
        <v>7.9000000000000001E-2</v>
      </c>
      <c r="AT31" s="122">
        <f t="shared" ca="1" si="25"/>
        <v>7.9000000000000001E-2</v>
      </c>
    </row>
    <row r="32" spans="1:47" ht="18" customHeight="1" x14ac:dyDescent="0.25">
      <c r="A32" s="121">
        <f>IF(ISERROR('INPUT DATA'!L58),"",'INPUT DATA'!L58)</f>
        <v>0</v>
      </c>
      <c r="B32" s="219">
        <f t="shared" ca="1" si="5"/>
        <v>-3.9814446653412855E-2</v>
      </c>
      <c r="G32" s="121">
        <f>IF(ISERROR('INPUT DATA'!L58),"",'INPUT DATA'!L58)</f>
        <v>0</v>
      </c>
      <c r="H32" s="121">
        <f t="shared" ca="1" si="6"/>
        <v>0.27</v>
      </c>
      <c r="J32" s="184"/>
      <c r="M32" s="121">
        <f>IF(ISERROR('INPUT DATA'!L58),"",'INPUT DATA'!L58)</f>
        <v>0</v>
      </c>
      <c r="N32" s="121">
        <f t="shared" ca="1" si="7"/>
        <v>-0.11888797364085667</v>
      </c>
      <c r="P32" s="184"/>
      <c r="S32" s="121">
        <f>IF(ISERROR('INPUT DATA'!L58),"",'INPUT DATA'!L58)</f>
        <v>0</v>
      </c>
      <c r="T32" s="121" t="e">
        <f t="shared" ca="1" si="8"/>
        <v>#N/A</v>
      </c>
      <c r="V32" s="184"/>
      <c r="Y32" s="121">
        <f>IF(ISERROR('INPUT DATA'!R58),"",'INPUT DATA'!R58)</f>
        <v>0</v>
      </c>
      <c r="Z32" s="121">
        <f t="shared" ca="1" si="9"/>
        <v>7.9000000000000001E-2</v>
      </c>
      <c r="AB32" s="184"/>
      <c r="AE32" s="122">
        <f t="shared" ca="1" si="10"/>
        <v>-3.9814446653412855E-2</v>
      </c>
      <c r="AF32" s="122">
        <f t="shared" ca="1" si="11"/>
        <v>-3.9814446653412855E-2</v>
      </c>
      <c r="AG32" s="122">
        <f t="shared" ca="1" si="12"/>
        <v>-3.9814446653412855E-2</v>
      </c>
      <c r="AH32" s="122">
        <f t="shared" ca="1" si="13"/>
        <v>0.27</v>
      </c>
      <c r="AI32" s="122">
        <f t="shared" ca="1" si="14"/>
        <v>0.27</v>
      </c>
      <c r="AJ32" s="122">
        <f t="shared" ca="1" si="15"/>
        <v>0.27</v>
      </c>
      <c r="AK32" s="122">
        <f t="shared" ca="1" si="16"/>
        <v>-0.11888797364085667</v>
      </c>
      <c r="AL32" s="122">
        <f t="shared" ca="1" si="17"/>
        <v>-0.11888797364085667</v>
      </c>
      <c r="AM32" s="122">
        <f t="shared" ca="1" si="18"/>
        <v>-0.11888797364085667</v>
      </c>
      <c r="AN32" s="122" t="e">
        <f t="shared" ca="1" si="19"/>
        <v>#N/A</v>
      </c>
      <c r="AO32" s="122" t="e">
        <f t="shared" ca="1" si="20"/>
        <v>#N/A</v>
      </c>
      <c r="AP32" s="122" t="e">
        <f t="shared" ca="1" si="21"/>
        <v>#N/A</v>
      </c>
      <c r="AQ32" s="122">
        <f t="shared" ca="1" si="22"/>
        <v>7.9000000000000001E-2</v>
      </c>
      <c r="AR32" s="122">
        <f t="shared" ca="1" si="23"/>
        <v>7.9000000000000001E-2</v>
      </c>
      <c r="AS32" s="122">
        <f t="shared" ca="1" si="24"/>
        <v>7.9000000000000001E-2</v>
      </c>
      <c r="AT32" s="122">
        <f t="shared" ca="1" si="25"/>
        <v>7.9000000000000001E-2</v>
      </c>
    </row>
    <row r="33" spans="1:46" ht="18" customHeight="1" x14ac:dyDescent="0.25">
      <c r="A33" s="121">
        <f>IF(ISERROR('INPUT DATA'!L59),"",'INPUT DATA'!L59)</f>
        <v>0</v>
      </c>
      <c r="B33" s="219">
        <f t="shared" ca="1" si="5"/>
        <v>-3.9814446653412855E-2</v>
      </c>
      <c r="G33" s="121">
        <f>IF(ISERROR('INPUT DATA'!L59),"",'INPUT DATA'!L59)</f>
        <v>0</v>
      </c>
      <c r="H33" s="121">
        <f t="shared" ca="1" si="6"/>
        <v>0.27</v>
      </c>
      <c r="J33" s="184"/>
      <c r="M33" s="121">
        <f>IF(ISERROR('INPUT DATA'!L59),"",'INPUT DATA'!L59)</f>
        <v>0</v>
      </c>
      <c r="N33" s="121">
        <f t="shared" ca="1" si="7"/>
        <v>-0.11888797364085667</v>
      </c>
      <c r="P33" s="184"/>
      <c r="S33" s="121">
        <f>IF(ISERROR('INPUT DATA'!L59),"",'INPUT DATA'!L59)</f>
        <v>0</v>
      </c>
      <c r="T33" s="121" t="e">
        <f t="shared" ca="1" si="8"/>
        <v>#N/A</v>
      </c>
      <c r="V33" s="184"/>
      <c r="Y33" s="121">
        <f>IF(ISERROR('INPUT DATA'!R59),"",'INPUT DATA'!R59)</f>
        <v>0</v>
      </c>
      <c r="Z33" s="121">
        <f ca="1">IF(Y33="","",FORECAST(Y33,OFFSET($AA$11:$AA$16,MATCH(Y33,$Z$11:$Z$16,1)-1,0,2),OFFSET($Z$11:$Z$16,MATCH(Y33,$Z$11:$Z$16,1)-1,0,2)))</f>
        <v>7.9000000000000001E-2</v>
      </c>
      <c r="AB33" s="184"/>
      <c r="AE33" s="122">
        <f t="shared" ca="1" si="10"/>
        <v>-3.9814446653412855E-2</v>
      </c>
      <c r="AF33" s="122">
        <f t="shared" ca="1" si="11"/>
        <v>-3.9814446653412855E-2</v>
      </c>
      <c r="AG33" s="122">
        <f t="shared" ca="1" si="12"/>
        <v>-3.9814446653412855E-2</v>
      </c>
      <c r="AH33" s="122">
        <f t="shared" ca="1" si="13"/>
        <v>0.27</v>
      </c>
      <c r="AI33" s="122">
        <f t="shared" ca="1" si="14"/>
        <v>0.27</v>
      </c>
      <c r="AJ33" s="122">
        <f t="shared" ca="1" si="15"/>
        <v>0.27</v>
      </c>
      <c r="AK33" s="122">
        <f t="shared" ca="1" si="16"/>
        <v>-0.11888797364085667</v>
      </c>
      <c r="AL33" s="122">
        <f t="shared" ca="1" si="17"/>
        <v>-0.11888797364085667</v>
      </c>
      <c r="AM33" s="122">
        <f t="shared" ca="1" si="18"/>
        <v>-0.11888797364085667</v>
      </c>
      <c r="AN33" s="122" t="e">
        <f t="shared" ca="1" si="19"/>
        <v>#N/A</v>
      </c>
      <c r="AO33" s="122" t="e">
        <f t="shared" ca="1" si="20"/>
        <v>#N/A</v>
      </c>
      <c r="AP33" s="122" t="e">
        <f t="shared" ca="1" si="21"/>
        <v>#N/A</v>
      </c>
      <c r="AQ33" s="122">
        <f t="shared" ca="1" si="22"/>
        <v>7.9000000000000001E-2</v>
      </c>
      <c r="AR33" s="122">
        <f t="shared" ca="1" si="23"/>
        <v>7.9000000000000001E-2</v>
      </c>
      <c r="AS33" s="122">
        <f t="shared" ca="1" si="24"/>
        <v>7.9000000000000001E-2</v>
      </c>
      <c r="AT33" s="122">
        <f t="shared" ca="1" si="25"/>
        <v>7.9000000000000001E-2</v>
      </c>
    </row>
    <row r="34" spans="1:46" ht="18" customHeight="1" x14ac:dyDescent="0.25"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</row>
    <row r="35" spans="1:46" ht="18" customHeight="1" x14ac:dyDescent="0.25">
      <c r="AE35" s="260" t="s">
        <v>197</v>
      </c>
      <c r="AF35" s="261"/>
      <c r="AG35" s="261"/>
      <c r="AH35" s="261"/>
      <c r="AI35" s="261"/>
      <c r="AJ35" s="261"/>
      <c r="AK35" s="261"/>
      <c r="AL35" s="261"/>
      <c r="AM35" s="261"/>
      <c r="AN35" s="261"/>
      <c r="AO35" s="261"/>
      <c r="AP35" s="261"/>
      <c r="AQ35" s="261"/>
      <c r="AR35" s="261"/>
      <c r="AS35" s="262"/>
      <c r="AT35" s="91" t="s">
        <v>308</v>
      </c>
    </row>
    <row r="36" spans="1:46" ht="18" customHeight="1" x14ac:dyDescent="0.25">
      <c r="AE36" s="91" t="s">
        <v>360</v>
      </c>
      <c r="AF36" s="91" t="s">
        <v>360</v>
      </c>
      <c r="AG36" s="91" t="s">
        <v>360</v>
      </c>
      <c r="AH36" s="91" t="s">
        <v>361</v>
      </c>
      <c r="AI36" s="91" t="s">
        <v>361</v>
      </c>
      <c r="AJ36" s="91" t="s">
        <v>361</v>
      </c>
      <c r="AK36" s="91" t="s">
        <v>362</v>
      </c>
      <c r="AL36" s="91" t="s">
        <v>362</v>
      </c>
      <c r="AM36" s="91" t="s">
        <v>362</v>
      </c>
      <c r="AN36" s="91" t="s">
        <v>363</v>
      </c>
      <c r="AO36" s="91" t="s">
        <v>363</v>
      </c>
      <c r="AP36" s="91" t="s">
        <v>363</v>
      </c>
      <c r="AQ36" s="91" t="s">
        <v>402</v>
      </c>
      <c r="AR36" s="91" t="s">
        <v>402</v>
      </c>
      <c r="AS36" s="91" t="s">
        <v>402</v>
      </c>
      <c r="AT36" s="91">
        <f>'INPUT DATA'!V12</f>
        <v>13</v>
      </c>
    </row>
    <row r="37" spans="1:46" ht="18" customHeight="1" x14ac:dyDescent="0.25">
      <c r="AE37" s="122">
        <f ca="1">IF(A23="","",VLOOKUP(B23,A$11:E$16,5,TRUE))</f>
        <v>0.03</v>
      </c>
      <c r="AF37" s="122">
        <f ca="1">IF(A23="","",VLOOKUP(B23,A$11:E$16,5,TRUE))</f>
        <v>0.03</v>
      </c>
      <c r="AG37" s="122">
        <f ca="1">IF(A23="","",VLOOKUP(B23,A$11:E$16,5,TRUE))</f>
        <v>0.03</v>
      </c>
      <c r="AH37" s="122">
        <f ca="1">IF(G23="","",VLOOKUP(H23,G$11:K$18,5,TRUE))</f>
        <v>0.09</v>
      </c>
      <c r="AI37" s="122">
        <f ca="1">IF(G23="","",VLOOKUP(H23,G$11:K$18,5,TRUE))</f>
        <v>0.09</v>
      </c>
      <c r="AJ37" s="122">
        <f ca="1">IF(G23="","",VLOOKUP(H23,G$11:K$18,5,TRUE))</f>
        <v>0.09</v>
      </c>
      <c r="AK37" s="122">
        <f ca="1">IF(M23="","",VLOOKUP(N23,M$11:Q$16,5,TRUE))</f>
        <v>0.5</v>
      </c>
      <c r="AL37" s="122">
        <f ca="1">IF(M23="","",VLOOKUP(N23,M$11:Q$16,5,TRUE))</f>
        <v>0.5</v>
      </c>
      <c r="AM37" s="122">
        <f ca="1">IF(M23="","",VLOOKUP(N23,M$11:Q$16,5,TRUE))</f>
        <v>0.5</v>
      </c>
      <c r="AN37" s="122" t="e">
        <f ca="1">IF(S23="","",VLOOKUP(T23,S$11:W$16,5,TRUE))</f>
        <v>#N/A</v>
      </c>
      <c r="AO37" s="122" t="e">
        <f ca="1">IF(S23="","",VLOOKUP(T23,S$11:W$16,5,TRUE))</f>
        <v>#N/A</v>
      </c>
      <c r="AP37" s="122" t="e">
        <f ca="1">IF(S23="","",VLOOKUP(T23,S$11:W$16,5,TRUE))</f>
        <v>#N/A</v>
      </c>
      <c r="AQ37" s="122">
        <f ca="1">IF(Y23="","",VLOOKUP(Z23,Y$11:AC$16,5,TRUE))</f>
        <v>5.0999999999999997E-2</v>
      </c>
      <c r="AR37" s="122">
        <f ca="1">IF(Y23="","",VLOOKUP(Z23,Y$11:AC$16,5,TRUE))</f>
        <v>5.0999999999999997E-2</v>
      </c>
      <c r="AS37" s="122">
        <f ca="1">IF(Y23="","",VLOOKUP(Z23,Y$11:AC$16,5,TRUE))</f>
        <v>5.0999999999999997E-2</v>
      </c>
      <c r="AT37" s="122">
        <f ca="1">INDEX(AE37:AS37,AT$36)</f>
        <v>5.0999999999999997E-2</v>
      </c>
    </row>
    <row r="38" spans="1:46" ht="18" customHeight="1" x14ac:dyDescent="0.25">
      <c r="AE38" s="122">
        <f t="shared" ref="AE38:AE47" ca="1" si="26">IF(A24="","",VLOOKUP(B24,A$11:E$16,5,TRUE))</f>
        <v>0.03</v>
      </c>
      <c r="AF38" s="122">
        <f t="shared" ref="AF38:AF47" ca="1" si="27">IF(A24="","",VLOOKUP(B24,A$11:E$16,5,TRUE))</f>
        <v>0.03</v>
      </c>
      <c r="AG38" s="122">
        <f t="shared" ref="AG38:AG47" ca="1" si="28">IF(A24="","",VLOOKUP(B24,A$11:E$16,5,TRUE))</f>
        <v>0.03</v>
      </c>
      <c r="AH38" s="122">
        <f t="shared" ref="AH38:AH47" ca="1" si="29">IF(G24="","",VLOOKUP(H24,G$11:K$18,5,TRUE))</f>
        <v>0.09</v>
      </c>
      <c r="AI38" s="122">
        <f t="shared" ref="AI38:AI47" ca="1" si="30">IF(G24="","",VLOOKUP(H24,G$11:K$18,5,TRUE))</f>
        <v>0.09</v>
      </c>
      <c r="AJ38" s="122">
        <f t="shared" ref="AJ38:AJ47" ca="1" si="31">IF(G24="","",VLOOKUP(H24,G$11:K$18,5,TRUE))</f>
        <v>0.09</v>
      </c>
      <c r="AK38" s="122">
        <f t="shared" ref="AK38:AK47" ca="1" si="32">IF(M24="","",VLOOKUP(N24,M$11:Q$16,5,TRUE))</f>
        <v>0.5</v>
      </c>
      <c r="AL38" s="122">
        <f t="shared" ref="AL38:AL47" ca="1" si="33">IF(M24="","",VLOOKUP(N24,M$11:Q$16,5,TRUE))</f>
        <v>0.5</v>
      </c>
      <c r="AM38" s="122">
        <f t="shared" ref="AM38:AM47" ca="1" si="34">IF(M24="","",VLOOKUP(N24,M$11:Q$16,5,TRUE))</f>
        <v>0.5</v>
      </c>
      <c r="AN38" s="122" t="e">
        <f t="shared" ref="AN38:AN47" ca="1" si="35">IF(S24="","",VLOOKUP(T24,S$11:W$16,5,TRUE))</f>
        <v>#N/A</v>
      </c>
      <c r="AO38" s="122" t="e">
        <f t="shared" ref="AO38:AO47" ca="1" si="36">IF(S24="","",VLOOKUP(T24,S$11:W$16,5,TRUE))</f>
        <v>#N/A</v>
      </c>
      <c r="AP38" s="122" t="e">
        <f t="shared" ref="AP38:AP47" ca="1" si="37">IF(S24="","",VLOOKUP(T24,S$11:W$16,5,TRUE))</f>
        <v>#N/A</v>
      </c>
      <c r="AQ38" s="122">
        <f t="shared" ref="AQ38:AQ47" ca="1" si="38">IF(Y24="","",VLOOKUP(Z24,Y$11:AC$16,5,TRUE))</f>
        <v>5.0999999999999997E-2</v>
      </c>
      <c r="AR38" s="122">
        <f t="shared" ref="AR38:AR47" ca="1" si="39">IF(Y24="","",VLOOKUP(Z24,Y$11:AC$16,5,TRUE))</f>
        <v>5.0999999999999997E-2</v>
      </c>
      <c r="AS38" s="122">
        <f t="shared" ref="AS38:AS47" ca="1" si="40">IF(Y24="","",VLOOKUP(Z24,Y$11:AC$16,5,TRUE))</f>
        <v>5.0999999999999997E-2</v>
      </c>
      <c r="AT38" s="122">
        <f t="shared" ref="AT38:AT47" ca="1" si="41">INDEX(AE38:AS38,AT$36)</f>
        <v>5.0999999999999997E-2</v>
      </c>
    </row>
    <row r="39" spans="1:46" ht="18" customHeight="1" x14ac:dyDescent="0.25">
      <c r="AE39" s="122">
        <f t="shared" ca="1" si="26"/>
        <v>0.03</v>
      </c>
      <c r="AF39" s="122">
        <f t="shared" ca="1" si="27"/>
        <v>0.03</v>
      </c>
      <c r="AG39" s="122">
        <f t="shared" ca="1" si="28"/>
        <v>0.03</v>
      </c>
      <c r="AH39" s="122">
        <f t="shared" ca="1" si="29"/>
        <v>0.09</v>
      </c>
      <c r="AI39" s="122">
        <f t="shared" ca="1" si="30"/>
        <v>0.09</v>
      </c>
      <c r="AJ39" s="122">
        <f t="shared" ca="1" si="31"/>
        <v>0.09</v>
      </c>
      <c r="AK39" s="122">
        <f t="shared" ca="1" si="32"/>
        <v>0.5</v>
      </c>
      <c r="AL39" s="122">
        <f t="shared" ca="1" si="33"/>
        <v>0.5</v>
      </c>
      <c r="AM39" s="122">
        <f t="shared" ca="1" si="34"/>
        <v>0.5</v>
      </c>
      <c r="AN39" s="122" t="e">
        <f t="shared" ca="1" si="35"/>
        <v>#N/A</v>
      </c>
      <c r="AO39" s="122" t="e">
        <f t="shared" ca="1" si="36"/>
        <v>#N/A</v>
      </c>
      <c r="AP39" s="122" t="e">
        <f t="shared" ca="1" si="37"/>
        <v>#N/A</v>
      </c>
      <c r="AQ39" s="122">
        <f t="shared" ca="1" si="38"/>
        <v>5.0999999999999997E-2</v>
      </c>
      <c r="AR39" s="122">
        <f t="shared" ca="1" si="39"/>
        <v>5.0999999999999997E-2</v>
      </c>
      <c r="AS39" s="122">
        <f t="shared" ca="1" si="40"/>
        <v>5.0999999999999997E-2</v>
      </c>
      <c r="AT39" s="122">
        <f t="shared" ca="1" si="41"/>
        <v>5.0999999999999997E-2</v>
      </c>
    </row>
    <row r="40" spans="1:46" ht="18" customHeight="1" x14ac:dyDescent="0.25">
      <c r="AE40" s="122">
        <f t="shared" ca="1" si="26"/>
        <v>0.03</v>
      </c>
      <c r="AF40" s="122">
        <f t="shared" ca="1" si="27"/>
        <v>0.03</v>
      </c>
      <c r="AG40" s="122">
        <f t="shared" ca="1" si="28"/>
        <v>0.03</v>
      </c>
      <c r="AH40" s="122">
        <f t="shared" ca="1" si="29"/>
        <v>0.09</v>
      </c>
      <c r="AI40" s="122">
        <f t="shared" ca="1" si="30"/>
        <v>0.09</v>
      </c>
      <c r="AJ40" s="122">
        <f t="shared" ca="1" si="31"/>
        <v>0.09</v>
      </c>
      <c r="AK40" s="122">
        <f t="shared" ca="1" si="32"/>
        <v>0.5</v>
      </c>
      <c r="AL40" s="122">
        <f t="shared" ca="1" si="33"/>
        <v>0.5</v>
      </c>
      <c r="AM40" s="122">
        <f t="shared" ca="1" si="34"/>
        <v>0.5</v>
      </c>
      <c r="AN40" s="122" t="e">
        <f t="shared" ca="1" si="35"/>
        <v>#N/A</v>
      </c>
      <c r="AO40" s="122" t="e">
        <f t="shared" ca="1" si="36"/>
        <v>#N/A</v>
      </c>
      <c r="AP40" s="122" t="e">
        <f t="shared" ca="1" si="37"/>
        <v>#N/A</v>
      </c>
      <c r="AQ40" s="122">
        <f t="shared" ca="1" si="38"/>
        <v>5.0999999999999997E-2</v>
      </c>
      <c r="AR40" s="122">
        <f t="shared" ca="1" si="39"/>
        <v>5.0999999999999997E-2</v>
      </c>
      <c r="AS40" s="122">
        <f t="shared" ca="1" si="40"/>
        <v>5.0999999999999997E-2</v>
      </c>
      <c r="AT40" s="122">
        <f t="shared" ca="1" si="41"/>
        <v>5.0999999999999997E-2</v>
      </c>
    </row>
    <row r="41" spans="1:46" ht="18" customHeight="1" x14ac:dyDescent="0.25">
      <c r="AE41" s="122">
        <f t="shared" ca="1" si="26"/>
        <v>0.03</v>
      </c>
      <c r="AF41" s="122">
        <f t="shared" ca="1" si="27"/>
        <v>0.03</v>
      </c>
      <c r="AG41" s="122">
        <f t="shared" ca="1" si="28"/>
        <v>0.03</v>
      </c>
      <c r="AH41" s="122">
        <f t="shared" ca="1" si="29"/>
        <v>0.09</v>
      </c>
      <c r="AI41" s="122">
        <f t="shared" ca="1" si="30"/>
        <v>0.09</v>
      </c>
      <c r="AJ41" s="122">
        <f t="shared" ca="1" si="31"/>
        <v>0.09</v>
      </c>
      <c r="AK41" s="122">
        <f t="shared" ca="1" si="32"/>
        <v>0.5</v>
      </c>
      <c r="AL41" s="122">
        <f t="shared" ca="1" si="33"/>
        <v>0.5</v>
      </c>
      <c r="AM41" s="122">
        <f t="shared" ca="1" si="34"/>
        <v>0.5</v>
      </c>
      <c r="AN41" s="122" t="e">
        <f t="shared" ca="1" si="35"/>
        <v>#N/A</v>
      </c>
      <c r="AO41" s="122" t="e">
        <f t="shared" ca="1" si="36"/>
        <v>#N/A</v>
      </c>
      <c r="AP41" s="122" t="e">
        <f t="shared" ca="1" si="37"/>
        <v>#N/A</v>
      </c>
      <c r="AQ41" s="122">
        <f t="shared" ca="1" si="38"/>
        <v>5.0999999999999997E-2</v>
      </c>
      <c r="AR41" s="122">
        <f t="shared" ca="1" si="39"/>
        <v>5.0999999999999997E-2</v>
      </c>
      <c r="AS41" s="122">
        <f t="shared" ca="1" si="40"/>
        <v>5.0999999999999997E-2</v>
      </c>
      <c r="AT41" s="122">
        <f t="shared" ca="1" si="41"/>
        <v>5.0999999999999997E-2</v>
      </c>
    </row>
    <row r="42" spans="1:46" ht="18" customHeight="1" x14ac:dyDescent="0.25">
      <c r="AE42" s="122">
        <f t="shared" ca="1" si="26"/>
        <v>0.03</v>
      </c>
      <c r="AF42" s="122">
        <f t="shared" ca="1" si="27"/>
        <v>0.03</v>
      </c>
      <c r="AG42" s="122">
        <f t="shared" ca="1" si="28"/>
        <v>0.03</v>
      </c>
      <c r="AH42" s="122">
        <f t="shared" ca="1" si="29"/>
        <v>0.09</v>
      </c>
      <c r="AI42" s="122">
        <f t="shared" ca="1" si="30"/>
        <v>0.09</v>
      </c>
      <c r="AJ42" s="122">
        <f t="shared" ca="1" si="31"/>
        <v>0.09</v>
      </c>
      <c r="AK42" s="122">
        <f t="shared" ca="1" si="32"/>
        <v>0.5</v>
      </c>
      <c r="AL42" s="122">
        <f t="shared" ca="1" si="33"/>
        <v>0.5</v>
      </c>
      <c r="AM42" s="122">
        <f t="shared" ca="1" si="34"/>
        <v>0.5</v>
      </c>
      <c r="AN42" s="122" t="e">
        <f t="shared" ca="1" si="35"/>
        <v>#N/A</v>
      </c>
      <c r="AO42" s="122" t="e">
        <f t="shared" ca="1" si="36"/>
        <v>#N/A</v>
      </c>
      <c r="AP42" s="122" t="e">
        <f t="shared" ca="1" si="37"/>
        <v>#N/A</v>
      </c>
      <c r="AQ42" s="122">
        <f t="shared" ca="1" si="38"/>
        <v>5.0999999999999997E-2</v>
      </c>
      <c r="AR42" s="122">
        <f t="shared" ca="1" si="39"/>
        <v>5.0999999999999997E-2</v>
      </c>
      <c r="AS42" s="122">
        <f t="shared" ca="1" si="40"/>
        <v>5.0999999999999997E-2</v>
      </c>
      <c r="AT42" s="122">
        <f t="shared" ca="1" si="41"/>
        <v>5.0999999999999997E-2</v>
      </c>
    </row>
    <row r="43" spans="1:46" ht="18" customHeight="1" x14ac:dyDescent="0.25">
      <c r="AE43" s="122">
        <f t="shared" ca="1" si="26"/>
        <v>0.03</v>
      </c>
      <c r="AF43" s="122">
        <f t="shared" ca="1" si="27"/>
        <v>0.03</v>
      </c>
      <c r="AG43" s="122">
        <f t="shared" ca="1" si="28"/>
        <v>0.03</v>
      </c>
      <c r="AH43" s="122">
        <f t="shared" ca="1" si="29"/>
        <v>0.09</v>
      </c>
      <c r="AI43" s="122">
        <f t="shared" ca="1" si="30"/>
        <v>0.09</v>
      </c>
      <c r="AJ43" s="122">
        <f t="shared" ca="1" si="31"/>
        <v>0.09</v>
      </c>
      <c r="AK43" s="122">
        <f t="shared" ca="1" si="32"/>
        <v>0.5</v>
      </c>
      <c r="AL43" s="122">
        <f t="shared" ca="1" si="33"/>
        <v>0.5</v>
      </c>
      <c r="AM43" s="122">
        <f t="shared" ca="1" si="34"/>
        <v>0.5</v>
      </c>
      <c r="AN43" s="122" t="e">
        <f t="shared" ca="1" si="35"/>
        <v>#N/A</v>
      </c>
      <c r="AO43" s="122" t="e">
        <f t="shared" ca="1" si="36"/>
        <v>#N/A</v>
      </c>
      <c r="AP43" s="122" t="e">
        <f t="shared" ca="1" si="37"/>
        <v>#N/A</v>
      </c>
      <c r="AQ43" s="122">
        <f t="shared" ca="1" si="38"/>
        <v>5.0999999999999997E-2</v>
      </c>
      <c r="AR43" s="122">
        <f t="shared" ca="1" si="39"/>
        <v>5.0999999999999997E-2</v>
      </c>
      <c r="AS43" s="122">
        <f t="shared" ca="1" si="40"/>
        <v>5.0999999999999997E-2</v>
      </c>
      <c r="AT43" s="122">
        <f t="shared" ca="1" si="41"/>
        <v>5.0999999999999997E-2</v>
      </c>
    </row>
    <row r="44" spans="1:46" ht="18" customHeight="1" x14ac:dyDescent="0.25">
      <c r="AE44" s="122">
        <f t="shared" ca="1" si="26"/>
        <v>0.03</v>
      </c>
      <c r="AF44" s="122">
        <f t="shared" ca="1" si="27"/>
        <v>0.03</v>
      </c>
      <c r="AG44" s="122">
        <f t="shared" ca="1" si="28"/>
        <v>0.03</v>
      </c>
      <c r="AH44" s="122">
        <f t="shared" ca="1" si="29"/>
        <v>0.09</v>
      </c>
      <c r="AI44" s="122">
        <f t="shared" ca="1" si="30"/>
        <v>0.09</v>
      </c>
      <c r="AJ44" s="122">
        <f t="shared" ca="1" si="31"/>
        <v>0.09</v>
      </c>
      <c r="AK44" s="122">
        <f t="shared" ca="1" si="32"/>
        <v>0.5</v>
      </c>
      <c r="AL44" s="122">
        <f t="shared" ca="1" si="33"/>
        <v>0.5</v>
      </c>
      <c r="AM44" s="122">
        <f t="shared" ca="1" si="34"/>
        <v>0.5</v>
      </c>
      <c r="AN44" s="122" t="e">
        <f t="shared" ca="1" si="35"/>
        <v>#N/A</v>
      </c>
      <c r="AO44" s="122" t="e">
        <f t="shared" ca="1" si="36"/>
        <v>#N/A</v>
      </c>
      <c r="AP44" s="122" t="e">
        <f t="shared" ca="1" si="37"/>
        <v>#N/A</v>
      </c>
      <c r="AQ44" s="122">
        <f t="shared" ca="1" si="38"/>
        <v>5.0999999999999997E-2</v>
      </c>
      <c r="AR44" s="122">
        <f t="shared" ca="1" si="39"/>
        <v>5.0999999999999997E-2</v>
      </c>
      <c r="AS44" s="122">
        <f t="shared" ca="1" si="40"/>
        <v>5.0999999999999997E-2</v>
      </c>
      <c r="AT44" s="122">
        <f t="shared" ca="1" si="41"/>
        <v>5.0999999999999997E-2</v>
      </c>
    </row>
    <row r="45" spans="1:46" ht="18" customHeight="1" x14ac:dyDescent="0.25">
      <c r="AE45" s="122">
        <f t="shared" ca="1" si="26"/>
        <v>0.03</v>
      </c>
      <c r="AF45" s="122">
        <f t="shared" ca="1" si="27"/>
        <v>0.03</v>
      </c>
      <c r="AG45" s="122">
        <f t="shared" ca="1" si="28"/>
        <v>0.03</v>
      </c>
      <c r="AH45" s="122">
        <f t="shared" ca="1" si="29"/>
        <v>0.09</v>
      </c>
      <c r="AI45" s="122">
        <f t="shared" ca="1" si="30"/>
        <v>0.09</v>
      </c>
      <c r="AJ45" s="122">
        <f t="shared" ca="1" si="31"/>
        <v>0.09</v>
      </c>
      <c r="AK45" s="122">
        <f t="shared" ca="1" si="32"/>
        <v>0.5</v>
      </c>
      <c r="AL45" s="122">
        <f t="shared" ca="1" si="33"/>
        <v>0.5</v>
      </c>
      <c r="AM45" s="122">
        <f t="shared" ca="1" si="34"/>
        <v>0.5</v>
      </c>
      <c r="AN45" s="122" t="e">
        <f t="shared" ca="1" si="35"/>
        <v>#N/A</v>
      </c>
      <c r="AO45" s="122" t="e">
        <f t="shared" ca="1" si="36"/>
        <v>#N/A</v>
      </c>
      <c r="AP45" s="122" t="e">
        <f t="shared" ca="1" si="37"/>
        <v>#N/A</v>
      </c>
      <c r="AQ45" s="122">
        <f t="shared" ca="1" si="38"/>
        <v>5.0999999999999997E-2</v>
      </c>
      <c r="AR45" s="122">
        <f t="shared" ca="1" si="39"/>
        <v>5.0999999999999997E-2</v>
      </c>
      <c r="AS45" s="122">
        <f t="shared" ca="1" si="40"/>
        <v>5.0999999999999997E-2</v>
      </c>
      <c r="AT45" s="122">
        <f t="shared" ca="1" si="41"/>
        <v>5.0999999999999997E-2</v>
      </c>
    </row>
    <row r="46" spans="1:46" ht="18" customHeight="1" x14ac:dyDescent="0.25">
      <c r="AE46" s="122">
        <f t="shared" ca="1" si="26"/>
        <v>0.03</v>
      </c>
      <c r="AF46" s="122">
        <f t="shared" ca="1" si="27"/>
        <v>0.03</v>
      </c>
      <c r="AG46" s="122">
        <f t="shared" ca="1" si="28"/>
        <v>0.03</v>
      </c>
      <c r="AH46" s="122">
        <f t="shared" ca="1" si="29"/>
        <v>0.09</v>
      </c>
      <c r="AI46" s="122">
        <f t="shared" ca="1" si="30"/>
        <v>0.09</v>
      </c>
      <c r="AJ46" s="122">
        <f t="shared" ca="1" si="31"/>
        <v>0.09</v>
      </c>
      <c r="AK46" s="122">
        <f t="shared" ca="1" si="32"/>
        <v>0.5</v>
      </c>
      <c r="AL46" s="122">
        <f t="shared" ca="1" si="33"/>
        <v>0.5</v>
      </c>
      <c r="AM46" s="122">
        <f t="shared" ca="1" si="34"/>
        <v>0.5</v>
      </c>
      <c r="AN46" s="122" t="e">
        <f t="shared" ca="1" si="35"/>
        <v>#N/A</v>
      </c>
      <c r="AO46" s="122" t="e">
        <f t="shared" ca="1" si="36"/>
        <v>#N/A</v>
      </c>
      <c r="AP46" s="122" t="e">
        <f t="shared" ca="1" si="37"/>
        <v>#N/A</v>
      </c>
      <c r="AQ46" s="122">
        <f t="shared" ca="1" si="38"/>
        <v>5.0999999999999997E-2</v>
      </c>
      <c r="AR46" s="122">
        <f t="shared" ca="1" si="39"/>
        <v>5.0999999999999997E-2</v>
      </c>
      <c r="AS46" s="122">
        <f t="shared" ca="1" si="40"/>
        <v>5.0999999999999997E-2</v>
      </c>
      <c r="AT46" s="122">
        <f t="shared" ca="1" si="41"/>
        <v>5.0999999999999997E-2</v>
      </c>
    </row>
    <row r="47" spans="1:46" ht="18" customHeight="1" x14ac:dyDescent="0.25">
      <c r="AE47" s="122">
        <f t="shared" ca="1" si="26"/>
        <v>0.03</v>
      </c>
      <c r="AF47" s="122">
        <f t="shared" ca="1" si="27"/>
        <v>0.03</v>
      </c>
      <c r="AG47" s="122">
        <f t="shared" ca="1" si="28"/>
        <v>0.03</v>
      </c>
      <c r="AH47" s="122">
        <f t="shared" ca="1" si="29"/>
        <v>0.09</v>
      </c>
      <c r="AI47" s="122">
        <f t="shared" ca="1" si="30"/>
        <v>0.09</v>
      </c>
      <c r="AJ47" s="122">
        <f t="shared" ca="1" si="31"/>
        <v>0.09</v>
      </c>
      <c r="AK47" s="122">
        <f t="shared" ca="1" si="32"/>
        <v>0.5</v>
      </c>
      <c r="AL47" s="122">
        <f t="shared" ca="1" si="33"/>
        <v>0.5</v>
      </c>
      <c r="AM47" s="122">
        <f t="shared" ca="1" si="34"/>
        <v>0.5</v>
      </c>
      <c r="AN47" s="122" t="e">
        <f t="shared" ca="1" si="35"/>
        <v>#N/A</v>
      </c>
      <c r="AO47" s="122" t="e">
        <f t="shared" ca="1" si="36"/>
        <v>#N/A</v>
      </c>
      <c r="AP47" s="122" t="e">
        <f t="shared" ca="1" si="37"/>
        <v>#N/A</v>
      </c>
      <c r="AQ47" s="122">
        <f t="shared" ca="1" si="38"/>
        <v>5.0999999999999997E-2</v>
      </c>
      <c r="AR47" s="122">
        <f t="shared" ca="1" si="39"/>
        <v>5.0999999999999997E-2</v>
      </c>
      <c r="AS47" s="122">
        <f t="shared" ca="1" si="40"/>
        <v>5.0999999999999997E-2</v>
      </c>
      <c r="AT47" s="122">
        <f t="shared" ca="1" si="41"/>
        <v>5.0999999999999997E-2</v>
      </c>
    </row>
    <row r="48" spans="1:46" ht="18" customHeight="1" x14ac:dyDescent="0.25">
      <c r="AT48" s="122">
        <f ca="1">MAX(AT37:AT47)</f>
        <v>5.0999999999999997E-2</v>
      </c>
    </row>
  </sheetData>
  <sheetProtection selectLockedCells="1" selectUnlockedCells="1"/>
  <mergeCells count="36">
    <mergeCell ref="B1:C1"/>
    <mergeCell ref="B2:C2"/>
    <mergeCell ref="B3:C3"/>
    <mergeCell ref="B4:C4"/>
    <mergeCell ref="B6:C6"/>
    <mergeCell ref="B5:C5"/>
    <mergeCell ref="Z1:AA1"/>
    <mergeCell ref="Z2:AA2"/>
    <mergeCell ref="Z3:AA3"/>
    <mergeCell ref="Z4:AA4"/>
    <mergeCell ref="H1:I1"/>
    <mergeCell ref="H2:I2"/>
    <mergeCell ref="H3:I3"/>
    <mergeCell ref="H4:I4"/>
    <mergeCell ref="T1:U1"/>
    <mergeCell ref="T2:U2"/>
    <mergeCell ref="N1:O1"/>
    <mergeCell ref="N2:O2"/>
    <mergeCell ref="N3:O3"/>
    <mergeCell ref="N4:O4"/>
    <mergeCell ref="B7:C7"/>
    <mergeCell ref="T3:U3"/>
    <mergeCell ref="T4:U4"/>
    <mergeCell ref="T6:U6"/>
    <mergeCell ref="T7:U7"/>
    <mergeCell ref="N7:O7"/>
    <mergeCell ref="N5:O5"/>
    <mergeCell ref="T5:U5"/>
    <mergeCell ref="N6:O6"/>
    <mergeCell ref="Z5:AA5"/>
    <mergeCell ref="Z6:AA6"/>
    <mergeCell ref="Z7:AA7"/>
    <mergeCell ref="AE35:AS35"/>
    <mergeCell ref="H6:I6"/>
    <mergeCell ref="H5:I5"/>
    <mergeCell ref="H7:I7"/>
  </mergeCells>
  <phoneticPr fontId="1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49495-25DF-43A8-88AF-6BF68AC0EB22}">
  <sheetPr codeName="Sheet8">
    <tabColor rgb="FFFFFF00"/>
  </sheetPr>
  <dimension ref="A1:I68"/>
  <sheetViews>
    <sheetView zoomScaleNormal="100" workbookViewId="0">
      <selection activeCell="C62" sqref="C62"/>
    </sheetView>
  </sheetViews>
  <sheetFormatPr defaultRowHeight="13.2" x14ac:dyDescent="0.25"/>
  <cols>
    <col min="1" max="1" width="20" customWidth="1"/>
    <col min="2" max="2" width="18.33203125" customWidth="1"/>
    <col min="3" max="3" width="15.77734375" customWidth="1"/>
  </cols>
  <sheetData>
    <row r="1" spans="1:9" x14ac:dyDescent="0.25">
      <c r="A1" s="149" t="s">
        <v>425</v>
      </c>
      <c r="B1" s="253"/>
    </row>
    <row r="2" spans="1:9" x14ac:dyDescent="0.25">
      <c r="A2" s="149" t="s">
        <v>4</v>
      </c>
      <c r="B2" s="253"/>
    </row>
    <row r="3" spans="1:9" x14ac:dyDescent="0.25">
      <c r="A3" s="149" t="s">
        <v>426</v>
      </c>
      <c r="B3" s="253"/>
    </row>
    <row r="4" spans="1:9" x14ac:dyDescent="0.25">
      <c r="A4" s="149" t="s">
        <v>427</v>
      </c>
      <c r="B4" s="253"/>
    </row>
    <row r="5" spans="1:9" x14ac:dyDescent="0.25">
      <c r="A5" s="149" t="s">
        <v>428</v>
      </c>
      <c r="B5" s="253"/>
    </row>
    <row r="6" spans="1:9" x14ac:dyDescent="0.25">
      <c r="A6" s="149" t="s">
        <v>429</v>
      </c>
      <c r="B6" s="253"/>
    </row>
    <row r="7" spans="1:9" x14ac:dyDescent="0.25">
      <c r="A7" s="149" t="s">
        <v>430</v>
      </c>
      <c r="B7" s="253"/>
    </row>
    <row r="8" spans="1:9" x14ac:dyDescent="0.25">
      <c r="A8" s="149" t="s">
        <v>431</v>
      </c>
      <c r="B8" s="253"/>
      <c r="E8" s="248"/>
      <c r="F8" s="248"/>
      <c r="G8" s="248"/>
      <c r="H8" s="248"/>
      <c r="I8" s="248"/>
    </row>
    <row r="9" spans="1:9" x14ac:dyDescent="0.25">
      <c r="A9" s="149" t="s">
        <v>432</v>
      </c>
      <c r="B9" s="253"/>
      <c r="E9" s="270" t="s">
        <v>433</v>
      </c>
      <c r="F9" s="270"/>
      <c r="G9" s="270"/>
      <c r="H9" s="270"/>
      <c r="I9" s="270"/>
    </row>
    <row r="10" spans="1:9" x14ac:dyDescent="0.25">
      <c r="A10" s="149" t="s">
        <v>434</v>
      </c>
      <c r="B10" s="253"/>
      <c r="E10" s="270"/>
      <c r="F10" s="270"/>
      <c r="G10" s="270"/>
      <c r="H10" s="270"/>
      <c r="I10" s="270"/>
    </row>
    <row r="11" spans="1:9" x14ac:dyDescent="0.25">
      <c r="A11" s="149" t="s">
        <v>435</v>
      </c>
      <c r="B11" s="253"/>
      <c r="E11" s="270"/>
      <c r="F11" s="270"/>
      <c r="G11" s="270"/>
      <c r="H11" s="270"/>
      <c r="I11" s="270"/>
    </row>
    <row r="12" spans="1:9" x14ac:dyDescent="0.25">
      <c r="A12" s="149" t="s">
        <v>436</v>
      </c>
      <c r="B12" s="253"/>
      <c r="E12" s="270"/>
      <c r="F12" s="270"/>
      <c r="G12" s="270"/>
      <c r="H12" s="270"/>
      <c r="I12" s="270"/>
    </row>
    <row r="13" spans="1:9" x14ac:dyDescent="0.25">
      <c r="A13" s="149" t="s">
        <v>437</v>
      </c>
      <c r="B13" s="253"/>
      <c r="E13" s="270"/>
      <c r="F13" s="270"/>
      <c r="G13" s="270"/>
      <c r="H13" s="270"/>
      <c r="I13" s="270"/>
    </row>
    <row r="14" spans="1:9" x14ac:dyDescent="0.25">
      <c r="A14" s="149" t="s">
        <v>438</v>
      </c>
      <c r="B14" s="253"/>
    </row>
    <row r="15" spans="1:9" x14ac:dyDescent="0.25">
      <c r="A15" s="149" t="s">
        <v>439</v>
      </c>
      <c r="B15" s="253"/>
    </row>
    <row r="16" spans="1:9" x14ac:dyDescent="0.25">
      <c r="A16" s="149" t="s">
        <v>440</v>
      </c>
      <c r="B16" s="253"/>
    </row>
    <row r="17" spans="1:6" x14ac:dyDescent="0.25">
      <c r="A17" s="149" t="s">
        <v>441</v>
      </c>
      <c r="B17" s="253"/>
    </row>
    <row r="18" spans="1:6" x14ac:dyDescent="0.25">
      <c r="A18" s="249" t="s">
        <v>442</v>
      </c>
      <c r="B18" s="254"/>
    </row>
    <row r="19" spans="1:6" x14ac:dyDescent="0.25">
      <c r="A19" s="250"/>
      <c r="B19" s="250"/>
    </row>
    <row r="20" spans="1:6" x14ac:dyDescent="0.25">
      <c r="A20" s="271" t="s">
        <v>443</v>
      </c>
      <c r="B20" s="272"/>
      <c r="C20" s="272"/>
      <c r="D20" s="273"/>
    </row>
    <row r="21" spans="1:6" x14ac:dyDescent="0.25">
      <c r="A21" s="149"/>
      <c r="B21" s="189" t="s">
        <v>444</v>
      </c>
      <c r="C21" s="148" t="s">
        <v>445</v>
      </c>
      <c r="D21" s="148" t="s">
        <v>446</v>
      </c>
    </row>
    <row r="22" spans="1:6" x14ac:dyDescent="0.25">
      <c r="A22" s="149" t="s">
        <v>447</v>
      </c>
      <c r="B22" s="148"/>
      <c r="C22" s="148"/>
      <c r="D22" s="148"/>
    </row>
    <row r="23" spans="1:6" x14ac:dyDescent="0.25">
      <c r="A23" s="149" t="s">
        <v>448</v>
      </c>
      <c r="B23" s="148"/>
      <c r="C23" s="148"/>
      <c r="D23" s="148"/>
    </row>
    <row r="25" spans="1:6" x14ac:dyDescent="0.25">
      <c r="A25" s="277" t="s">
        <v>449</v>
      </c>
      <c r="B25" s="277"/>
      <c r="C25" s="277"/>
    </row>
    <row r="26" spans="1:6" x14ac:dyDescent="0.25">
      <c r="B26" s="269" t="s">
        <v>456</v>
      </c>
      <c r="C26" s="269"/>
      <c r="D26" s="230"/>
      <c r="E26" s="230"/>
      <c r="F26" s="230"/>
    </row>
    <row r="27" spans="1:6" x14ac:dyDescent="0.25">
      <c r="A27" s="251" t="s">
        <v>200</v>
      </c>
      <c r="B27" s="189" t="s">
        <v>454</v>
      </c>
      <c r="C27" s="189" t="s">
        <v>455</v>
      </c>
    </row>
    <row r="28" spans="1:6" x14ac:dyDescent="0.25">
      <c r="A28" s="274"/>
      <c r="B28" s="149"/>
      <c r="C28" s="149"/>
    </row>
    <row r="29" spans="1:6" x14ac:dyDescent="0.25">
      <c r="A29" s="275"/>
      <c r="B29" s="149"/>
      <c r="C29" s="149"/>
    </row>
    <row r="30" spans="1:6" x14ac:dyDescent="0.25">
      <c r="A30" s="276"/>
      <c r="B30" s="149"/>
      <c r="C30" s="149"/>
    </row>
    <row r="31" spans="1:6" x14ac:dyDescent="0.25">
      <c r="A31" s="266"/>
      <c r="B31" s="149"/>
      <c r="C31" s="149"/>
    </row>
    <row r="32" spans="1:6" x14ac:dyDescent="0.25">
      <c r="A32" s="267"/>
      <c r="B32" s="149"/>
      <c r="C32" s="149"/>
    </row>
    <row r="33" spans="1:3" x14ac:dyDescent="0.25">
      <c r="A33" s="268"/>
      <c r="B33" s="149"/>
      <c r="C33" s="149"/>
    </row>
    <row r="34" spans="1:3" x14ac:dyDescent="0.25">
      <c r="A34" s="266"/>
      <c r="B34" s="149"/>
      <c r="C34" s="149"/>
    </row>
    <row r="35" spans="1:3" x14ac:dyDescent="0.25">
      <c r="A35" s="267"/>
      <c r="B35" s="149"/>
      <c r="C35" s="149"/>
    </row>
    <row r="36" spans="1:3" x14ac:dyDescent="0.25">
      <c r="A36" s="268"/>
      <c r="B36" s="149"/>
      <c r="C36" s="149"/>
    </row>
    <row r="37" spans="1:3" x14ac:dyDescent="0.25">
      <c r="A37" s="266"/>
      <c r="B37" s="149"/>
      <c r="C37" s="149"/>
    </row>
    <row r="38" spans="1:3" x14ac:dyDescent="0.25">
      <c r="A38" s="267"/>
      <c r="B38" s="149"/>
      <c r="C38" s="149"/>
    </row>
    <row r="39" spans="1:3" x14ac:dyDescent="0.25">
      <c r="A39" s="268"/>
      <c r="B39" s="149"/>
      <c r="C39" s="149"/>
    </row>
    <row r="40" spans="1:3" x14ac:dyDescent="0.25">
      <c r="A40" s="269"/>
      <c r="B40" s="149"/>
      <c r="C40" s="149"/>
    </row>
    <row r="41" spans="1:3" x14ac:dyDescent="0.25">
      <c r="A41" s="269"/>
      <c r="B41" s="149"/>
      <c r="C41" s="149"/>
    </row>
    <row r="42" spans="1:3" x14ac:dyDescent="0.25">
      <c r="A42" s="269"/>
      <c r="B42" s="149"/>
      <c r="C42" s="149"/>
    </row>
    <row r="43" spans="1:3" x14ac:dyDescent="0.25">
      <c r="A43" s="266"/>
      <c r="B43" s="149"/>
      <c r="C43" s="149"/>
    </row>
    <row r="44" spans="1:3" x14ac:dyDescent="0.25">
      <c r="A44" s="267"/>
      <c r="B44" s="149"/>
      <c r="C44" s="149"/>
    </row>
    <row r="45" spans="1:3" x14ac:dyDescent="0.25">
      <c r="A45" s="268"/>
      <c r="B45" s="149"/>
      <c r="C45" s="149"/>
    </row>
    <row r="46" spans="1:3" x14ac:dyDescent="0.25">
      <c r="A46" s="266"/>
      <c r="B46" s="149"/>
      <c r="C46" s="149"/>
    </row>
    <row r="47" spans="1:3" x14ac:dyDescent="0.25">
      <c r="A47" s="267"/>
      <c r="B47" s="149"/>
      <c r="C47" s="149"/>
    </row>
    <row r="48" spans="1:3" x14ac:dyDescent="0.25">
      <c r="A48" s="268"/>
      <c r="B48" s="149"/>
      <c r="C48" s="149"/>
    </row>
    <row r="49" spans="1:3" x14ac:dyDescent="0.25">
      <c r="A49" s="266"/>
      <c r="B49" s="149"/>
      <c r="C49" s="149"/>
    </row>
    <row r="50" spans="1:3" x14ac:dyDescent="0.25">
      <c r="A50" s="267"/>
      <c r="B50" s="149"/>
      <c r="C50" s="149"/>
    </row>
    <row r="51" spans="1:3" x14ac:dyDescent="0.25">
      <c r="A51" s="268"/>
      <c r="B51" s="149"/>
      <c r="C51" s="149"/>
    </row>
    <row r="52" spans="1:3" x14ac:dyDescent="0.25">
      <c r="A52" s="266"/>
      <c r="B52" s="149"/>
      <c r="C52" s="149"/>
    </row>
    <row r="53" spans="1:3" x14ac:dyDescent="0.25">
      <c r="A53" s="267"/>
      <c r="B53" s="149"/>
      <c r="C53" s="149"/>
    </row>
    <row r="54" spans="1:3" x14ac:dyDescent="0.25">
      <c r="A54" s="268"/>
      <c r="B54" s="149"/>
      <c r="C54" s="149"/>
    </row>
    <row r="55" spans="1:3" x14ac:dyDescent="0.25">
      <c r="A55" s="266"/>
      <c r="B55" s="149"/>
      <c r="C55" s="149"/>
    </row>
    <row r="56" spans="1:3" x14ac:dyDescent="0.25">
      <c r="A56" s="267"/>
      <c r="B56" s="149"/>
      <c r="C56" s="149"/>
    </row>
    <row r="57" spans="1:3" x14ac:dyDescent="0.25">
      <c r="A57" s="268"/>
      <c r="B57" s="149"/>
      <c r="C57" s="149"/>
    </row>
    <row r="58" spans="1:3" x14ac:dyDescent="0.25">
      <c r="A58" s="266"/>
      <c r="B58" s="149"/>
      <c r="C58" s="149"/>
    </row>
    <row r="59" spans="1:3" x14ac:dyDescent="0.25">
      <c r="A59" s="267"/>
      <c r="B59" s="149"/>
      <c r="C59" s="149"/>
    </row>
    <row r="60" spans="1:3" x14ac:dyDescent="0.25">
      <c r="A60" s="268"/>
      <c r="B60" s="149"/>
      <c r="C60" s="149"/>
    </row>
    <row r="61" spans="1:3" x14ac:dyDescent="0.25">
      <c r="A61" s="269"/>
      <c r="B61" s="149"/>
      <c r="C61" s="149"/>
    </row>
    <row r="62" spans="1:3" x14ac:dyDescent="0.25">
      <c r="A62" s="269"/>
      <c r="B62" s="149"/>
      <c r="C62" s="149"/>
    </row>
    <row r="63" spans="1:3" x14ac:dyDescent="0.25">
      <c r="A63" s="269"/>
      <c r="B63" s="149"/>
      <c r="C63" s="149"/>
    </row>
    <row r="65" spans="1:7" x14ac:dyDescent="0.25">
      <c r="A65" s="149" t="s">
        <v>450</v>
      </c>
      <c r="B65" s="265"/>
      <c r="C65" s="265"/>
      <c r="D65" s="265"/>
      <c r="E65" s="265"/>
      <c r="F65" s="265"/>
      <c r="G65" s="265"/>
    </row>
    <row r="66" spans="1:7" x14ac:dyDescent="0.25">
      <c r="A66" s="149" t="s">
        <v>451</v>
      </c>
      <c r="B66" s="265"/>
      <c r="C66" s="265"/>
      <c r="D66" s="265"/>
      <c r="E66" s="265"/>
      <c r="F66" s="265"/>
      <c r="G66" s="265"/>
    </row>
    <row r="67" spans="1:7" x14ac:dyDescent="0.25">
      <c r="A67" s="149" t="s">
        <v>452</v>
      </c>
      <c r="B67" s="252"/>
    </row>
    <row r="68" spans="1:7" x14ac:dyDescent="0.25">
      <c r="A68" s="149" t="s">
        <v>453</v>
      </c>
      <c r="B68" s="148"/>
    </row>
  </sheetData>
  <mergeCells count="18">
    <mergeCell ref="A46:A48"/>
    <mergeCell ref="E9:I13"/>
    <mergeCell ref="A20:D20"/>
    <mergeCell ref="B26:C26"/>
    <mergeCell ref="A28:A30"/>
    <mergeCell ref="A31:A33"/>
    <mergeCell ref="A25:C25"/>
    <mergeCell ref="A34:A36"/>
    <mergeCell ref="A37:A39"/>
    <mergeCell ref="A40:A42"/>
    <mergeCell ref="A43:A45"/>
    <mergeCell ref="B65:G65"/>
    <mergeCell ref="B66:G66"/>
    <mergeCell ref="A49:A51"/>
    <mergeCell ref="A52:A54"/>
    <mergeCell ref="A55:A57"/>
    <mergeCell ref="A58:A60"/>
    <mergeCell ref="A61:A6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99"/>
  </sheetPr>
  <dimension ref="A1:AJ96"/>
  <sheetViews>
    <sheetView showGridLines="0" tabSelected="1" zoomScale="90" zoomScaleNormal="90" workbookViewId="0">
      <selection activeCell="S6" sqref="S6"/>
    </sheetView>
  </sheetViews>
  <sheetFormatPr defaultColWidth="8.5546875" defaultRowHeight="15" customHeight="1" x14ac:dyDescent="0.25"/>
  <cols>
    <col min="1" max="2" width="8.5546875" style="12"/>
    <col min="3" max="3" width="9.109375" style="13" bestFit="1" customWidth="1"/>
    <col min="4" max="4" width="8.5546875" style="14"/>
    <col min="5" max="5" width="8.5546875" style="12"/>
    <col min="6" max="6" width="9.109375" style="12" bestFit="1" customWidth="1"/>
    <col min="7" max="12" width="8.5546875" style="12"/>
    <col min="13" max="13" width="8.5546875" style="12" customWidth="1"/>
    <col min="14" max="14" width="3.44140625" style="12" customWidth="1"/>
    <col min="15" max="15" width="11.44140625" style="12" customWidth="1"/>
    <col min="16" max="16" width="10.5546875" style="12" customWidth="1"/>
    <col min="17" max="17" width="13" style="12" customWidth="1"/>
    <col min="18" max="18" width="11.5546875" style="12" customWidth="1"/>
    <col min="19" max="19" width="12.44140625" style="12" customWidth="1"/>
    <col min="20" max="20" width="8.5546875" style="12"/>
    <col min="21" max="21" width="14.5546875" style="12" customWidth="1"/>
    <col min="22" max="22" width="9.44140625" style="12" customWidth="1"/>
    <col min="23" max="23" width="27" style="12" customWidth="1"/>
    <col min="24" max="16384" width="8.5546875" style="12"/>
  </cols>
  <sheetData>
    <row r="1" spans="1:33" ht="30" customHeight="1" x14ac:dyDescent="0.25">
      <c r="A1" s="283" t="s">
        <v>346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5"/>
    </row>
    <row r="2" spans="1:33" ht="15" customHeight="1" x14ac:dyDescent="0.25">
      <c r="A2" s="286"/>
      <c r="B2" s="286"/>
      <c r="C2" s="286"/>
      <c r="D2" s="286"/>
      <c r="E2" s="286"/>
      <c r="F2" s="286"/>
      <c r="G2" s="286"/>
      <c r="H2" s="286"/>
      <c r="I2" s="286"/>
      <c r="J2" s="286"/>
      <c r="K2" s="286"/>
      <c r="L2" s="286"/>
      <c r="O2" s="109"/>
      <c r="P2" s="109"/>
    </row>
    <row r="3" spans="1:33" ht="15" customHeight="1" x14ac:dyDescent="0.25">
      <c r="A3" s="23" t="s">
        <v>162</v>
      </c>
      <c r="B3" s="32"/>
      <c r="C3" s="32"/>
      <c r="D3" s="31" t="s">
        <v>8</v>
      </c>
      <c r="E3" s="287" t="str">
        <f>Q16</f>
        <v>PAS-IK-1102-032</v>
      </c>
      <c r="F3" s="287"/>
      <c r="G3" s="287"/>
      <c r="H3" s="288"/>
      <c r="I3"/>
      <c r="J3"/>
      <c r="K3"/>
      <c r="L3"/>
      <c r="M3"/>
      <c r="O3" s="109"/>
      <c r="P3" s="340"/>
      <c r="Q3" s="340"/>
      <c r="R3" s="340"/>
      <c r="S3" s="340"/>
      <c r="T3" s="340"/>
      <c r="U3" s="16"/>
      <c r="V3" s="16"/>
      <c r="W3" s="150"/>
      <c r="X3" s="150"/>
    </row>
    <row r="4" spans="1:33" ht="15" customHeight="1" x14ac:dyDescent="0.25">
      <c r="A4" s="23" t="s">
        <v>163</v>
      </c>
      <c r="B4" s="32"/>
      <c r="C4" s="32"/>
      <c r="D4" s="31" t="s">
        <v>8</v>
      </c>
      <c r="E4" s="287" t="str">
        <f>Q18</f>
        <v>JIS Z 8710: 1993	 ; SNSU PK.S-02:2021</v>
      </c>
      <c r="F4" s="287"/>
      <c r="G4" s="287"/>
      <c r="H4" s="288"/>
      <c r="I4" s="341"/>
      <c r="J4" s="341"/>
      <c r="K4" s="341"/>
      <c r="L4" s="341"/>
      <c r="M4" s="342"/>
      <c r="N4" s="109"/>
      <c r="O4" s="109"/>
      <c r="P4" s="340"/>
      <c r="Q4" s="340"/>
      <c r="R4" s="340"/>
      <c r="S4" s="340"/>
      <c r="T4" s="340"/>
      <c r="U4" s="16"/>
      <c r="V4" s="16"/>
      <c r="W4" s="150"/>
      <c r="X4" s="150"/>
    </row>
    <row r="5" spans="1:33" ht="15" customHeight="1" x14ac:dyDescent="0.25">
      <c r="E5" s="287"/>
      <c r="F5" s="287"/>
      <c r="G5" s="287"/>
      <c r="H5" s="288"/>
      <c r="I5"/>
      <c r="J5"/>
      <c r="K5"/>
      <c r="L5"/>
      <c r="M5"/>
      <c r="P5" s="340"/>
      <c r="Q5" s="340"/>
      <c r="R5" s="340"/>
      <c r="S5" s="340"/>
      <c r="T5" s="340"/>
      <c r="U5" s="16"/>
      <c r="V5" s="16"/>
    </row>
    <row r="6" spans="1:33" ht="15" customHeight="1" x14ac:dyDescent="0.25">
      <c r="A6" s="23" t="s">
        <v>146</v>
      </c>
      <c r="B6" s="18"/>
      <c r="C6" s="18"/>
      <c r="D6" s="30" t="s">
        <v>8</v>
      </c>
      <c r="E6" s="21">
        <f ca="1">TODAY()</f>
        <v>46029</v>
      </c>
      <c r="F6" s="305">
        <f ca="1">TODAY()</f>
        <v>46029</v>
      </c>
      <c r="G6" s="305"/>
      <c r="H6" s="22">
        <f ca="1">TODAY()</f>
        <v>46029</v>
      </c>
    </row>
    <row r="7" spans="1:33" ht="15" customHeight="1" x14ac:dyDescent="0.25">
      <c r="P7" s="33"/>
    </row>
    <row r="8" spans="1:33" ht="15" customHeight="1" x14ac:dyDescent="0.25">
      <c r="A8" s="289" t="s">
        <v>152</v>
      </c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1"/>
      <c r="N8" s="343"/>
      <c r="O8" s="343"/>
      <c r="P8" s="343"/>
      <c r="Q8" s="343"/>
      <c r="R8" s="343"/>
      <c r="S8" s="178"/>
      <c r="T8" s="178"/>
      <c r="U8" s="178"/>
      <c r="V8" s="178"/>
    </row>
    <row r="9" spans="1:33" ht="15" customHeight="1" x14ac:dyDescent="0.25">
      <c r="C9" s="12"/>
      <c r="D9" s="1"/>
      <c r="N9" s="343"/>
      <c r="O9" s="343"/>
      <c r="P9" s="343"/>
      <c r="Q9" s="343"/>
      <c r="R9" s="343"/>
    </row>
    <row r="10" spans="1:33" ht="15" customHeight="1" x14ac:dyDescent="0.25">
      <c r="A10" s="17" t="s">
        <v>147</v>
      </c>
      <c r="B10" s="18"/>
      <c r="C10" s="19"/>
      <c r="D10" s="30" t="s">
        <v>8</v>
      </c>
      <c r="E10" s="97"/>
      <c r="F10" s="306" t="s">
        <v>68</v>
      </c>
      <c r="G10" s="306"/>
      <c r="H10" s="20">
        <v>2025</v>
      </c>
      <c r="J10" s="304"/>
      <c r="K10" s="304"/>
      <c r="L10" s="304"/>
      <c r="N10" s="222"/>
      <c r="O10" s="150"/>
      <c r="P10" s="150"/>
      <c r="Q10" s="150"/>
      <c r="R10" s="150"/>
    </row>
    <row r="11" spans="1:33" ht="15" customHeight="1" x14ac:dyDescent="0.25">
      <c r="A11" s="17" t="s">
        <v>148</v>
      </c>
      <c r="B11" s="18"/>
      <c r="C11" s="19"/>
      <c r="D11" s="30" t="s">
        <v>8</v>
      </c>
      <c r="E11" s="100" t="s">
        <v>44</v>
      </c>
      <c r="F11" s="101" t="s">
        <v>249</v>
      </c>
      <c r="G11" s="101" t="str">
        <f>RIGHT(H10,2)</f>
        <v>25</v>
      </c>
      <c r="H11" s="298" t="s">
        <v>411</v>
      </c>
      <c r="I11" s="299"/>
      <c r="J11" s="304"/>
      <c r="K11" s="304"/>
      <c r="L11" s="304"/>
    </row>
    <row r="12" spans="1:33" ht="15" customHeight="1" x14ac:dyDescent="0.25">
      <c r="D12" s="1"/>
      <c r="Q12" s="12" t="str">
        <f>INDEX(W28:W42,V12)</f>
        <v>Precision Thermometer Standard, Sika, UM RTD; 2702D G15 0022A</v>
      </c>
      <c r="V12" s="179">
        <v>13</v>
      </c>
      <c r="W12" s="180" t="s">
        <v>365</v>
      </c>
      <c r="X12" s="148">
        <v>3</v>
      </c>
      <c r="Y12" s="350" t="s">
        <v>337</v>
      </c>
      <c r="Z12" s="351"/>
      <c r="AA12" s="278" t="s">
        <v>343</v>
      </c>
      <c r="AB12" s="278"/>
      <c r="AC12" s="278"/>
      <c r="AD12" s="278" t="s">
        <v>345</v>
      </c>
      <c r="AE12" s="278"/>
      <c r="AF12" s="278"/>
      <c r="AG12" s="278"/>
    </row>
    <row r="13" spans="1:33" ht="15" customHeight="1" x14ac:dyDescent="0.25">
      <c r="A13" s="25" t="s">
        <v>149</v>
      </c>
      <c r="B13" s="1"/>
      <c r="C13" s="15"/>
      <c r="E13" s="1"/>
      <c r="F13" s="1"/>
      <c r="G13" s="1"/>
      <c r="H13" s="1"/>
      <c r="I13" s="1"/>
      <c r="J13" s="1"/>
      <c r="K13" s="1"/>
      <c r="L13" s="1"/>
      <c r="Q13" s="12" t="str">
        <f>INDEX(W44:W58,V12)</f>
        <v>Micro Oilbath, Sika, TPM165S, 1704424 (Media)</v>
      </c>
      <c r="W13" s="180" t="s">
        <v>366</v>
      </c>
      <c r="Y13" s="350" t="s">
        <v>310</v>
      </c>
      <c r="Z13" s="351"/>
      <c r="AA13" s="278" t="s">
        <v>223</v>
      </c>
      <c r="AB13" s="278"/>
      <c r="AC13" s="278"/>
      <c r="AD13" s="278" t="s">
        <v>315</v>
      </c>
      <c r="AE13" s="278"/>
      <c r="AF13" s="278"/>
      <c r="AG13" s="278"/>
    </row>
    <row r="14" spans="1:33" ht="15" customHeight="1" x14ac:dyDescent="0.25">
      <c r="A14" s="17" t="s">
        <v>150</v>
      </c>
      <c r="B14" s="18"/>
      <c r="C14" s="19"/>
      <c r="D14" s="30" t="s">
        <v>8</v>
      </c>
      <c r="E14" s="300"/>
      <c r="F14" s="293"/>
      <c r="G14" s="293"/>
      <c r="H14" s="293"/>
      <c r="I14" s="293"/>
      <c r="J14" s="293"/>
      <c r="K14" s="293"/>
      <c r="L14" s="294"/>
      <c r="Q14" s="12" t="str">
        <f>INDEX(W60:W74,V12)</f>
        <v>Hasil kalibrasi yang dilaporkan tertelusur ke SI melalui SNSU BSN</v>
      </c>
      <c r="W14" s="180" t="s">
        <v>367</v>
      </c>
      <c r="Y14" s="350" t="s">
        <v>344</v>
      </c>
      <c r="Z14" s="351"/>
      <c r="AA14" s="278" t="s">
        <v>309</v>
      </c>
      <c r="AB14" s="278"/>
      <c r="AC14" s="278"/>
      <c r="AD14" s="278" t="s">
        <v>315</v>
      </c>
      <c r="AE14" s="278"/>
      <c r="AF14" s="278"/>
      <c r="AG14" s="278"/>
    </row>
    <row r="15" spans="1:33" ht="15" customHeight="1" x14ac:dyDescent="0.25">
      <c r="E15" s="301" t="s">
        <v>104</v>
      </c>
      <c r="F15" s="302"/>
      <c r="G15" s="302"/>
      <c r="H15" s="302"/>
      <c r="I15" s="302"/>
      <c r="J15" s="302"/>
      <c r="K15" s="302"/>
      <c r="L15" s="303"/>
      <c r="W15" s="180" t="s">
        <v>368</v>
      </c>
    </row>
    <row r="16" spans="1:33" ht="15" customHeight="1" x14ac:dyDescent="0.25">
      <c r="D16" s="1"/>
      <c r="E16" s="300"/>
      <c r="F16" s="293"/>
      <c r="G16" s="293"/>
      <c r="H16" s="293"/>
      <c r="I16" s="293"/>
      <c r="J16" s="293"/>
      <c r="K16" s="293"/>
      <c r="L16" s="294"/>
      <c r="Q16" s="12" t="str">
        <f>INDEX(AA12:AA14,X12)</f>
        <v>PAS-IK-1102-032</v>
      </c>
      <c r="W16" s="180" t="s">
        <v>369</v>
      </c>
    </row>
    <row r="17" spans="1:23" ht="15" customHeight="1" x14ac:dyDescent="0.25">
      <c r="D17" s="1"/>
      <c r="W17" s="180" t="s">
        <v>370</v>
      </c>
    </row>
    <row r="18" spans="1:23" ht="15" customHeight="1" x14ac:dyDescent="0.25">
      <c r="A18" s="17" t="s">
        <v>85</v>
      </c>
      <c r="B18" s="18"/>
      <c r="C18" s="19"/>
      <c r="D18" s="30" t="s">
        <v>8</v>
      </c>
      <c r="E18" s="292"/>
      <c r="F18" s="293"/>
      <c r="G18" s="293"/>
      <c r="H18" s="294"/>
      <c r="I18"/>
      <c r="J18"/>
      <c r="K18"/>
      <c r="L18"/>
      <c r="Q18" s="12" t="str">
        <f>INDEX(AD12:AD14,X12)</f>
        <v>JIS Z 8710: 1993	 ; SNSU PK.S-02:2021</v>
      </c>
      <c r="W18" s="180" t="s">
        <v>372</v>
      </c>
    </row>
    <row r="19" spans="1:23" ht="15" customHeight="1" x14ac:dyDescent="0.25">
      <c r="A19" s="17" t="s">
        <v>151</v>
      </c>
      <c r="B19" s="18"/>
      <c r="C19" s="19"/>
      <c r="D19" s="30" t="s">
        <v>8</v>
      </c>
      <c r="E19" s="295"/>
      <c r="F19" s="296"/>
      <c r="G19" s="296"/>
      <c r="H19" s="297"/>
      <c r="W19" s="180" t="s">
        <v>371</v>
      </c>
    </row>
    <row r="20" spans="1:23" ht="15" customHeight="1" x14ac:dyDescent="0.25">
      <c r="A20" s="17" t="s">
        <v>105</v>
      </c>
      <c r="B20" s="18"/>
      <c r="C20" s="19"/>
      <c r="D20" s="31" t="s">
        <v>8</v>
      </c>
      <c r="E20" s="295"/>
      <c r="F20" s="296"/>
      <c r="G20" s="296"/>
      <c r="H20" s="297"/>
      <c r="W20" s="180" t="s">
        <v>373</v>
      </c>
    </row>
    <row r="21" spans="1:23" ht="15" customHeight="1" x14ac:dyDescent="0.25">
      <c r="A21" s="17" t="s">
        <v>245</v>
      </c>
      <c r="B21" s="18"/>
      <c r="C21" s="19"/>
      <c r="D21" s="30" t="s">
        <v>8</v>
      </c>
      <c r="E21" s="295"/>
      <c r="F21" s="296"/>
      <c r="G21" s="296"/>
      <c r="H21" s="296"/>
      <c r="I21" s="317"/>
      <c r="J21" s="312"/>
      <c r="K21" s="312"/>
      <c r="L21" s="312"/>
      <c r="W21" s="180" t="s">
        <v>374</v>
      </c>
    </row>
    <row r="22" spans="1:23" ht="15" customHeight="1" x14ac:dyDescent="0.25">
      <c r="W22" s="180" t="s">
        <v>375</v>
      </c>
    </row>
    <row r="23" spans="1:23" ht="15" customHeight="1" x14ac:dyDescent="0.25">
      <c r="A23" s="17" t="s">
        <v>225</v>
      </c>
      <c r="B23" s="18"/>
      <c r="C23" s="19"/>
      <c r="D23" s="31" t="s">
        <v>8</v>
      </c>
      <c r="E23" s="310"/>
      <c r="F23" s="311"/>
      <c r="G23" s="91" t="s">
        <v>160</v>
      </c>
      <c r="H23" s="310"/>
      <c r="I23" s="311"/>
      <c r="J23" s="91" t="s">
        <v>160</v>
      </c>
      <c r="W23" s="180" t="s">
        <v>376</v>
      </c>
    </row>
    <row r="24" spans="1:23" ht="15" customHeight="1" x14ac:dyDescent="0.25">
      <c r="A24" s="17" t="s">
        <v>153</v>
      </c>
      <c r="B24" s="18"/>
      <c r="C24" s="19"/>
      <c r="D24" s="31" t="s">
        <v>8</v>
      </c>
      <c r="E24" s="307"/>
      <c r="F24" s="308"/>
      <c r="G24" s="91" t="s">
        <v>160</v>
      </c>
      <c r="H24" s="156"/>
      <c r="I24" s="1"/>
      <c r="J24" s="1"/>
      <c r="W24" s="180" t="s">
        <v>406</v>
      </c>
    </row>
    <row r="25" spans="1:23" ht="15" customHeight="1" x14ac:dyDescent="0.25">
      <c r="A25" s="17" t="s">
        <v>258</v>
      </c>
      <c r="B25" s="18"/>
      <c r="C25" s="19"/>
      <c r="D25" s="30" t="s">
        <v>8</v>
      </c>
      <c r="E25" s="153"/>
      <c r="F25" s="157" t="s">
        <v>259</v>
      </c>
      <c r="G25" s="154"/>
      <c r="H25" s="155"/>
      <c r="I25" s="312"/>
      <c r="J25" s="312"/>
      <c r="K25" s="312"/>
      <c r="L25" s="312"/>
      <c r="W25" s="180" t="s">
        <v>407</v>
      </c>
    </row>
    <row r="26" spans="1:23" ht="15" customHeight="1" x14ac:dyDescent="0.25">
      <c r="W26" s="180" t="s">
        <v>408</v>
      </c>
    </row>
    <row r="27" spans="1:23" ht="15" customHeight="1" x14ac:dyDescent="0.25">
      <c r="A27" s="25" t="s">
        <v>154</v>
      </c>
    </row>
    <row r="28" spans="1:23" ht="15" customHeight="1" x14ac:dyDescent="0.25">
      <c r="A28" s="17" t="s">
        <v>164</v>
      </c>
      <c r="B28" s="18"/>
      <c r="C28" s="19"/>
      <c r="D28" s="30" t="s">
        <v>8</v>
      </c>
      <c r="E28" s="313"/>
      <c r="F28" s="313"/>
      <c r="G28" s="313"/>
      <c r="H28" s="313"/>
      <c r="I28" s="313"/>
      <c r="J28" s="313"/>
      <c r="K28" s="313"/>
      <c r="L28" s="313"/>
      <c r="W28" s="12" t="s">
        <v>364</v>
      </c>
    </row>
    <row r="29" spans="1:23" ht="15" customHeight="1" x14ac:dyDescent="0.25">
      <c r="A29" s="17" t="s">
        <v>155</v>
      </c>
      <c r="B29" s="18"/>
      <c r="C29" s="19"/>
      <c r="D29" s="30" t="s">
        <v>8</v>
      </c>
      <c r="E29" s="314"/>
      <c r="F29" s="315"/>
      <c r="G29" s="315"/>
      <c r="H29" s="315"/>
      <c r="I29" s="315"/>
      <c r="J29" s="315"/>
      <c r="K29" s="315"/>
      <c r="L29" s="316"/>
      <c r="W29" s="12" t="s">
        <v>364</v>
      </c>
    </row>
    <row r="30" spans="1:23" ht="15" customHeight="1" x14ac:dyDescent="0.25">
      <c r="E30" s="216"/>
      <c r="F30" s="216"/>
      <c r="G30" s="216"/>
      <c r="H30" s="216"/>
      <c r="I30" s="216"/>
      <c r="J30" s="216"/>
      <c r="K30" s="216"/>
      <c r="L30" s="216"/>
      <c r="W30" s="12" t="s">
        <v>364</v>
      </c>
    </row>
    <row r="31" spans="1:23" ht="15" customHeight="1" x14ac:dyDescent="0.25">
      <c r="A31" s="17" t="s">
        <v>156</v>
      </c>
      <c r="B31" s="18"/>
      <c r="C31" s="19"/>
      <c r="D31" s="30" t="s">
        <v>8</v>
      </c>
      <c r="E31" s="295"/>
      <c r="F31" s="296"/>
      <c r="G31" s="296"/>
      <c r="H31" s="296"/>
      <c r="I31" s="296"/>
      <c r="J31" s="296"/>
      <c r="K31" s="296"/>
      <c r="L31" s="297"/>
      <c r="W31" s="12" t="s">
        <v>301</v>
      </c>
    </row>
    <row r="32" spans="1:23" ht="15" customHeight="1" x14ac:dyDescent="0.25">
      <c r="E32" s="295"/>
      <c r="F32" s="296"/>
      <c r="G32" s="296"/>
      <c r="H32" s="296"/>
      <c r="I32" s="296"/>
      <c r="J32" s="296"/>
      <c r="K32" s="296"/>
      <c r="L32" s="297"/>
      <c r="W32" s="12" t="s">
        <v>301</v>
      </c>
    </row>
    <row r="33" spans="1:35" ht="15" customHeight="1" x14ac:dyDescent="0.25">
      <c r="E33" s="16"/>
      <c r="F33" s="16"/>
      <c r="G33" s="16"/>
      <c r="H33" s="16"/>
      <c r="I33" s="16"/>
      <c r="J33" s="16"/>
      <c r="K33" s="16"/>
      <c r="L33" s="16"/>
      <c r="W33" s="12" t="s">
        <v>301</v>
      </c>
    </row>
    <row r="34" spans="1:35" ht="15" customHeight="1" x14ac:dyDescent="0.25">
      <c r="A34" s="25" t="s">
        <v>157</v>
      </c>
      <c r="W34" s="12" t="s">
        <v>377</v>
      </c>
    </row>
    <row r="35" spans="1:35" ht="15" customHeight="1" x14ac:dyDescent="0.25">
      <c r="A35" s="17" t="s">
        <v>328</v>
      </c>
      <c r="B35" s="18"/>
      <c r="C35" s="19"/>
      <c r="D35" s="30" t="s">
        <v>8</v>
      </c>
      <c r="E35" s="98"/>
      <c r="F35" s="306" t="s">
        <v>68</v>
      </c>
      <c r="G35" s="306"/>
      <c r="H35" s="24">
        <f>H10</f>
        <v>2025</v>
      </c>
      <c r="W35" s="12" t="s">
        <v>377</v>
      </c>
    </row>
    <row r="36" spans="1:35" ht="15" customHeight="1" x14ac:dyDescent="0.25">
      <c r="A36" s="17" t="s">
        <v>86</v>
      </c>
      <c r="B36" s="18"/>
      <c r="C36" s="19"/>
      <c r="D36" s="30" t="s">
        <v>8</v>
      </c>
      <c r="E36" s="98"/>
      <c r="F36" s="306" t="s">
        <v>68</v>
      </c>
      <c r="G36" s="306"/>
      <c r="H36" s="24">
        <f>H10</f>
        <v>2025</v>
      </c>
      <c r="W36" s="12" t="s">
        <v>377</v>
      </c>
    </row>
    <row r="37" spans="1:35" ht="15" customHeight="1" x14ac:dyDescent="0.25">
      <c r="A37" s="17" t="s">
        <v>87</v>
      </c>
      <c r="B37" s="18"/>
      <c r="C37" s="19"/>
      <c r="D37" s="30" t="s">
        <v>8</v>
      </c>
      <c r="E37" s="300" t="s">
        <v>213</v>
      </c>
      <c r="F37" s="293"/>
      <c r="G37" s="293"/>
      <c r="H37" s="293"/>
      <c r="I37" s="293"/>
      <c r="J37" s="293"/>
      <c r="K37" s="293"/>
      <c r="L37" s="294"/>
      <c r="W37" s="12" t="s">
        <v>378</v>
      </c>
    </row>
    <row r="38" spans="1:35" ht="15" customHeight="1" x14ac:dyDescent="0.25">
      <c r="W38" s="12" t="s">
        <v>378</v>
      </c>
    </row>
    <row r="39" spans="1:35" ht="15" customHeight="1" x14ac:dyDescent="0.25">
      <c r="A39" s="87" t="s">
        <v>187</v>
      </c>
      <c r="B39" s="88"/>
      <c r="C39" s="89"/>
      <c r="D39" s="90" t="s">
        <v>8</v>
      </c>
      <c r="E39" s="309" t="s">
        <v>235</v>
      </c>
      <c r="F39" s="309"/>
      <c r="G39" s="309"/>
      <c r="W39" s="12" t="s">
        <v>378</v>
      </c>
    </row>
    <row r="40" spans="1:35" ht="15" customHeight="1" x14ac:dyDescent="0.25">
      <c r="A40" s="17" t="s">
        <v>158</v>
      </c>
      <c r="B40" s="18"/>
      <c r="C40" s="19"/>
      <c r="D40" s="30" t="s">
        <v>8</v>
      </c>
      <c r="E40" s="26">
        <v>20</v>
      </c>
      <c r="F40" s="26">
        <f>E40</f>
        <v>20</v>
      </c>
      <c r="G40" s="26">
        <f>F40</f>
        <v>20</v>
      </c>
      <c r="H40" s="27">
        <f ca="1">'KONTROL SUHU'!B314</f>
        <v>19.447169811320755</v>
      </c>
      <c r="I40" s="28" t="s">
        <v>12</v>
      </c>
      <c r="J40" s="27">
        <f>'KONTROL SUHU'!C321</f>
        <v>0.57999999999999996</v>
      </c>
      <c r="K40" s="29" t="s">
        <v>160</v>
      </c>
      <c r="W40" s="12" t="s">
        <v>405</v>
      </c>
    </row>
    <row r="41" spans="1:35" ht="15" customHeight="1" x14ac:dyDescent="0.25">
      <c r="A41" s="17" t="s">
        <v>159</v>
      </c>
      <c r="B41" s="18"/>
      <c r="C41" s="19"/>
      <c r="D41" s="30" t="s">
        <v>8</v>
      </c>
      <c r="E41" s="26">
        <v>50</v>
      </c>
      <c r="F41" s="26">
        <f>E41</f>
        <v>50</v>
      </c>
      <c r="G41" s="26">
        <f>F41</f>
        <v>50</v>
      </c>
      <c r="H41" s="27">
        <f ca="1">'KONTROL SUHU'!G314</f>
        <v>47.81818181818182</v>
      </c>
      <c r="I41" s="28" t="s">
        <v>12</v>
      </c>
      <c r="J41" s="27">
        <f>'KONTROL SUHU'!D321</f>
        <v>3</v>
      </c>
      <c r="K41" s="29" t="s">
        <v>47</v>
      </c>
      <c r="W41" s="12" t="s">
        <v>405</v>
      </c>
    </row>
    <row r="42" spans="1:35" ht="15" customHeight="1" x14ac:dyDescent="0.25">
      <c r="W42" s="12" t="s">
        <v>405</v>
      </c>
    </row>
    <row r="43" spans="1:35" ht="15" customHeight="1" x14ac:dyDescent="0.25">
      <c r="A43" s="17" t="s">
        <v>161</v>
      </c>
      <c r="B43" s="18"/>
      <c r="C43" s="19"/>
      <c r="D43" s="30" t="s">
        <v>8</v>
      </c>
      <c r="E43" s="318" t="s">
        <v>227</v>
      </c>
      <c r="F43" s="318"/>
      <c r="G43" s="318"/>
    </row>
    <row r="44" spans="1:35" ht="15" customHeight="1" x14ac:dyDescent="0.25">
      <c r="E44"/>
      <c r="F44"/>
      <c r="G44"/>
      <c r="H44"/>
      <c r="W44" s="12" t="s">
        <v>224</v>
      </c>
    </row>
    <row r="45" spans="1:35" ht="15" customHeight="1" x14ac:dyDescent="0.25">
      <c r="E45"/>
      <c r="F45"/>
      <c r="G45"/>
      <c r="H45"/>
      <c r="W45" s="12" t="s">
        <v>379</v>
      </c>
    </row>
    <row r="46" spans="1:35" s="14" customFormat="1" ht="15" customHeight="1" x14ac:dyDescent="0.25">
      <c r="A46" s="279" t="s">
        <v>200</v>
      </c>
      <c r="B46" s="280"/>
      <c r="C46" s="260" t="s">
        <v>201</v>
      </c>
      <c r="D46" s="261"/>
      <c r="E46" s="261"/>
      <c r="F46" s="262"/>
      <c r="H46" s="279" t="s">
        <v>200</v>
      </c>
      <c r="I46" s="280"/>
      <c r="J46" s="260" t="s">
        <v>201</v>
      </c>
      <c r="K46" s="261"/>
      <c r="L46" s="261"/>
      <c r="M46" s="262"/>
      <c r="N46" s="279" t="s">
        <v>398</v>
      </c>
      <c r="O46" s="337"/>
      <c r="P46" s="280"/>
      <c r="Q46" s="329" t="s">
        <v>306</v>
      </c>
      <c r="R46" s="330"/>
      <c r="S46" s="279" t="s">
        <v>212</v>
      </c>
      <c r="T46" s="280"/>
      <c r="U46" s="12"/>
      <c r="V46" s="12"/>
      <c r="W46" s="12" t="s">
        <v>312</v>
      </c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1:35" s="14" customFormat="1" ht="15" customHeight="1" x14ac:dyDescent="0.25">
      <c r="A47" s="281"/>
      <c r="B47" s="282"/>
      <c r="C47" s="279" t="s">
        <v>199</v>
      </c>
      <c r="D47" s="280"/>
      <c r="E47" s="279" t="s">
        <v>42</v>
      </c>
      <c r="F47" s="280"/>
      <c r="H47" s="281"/>
      <c r="I47" s="282"/>
      <c r="J47" s="279" t="s">
        <v>304</v>
      </c>
      <c r="K47" s="280"/>
      <c r="L47" s="279" t="s">
        <v>305</v>
      </c>
      <c r="M47" s="280"/>
      <c r="N47" s="336" t="s">
        <v>199</v>
      </c>
      <c r="O47" s="336"/>
      <c r="P47" s="91" t="s">
        <v>42</v>
      </c>
      <c r="Q47" s="331"/>
      <c r="R47" s="332"/>
      <c r="S47" s="281"/>
      <c r="T47" s="282"/>
      <c r="U47" s="12"/>
      <c r="V47" s="12"/>
      <c r="W47" s="12" t="s">
        <v>224</v>
      </c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1:35" s="14" customFormat="1" ht="15" customHeight="1" x14ac:dyDescent="0.25">
      <c r="A48" s="319" t="s">
        <v>160</v>
      </c>
      <c r="B48" s="320"/>
      <c r="C48" s="319" t="s">
        <v>160</v>
      </c>
      <c r="D48" s="320"/>
      <c r="E48" s="319" t="s">
        <v>160</v>
      </c>
      <c r="F48" s="320"/>
      <c r="H48" s="319" t="s">
        <v>160</v>
      </c>
      <c r="I48" s="320"/>
      <c r="J48" s="319" t="s">
        <v>160</v>
      </c>
      <c r="K48" s="320"/>
      <c r="L48" s="319" t="s">
        <v>160</v>
      </c>
      <c r="M48" s="320"/>
      <c r="N48" s="319" t="s">
        <v>160</v>
      </c>
      <c r="O48" s="320"/>
      <c r="P48" s="238" t="s">
        <v>160</v>
      </c>
      <c r="Q48" s="319" t="s">
        <v>160</v>
      </c>
      <c r="R48" s="320"/>
      <c r="S48" s="319" t="s">
        <v>160</v>
      </c>
      <c r="T48" s="320"/>
      <c r="U48" s="12"/>
      <c r="V48" s="12"/>
      <c r="W48" s="12" t="s">
        <v>379</v>
      </c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1:36" s="108" customFormat="1" ht="15" customHeight="1" x14ac:dyDescent="0.25">
      <c r="A49" s="324"/>
      <c r="B49" s="324"/>
      <c r="C49" s="325"/>
      <c r="D49" s="325"/>
      <c r="E49" s="325"/>
      <c r="F49" s="325"/>
      <c r="G49" s="109"/>
      <c r="H49" s="265">
        <f>A49</f>
        <v>0</v>
      </c>
      <c r="I49" s="265"/>
      <c r="J49" s="323">
        <f>AVERAGE(C49:D51)</f>
        <v>0</v>
      </c>
      <c r="K49" s="323"/>
      <c r="L49" s="326">
        <f>AVERAGE(E49:F51)</f>
        <v>0</v>
      </c>
      <c r="M49" s="326"/>
      <c r="N49" s="338">
        <f>STDEV(C49:D51)</f>
        <v>0</v>
      </c>
      <c r="O49" s="339"/>
      <c r="P49" s="122">
        <f>STDEV(E49:F51)</f>
        <v>0</v>
      </c>
      <c r="Q49" s="326">
        <f ca="1">L49+STANDAR!AT23</f>
        <v>7.9000000000000001E-2</v>
      </c>
      <c r="R49" s="326"/>
      <c r="S49" s="326">
        <f ca="1">Q49-J49</f>
        <v>7.9000000000000001E-2</v>
      </c>
      <c r="T49" s="326"/>
      <c r="W49" s="12" t="s">
        <v>312</v>
      </c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1:36" s="109" customFormat="1" ht="15" customHeight="1" x14ac:dyDescent="0.25">
      <c r="A50" s="324"/>
      <c r="B50" s="324"/>
      <c r="C50" s="321">
        <f>C49</f>
        <v>0</v>
      </c>
      <c r="D50" s="322"/>
      <c r="E50" s="321">
        <f>E49</f>
        <v>0</v>
      </c>
      <c r="F50" s="322"/>
      <c r="H50" s="265">
        <f>A52</f>
        <v>0</v>
      </c>
      <c r="I50" s="265"/>
      <c r="J50" s="323">
        <f>AVERAGE(C52:D54)</f>
        <v>0</v>
      </c>
      <c r="K50" s="323"/>
      <c r="L50" s="326">
        <f>AVERAGE(E52:F54)</f>
        <v>0</v>
      </c>
      <c r="M50" s="326"/>
      <c r="N50" s="338">
        <f>STDEV(C52:D54)</f>
        <v>0</v>
      </c>
      <c r="O50" s="339"/>
      <c r="P50" s="122">
        <f>STDEV(E52:F54)</f>
        <v>0</v>
      </c>
      <c r="Q50" s="326">
        <f ca="1">L50+STANDAR!AT24</f>
        <v>7.9000000000000001E-2</v>
      </c>
      <c r="R50" s="326"/>
      <c r="S50" s="326">
        <f t="shared" ref="S50:S59" ca="1" si="0">Q50-J50</f>
        <v>7.9000000000000001E-2</v>
      </c>
      <c r="T50" s="326"/>
      <c r="U50" s="108"/>
      <c r="V50" s="108"/>
      <c r="W50" s="12" t="s">
        <v>224</v>
      </c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1:36" s="109" customFormat="1" ht="15" customHeight="1" x14ac:dyDescent="0.25">
      <c r="A51" s="324"/>
      <c r="B51" s="324"/>
      <c r="C51" s="321">
        <f>C50</f>
        <v>0</v>
      </c>
      <c r="D51" s="322"/>
      <c r="E51" s="321">
        <f>E50</f>
        <v>0</v>
      </c>
      <c r="F51" s="322"/>
      <c r="H51" s="265">
        <f>A55</f>
        <v>0</v>
      </c>
      <c r="I51" s="265"/>
      <c r="J51" s="323">
        <f>AVERAGE(C55:D57)</f>
        <v>0</v>
      </c>
      <c r="K51" s="323"/>
      <c r="L51" s="326">
        <f>AVERAGE(E55:F57)</f>
        <v>0</v>
      </c>
      <c r="M51" s="326"/>
      <c r="N51" s="338">
        <f>STDEV(C55:D57)</f>
        <v>0</v>
      </c>
      <c r="O51" s="339"/>
      <c r="P51" s="122">
        <f>STDEV(E55:F57)</f>
        <v>0</v>
      </c>
      <c r="Q51" s="326">
        <f ca="1">L51+STANDAR!AT25</f>
        <v>7.9000000000000001E-2</v>
      </c>
      <c r="R51" s="326"/>
      <c r="S51" s="326">
        <f t="shared" ca="1" si="0"/>
        <v>7.9000000000000001E-2</v>
      </c>
      <c r="T51" s="326"/>
      <c r="U51" s="108"/>
      <c r="V51" s="108"/>
      <c r="W51" s="12" t="s">
        <v>379</v>
      </c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08"/>
    </row>
    <row r="52" spans="1:36" s="108" customFormat="1" ht="15" customHeight="1" x14ac:dyDescent="0.25">
      <c r="A52" s="324"/>
      <c r="B52" s="324"/>
      <c r="C52" s="321"/>
      <c r="D52" s="322"/>
      <c r="E52" s="321"/>
      <c r="F52" s="322"/>
      <c r="G52" s="109"/>
      <c r="H52" s="265">
        <f>A58</f>
        <v>0</v>
      </c>
      <c r="I52" s="265"/>
      <c r="J52" s="323">
        <f>AVERAGE(C58:D60)</f>
        <v>0</v>
      </c>
      <c r="K52" s="323"/>
      <c r="L52" s="326">
        <f>AVERAGE(E58:F60)</f>
        <v>0</v>
      </c>
      <c r="M52" s="326"/>
      <c r="N52" s="338">
        <f>STDEV(C58:D60)</f>
        <v>0</v>
      </c>
      <c r="O52" s="339"/>
      <c r="P52" s="122">
        <f>STDEV(E58:F60)</f>
        <v>0</v>
      </c>
      <c r="Q52" s="326">
        <f ca="1">L52+STANDAR!AT26</f>
        <v>7.9000000000000001E-2</v>
      </c>
      <c r="R52" s="326"/>
      <c r="S52" s="326">
        <f t="shared" ca="1" si="0"/>
        <v>7.9000000000000001E-2</v>
      </c>
      <c r="T52" s="326"/>
      <c r="W52" s="12" t="s">
        <v>312</v>
      </c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4"/>
      <c r="AI52" s="14"/>
    </row>
    <row r="53" spans="1:36" s="109" customFormat="1" ht="15" customHeight="1" x14ac:dyDescent="0.25">
      <c r="A53" s="324"/>
      <c r="B53" s="324"/>
      <c r="C53" s="321">
        <f>C52</f>
        <v>0</v>
      </c>
      <c r="D53" s="322"/>
      <c r="E53" s="321">
        <f>E52</f>
        <v>0</v>
      </c>
      <c r="F53" s="322"/>
      <c r="H53" s="265">
        <f>A61</f>
        <v>0</v>
      </c>
      <c r="I53" s="265"/>
      <c r="J53" s="323">
        <f>AVERAGE(C61:D63)</f>
        <v>0</v>
      </c>
      <c r="K53" s="323"/>
      <c r="L53" s="326">
        <f>AVERAGE(E61:F63)</f>
        <v>0</v>
      </c>
      <c r="M53" s="326"/>
      <c r="N53" s="338">
        <f>STDEV(C61:D63)</f>
        <v>0</v>
      </c>
      <c r="O53" s="339"/>
      <c r="P53" s="122">
        <f>STDEV(E61:F63)</f>
        <v>0</v>
      </c>
      <c r="Q53" s="326">
        <f ca="1">L53+STANDAR!AT27</f>
        <v>7.9000000000000001E-2</v>
      </c>
      <c r="R53" s="326"/>
      <c r="S53" s="326">
        <f t="shared" ca="1" si="0"/>
        <v>7.9000000000000001E-2</v>
      </c>
      <c r="T53" s="326"/>
      <c r="U53" s="108"/>
      <c r="V53" s="108"/>
      <c r="W53" s="12" t="s">
        <v>224</v>
      </c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4"/>
      <c r="AI53" s="14"/>
    </row>
    <row r="54" spans="1:36" s="109" customFormat="1" ht="15" customHeight="1" x14ac:dyDescent="0.25">
      <c r="A54" s="324"/>
      <c r="B54" s="324"/>
      <c r="C54" s="321">
        <f>C53</f>
        <v>0</v>
      </c>
      <c r="D54" s="322"/>
      <c r="E54" s="321">
        <f>E53</f>
        <v>0</v>
      </c>
      <c r="F54" s="322"/>
      <c r="H54" s="265">
        <f>A64</f>
        <v>0</v>
      </c>
      <c r="I54" s="265"/>
      <c r="J54" s="323">
        <f>AVERAGE(C64:D66)</f>
        <v>0</v>
      </c>
      <c r="K54" s="323"/>
      <c r="L54" s="326">
        <f>AVERAGE(E64:F66)</f>
        <v>0</v>
      </c>
      <c r="M54" s="326"/>
      <c r="N54" s="338">
        <f>STDEV(C64:D66)</f>
        <v>0</v>
      </c>
      <c r="O54" s="339"/>
      <c r="P54" s="122">
        <f>STDEV(E64:F66)</f>
        <v>0</v>
      </c>
      <c r="Q54" s="326">
        <f ca="1">L54+STANDAR!AT28</f>
        <v>7.9000000000000001E-2</v>
      </c>
      <c r="R54" s="326"/>
      <c r="S54" s="326">
        <f t="shared" ca="1" si="0"/>
        <v>7.9000000000000001E-2</v>
      </c>
      <c r="T54" s="326"/>
      <c r="U54" s="108"/>
      <c r="V54" s="108"/>
      <c r="W54" s="12" t="s">
        <v>379</v>
      </c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4"/>
      <c r="AI54" s="14"/>
      <c r="AJ54" s="108"/>
    </row>
    <row r="55" spans="1:36" s="109" customFormat="1" ht="15" customHeight="1" x14ac:dyDescent="0.25">
      <c r="A55" s="324"/>
      <c r="B55" s="324"/>
      <c r="C55" s="325"/>
      <c r="D55" s="325"/>
      <c r="E55" s="325"/>
      <c r="F55" s="325"/>
      <c r="H55" s="265">
        <f>A67</f>
        <v>0</v>
      </c>
      <c r="I55" s="265"/>
      <c r="J55" s="323">
        <f>AVERAGE(C67:D69)</f>
        <v>0</v>
      </c>
      <c r="K55" s="323"/>
      <c r="L55" s="326">
        <f>AVERAGE(E67:F69)</f>
        <v>0</v>
      </c>
      <c r="M55" s="326"/>
      <c r="N55" s="338">
        <f>STDEV(C67:D69)</f>
        <v>0</v>
      </c>
      <c r="O55" s="339"/>
      <c r="P55" s="122">
        <f>STDEV(E67:F69)</f>
        <v>0</v>
      </c>
      <c r="Q55" s="326">
        <f ca="1">L55+STANDAR!AT29</f>
        <v>7.9000000000000001E-2</v>
      </c>
      <c r="R55" s="326"/>
      <c r="S55" s="326">
        <f t="shared" ca="1" si="0"/>
        <v>7.9000000000000001E-2</v>
      </c>
      <c r="T55" s="326"/>
      <c r="U55" s="108"/>
      <c r="V55" s="108"/>
      <c r="W55" s="12" t="s">
        <v>312</v>
      </c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08"/>
      <c r="AI55" s="108"/>
      <c r="AJ55" s="108"/>
    </row>
    <row r="56" spans="1:36" s="109" customFormat="1" ht="15" customHeight="1" x14ac:dyDescent="0.25">
      <c r="A56" s="324"/>
      <c r="B56" s="324"/>
      <c r="C56" s="321">
        <f>C55</f>
        <v>0</v>
      </c>
      <c r="D56" s="322"/>
      <c r="E56" s="321">
        <f>E55</f>
        <v>0</v>
      </c>
      <c r="F56" s="322"/>
      <c r="H56" s="265">
        <f>A70</f>
        <v>0</v>
      </c>
      <c r="I56" s="265"/>
      <c r="J56" s="323">
        <f>AVERAGE(C70:D72)</f>
        <v>0</v>
      </c>
      <c r="K56" s="323"/>
      <c r="L56" s="326">
        <f>AVERAGE(E70:F72)</f>
        <v>0</v>
      </c>
      <c r="M56" s="326"/>
      <c r="N56" s="338">
        <f>STDEV(C70:D72)</f>
        <v>0</v>
      </c>
      <c r="O56" s="339"/>
      <c r="P56" s="122">
        <f>STDEV(E70:F72)</f>
        <v>0</v>
      </c>
      <c r="Q56" s="326">
        <f ca="1">L56+STANDAR!AT30</f>
        <v>7.9000000000000001E-2</v>
      </c>
      <c r="R56" s="326"/>
      <c r="S56" s="326">
        <f t="shared" ca="1" si="0"/>
        <v>7.9000000000000001E-2</v>
      </c>
      <c r="T56" s="326"/>
      <c r="U56" s="108"/>
      <c r="V56" s="108"/>
      <c r="W56" s="12" t="s">
        <v>224</v>
      </c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J56" s="108"/>
    </row>
    <row r="57" spans="1:36" s="109" customFormat="1" ht="15" customHeight="1" x14ac:dyDescent="0.25">
      <c r="A57" s="324"/>
      <c r="B57" s="324"/>
      <c r="C57" s="321">
        <f>C56</f>
        <v>0</v>
      </c>
      <c r="D57" s="322"/>
      <c r="E57" s="321">
        <f>E56</f>
        <v>0</v>
      </c>
      <c r="F57" s="322"/>
      <c r="H57" s="265">
        <f>A73</f>
        <v>0</v>
      </c>
      <c r="I57" s="265"/>
      <c r="J57" s="323">
        <f>AVERAGE(C73:D75)</f>
        <v>0</v>
      </c>
      <c r="K57" s="323"/>
      <c r="L57" s="326">
        <f>AVERAGE(E73:F75)</f>
        <v>0</v>
      </c>
      <c r="M57" s="326"/>
      <c r="N57" s="338">
        <f>STDEV(C73:D75)</f>
        <v>0</v>
      </c>
      <c r="O57" s="339"/>
      <c r="P57" s="122">
        <f>STDEV(E73:F75)</f>
        <v>0</v>
      </c>
      <c r="Q57" s="326">
        <f ca="1">L57+STANDAR!AT31</f>
        <v>7.9000000000000001E-2</v>
      </c>
      <c r="R57" s="326"/>
      <c r="S57" s="326">
        <f t="shared" ca="1" si="0"/>
        <v>7.9000000000000001E-2</v>
      </c>
      <c r="T57" s="326"/>
      <c r="U57" s="108"/>
      <c r="V57" s="108"/>
      <c r="W57" s="12" t="s">
        <v>379</v>
      </c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08"/>
      <c r="AI57" s="108"/>
      <c r="AJ57" s="108"/>
    </row>
    <row r="58" spans="1:36" s="109" customFormat="1" ht="15" customHeight="1" x14ac:dyDescent="0.25">
      <c r="A58" s="324"/>
      <c r="B58" s="324"/>
      <c r="C58" s="325"/>
      <c r="D58" s="325"/>
      <c r="E58" s="325"/>
      <c r="F58" s="325"/>
      <c r="H58" s="265">
        <f>A76</f>
        <v>0</v>
      </c>
      <c r="I58" s="265"/>
      <c r="J58" s="323">
        <f>AVERAGE(C76:D78)</f>
        <v>0</v>
      </c>
      <c r="K58" s="323"/>
      <c r="L58" s="326">
        <f>AVERAGE(E76:F78)</f>
        <v>0</v>
      </c>
      <c r="M58" s="326"/>
      <c r="N58" s="338">
        <f>STDEV(C76:D78)</f>
        <v>0</v>
      </c>
      <c r="O58" s="339"/>
      <c r="P58" s="122">
        <f>STDEV(E76:F78)</f>
        <v>0</v>
      </c>
      <c r="Q58" s="326">
        <f ca="1">L58+STANDAR!AT32</f>
        <v>7.9000000000000001E-2</v>
      </c>
      <c r="R58" s="326"/>
      <c r="S58" s="326">
        <f t="shared" ca="1" si="0"/>
        <v>7.9000000000000001E-2</v>
      </c>
      <c r="T58" s="326"/>
      <c r="U58" s="108"/>
      <c r="V58" s="108"/>
      <c r="W58" s="12" t="s">
        <v>312</v>
      </c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08"/>
      <c r="AI58" s="108"/>
      <c r="AJ58" s="108"/>
    </row>
    <row r="59" spans="1:36" s="109" customFormat="1" ht="15" customHeight="1" x14ac:dyDescent="0.25">
      <c r="A59" s="324"/>
      <c r="B59" s="324"/>
      <c r="C59" s="321">
        <f>C58</f>
        <v>0</v>
      </c>
      <c r="D59" s="322"/>
      <c r="E59" s="321">
        <f>E58</f>
        <v>0</v>
      </c>
      <c r="F59" s="322"/>
      <c r="H59" s="265">
        <f>A79</f>
        <v>0</v>
      </c>
      <c r="I59" s="265"/>
      <c r="J59" s="323">
        <f>AVERAGE(C79:D81)</f>
        <v>0</v>
      </c>
      <c r="K59" s="323"/>
      <c r="L59" s="326">
        <f>AVERAGE(E79:F81)</f>
        <v>0</v>
      </c>
      <c r="M59" s="326"/>
      <c r="N59" s="338">
        <f>STDEV(C79:D81)</f>
        <v>0</v>
      </c>
      <c r="O59" s="339"/>
      <c r="P59" s="122">
        <f>STDEV(E79:F81)</f>
        <v>0</v>
      </c>
      <c r="Q59" s="326">
        <f ca="1">L59+STANDAR!AT33</f>
        <v>7.9000000000000001E-2</v>
      </c>
      <c r="R59" s="326"/>
      <c r="S59" s="326">
        <f t="shared" ca="1" si="0"/>
        <v>7.9000000000000001E-2</v>
      </c>
      <c r="T59" s="326"/>
      <c r="U59" s="108"/>
      <c r="V59" s="108"/>
      <c r="W59" s="12"/>
      <c r="X59" s="14"/>
      <c r="Y59" s="14"/>
      <c r="Z59" s="14"/>
      <c r="AA59" s="14"/>
      <c r="AB59" s="14"/>
      <c r="AC59" s="14"/>
      <c r="AD59" s="14"/>
      <c r="AE59" s="12"/>
      <c r="AF59" s="12"/>
      <c r="AG59" s="12"/>
      <c r="AJ59" s="108"/>
    </row>
    <row r="60" spans="1:36" s="109" customFormat="1" ht="15" customHeight="1" x14ac:dyDescent="0.25">
      <c r="A60" s="324"/>
      <c r="B60" s="324"/>
      <c r="C60" s="321">
        <f>C59</f>
        <v>0</v>
      </c>
      <c r="D60" s="322"/>
      <c r="E60" s="321">
        <f>E59</f>
        <v>0</v>
      </c>
      <c r="F60" s="322"/>
      <c r="H60" s="304"/>
      <c r="I60" s="304"/>
      <c r="J60" s="304"/>
      <c r="K60" s="304"/>
      <c r="L60" s="304"/>
      <c r="M60" s="304"/>
      <c r="N60" s="333">
        <f>_xlfn.AGGREGATE(4,6,N49:O59)</f>
        <v>0</v>
      </c>
      <c r="O60" s="334"/>
      <c r="P60" s="241">
        <f>_xlfn.AGGREGATE(4,6,P49:P59)</f>
        <v>0</v>
      </c>
      <c r="W60" s="12" t="s">
        <v>342</v>
      </c>
      <c r="X60" s="14"/>
      <c r="Y60" s="14"/>
      <c r="Z60" s="14"/>
      <c r="AA60" s="14"/>
      <c r="AB60" s="14"/>
      <c r="AC60" s="14"/>
      <c r="AD60" s="14"/>
      <c r="AE60" s="12"/>
      <c r="AF60" s="12"/>
      <c r="AG60" s="12"/>
      <c r="AH60" s="108"/>
      <c r="AI60" s="108"/>
      <c r="AJ60" s="108"/>
    </row>
    <row r="61" spans="1:36" s="109" customFormat="1" ht="15" customHeight="1" x14ac:dyDescent="0.25">
      <c r="A61" s="324"/>
      <c r="B61" s="324"/>
      <c r="C61" s="325"/>
      <c r="D61" s="325"/>
      <c r="E61" s="325"/>
      <c r="F61" s="325"/>
      <c r="N61" s="333" t="s">
        <v>219</v>
      </c>
      <c r="O61" s="334"/>
      <c r="P61" s="335"/>
      <c r="W61" s="12" t="s">
        <v>342</v>
      </c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08"/>
      <c r="AI61" s="108"/>
      <c r="AJ61" s="108"/>
    </row>
    <row r="62" spans="1:36" s="109" customFormat="1" ht="15" customHeight="1" x14ac:dyDescent="0.25">
      <c r="A62" s="324"/>
      <c r="B62" s="324"/>
      <c r="C62" s="321">
        <f>C61</f>
        <v>0</v>
      </c>
      <c r="D62" s="322"/>
      <c r="E62" s="321">
        <f>E61</f>
        <v>0</v>
      </c>
      <c r="F62" s="322"/>
      <c r="W62" s="12" t="s">
        <v>342</v>
      </c>
      <c r="X62" s="108"/>
      <c r="Y62" s="108"/>
      <c r="Z62" s="108"/>
      <c r="AA62" s="108"/>
      <c r="AB62" s="108"/>
      <c r="AC62" s="108"/>
      <c r="AD62" s="108"/>
      <c r="AE62" s="14"/>
      <c r="AF62" s="14"/>
      <c r="AG62" s="14"/>
      <c r="AH62" s="108"/>
      <c r="AI62" s="108"/>
      <c r="AJ62" s="108"/>
    </row>
    <row r="63" spans="1:36" s="109" customFormat="1" ht="15" customHeight="1" x14ac:dyDescent="0.25">
      <c r="A63" s="324"/>
      <c r="B63" s="324"/>
      <c r="C63" s="321">
        <f>C62</f>
        <v>0</v>
      </c>
      <c r="D63" s="322"/>
      <c r="E63" s="321">
        <f>E62</f>
        <v>0</v>
      </c>
      <c r="F63" s="322"/>
      <c r="W63" s="12" t="s">
        <v>342</v>
      </c>
      <c r="AE63" s="14"/>
      <c r="AF63" s="14"/>
      <c r="AG63" s="14"/>
      <c r="AH63" s="108"/>
      <c r="AI63" s="108"/>
      <c r="AJ63" s="108"/>
    </row>
    <row r="64" spans="1:36" s="109" customFormat="1" ht="15" customHeight="1" x14ac:dyDescent="0.25">
      <c r="A64" s="324"/>
      <c r="B64" s="324"/>
      <c r="C64" s="325"/>
      <c r="D64" s="325"/>
      <c r="E64" s="325"/>
      <c r="F64" s="325"/>
      <c r="H64" s="327"/>
      <c r="I64" s="327"/>
      <c r="J64" s="327"/>
      <c r="K64" s="327"/>
      <c r="L64" s="327"/>
      <c r="M64" s="327"/>
      <c r="N64"/>
      <c r="O64"/>
      <c r="P64"/>
      <c r="Q64"/>
      <c r="R64"/>
      <c r="W64" s="12" t="s">
        <v>342</v>
      </c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</row>
    <row r="65" spans="1:36" s="109" customFormat="1" ht="15" customHeight="1" x14ac:dyDescent="0.25">
      <c r="A65" s="324"/>
      <c r="B65" s="324"/>
      <c r="C65" s="321">
        <f>C64</f>
        <v>0</v>
      </c>
      <c r="D65" s="322"/>
      <c r="E65" s="321">
        <f>E64</f>
        <v>0</v>
      </c>
      <c r="F65" s="322"/>
      <c r="H65" s="352"/>
      <c r="I65" s="352"/>
      <c r="J65" s="352"/>
      <c r="K65" s="352"/>
      <c r="L65" s="352"/>
      <c r="M65" s="352"/>
      <c r="N65"/>
      <c r="O65"/>
      <c r="P65"/>
      <c r="Q65"/>
      <c r="R65"/>
      <c r="W65" s="12" t="s">
        <v>342</v>
      </c>
      <c r="X65" s="108"/>
      <c r="Y65" s="108"/>
      <c r="Z65" s="108"/>
      <c r="AA65" s="108"/>
      <c r="AB65" s="108"/>
      <c r="AC65" s="108"/>
      <c r="AD65" s="108"/>
      <c r="AH65" s="108"/>
      <c r="AI65" s="108"/>
      <c r="AJ65" s="108"/>
    </row>
    <row r="66" spans="1:36" s="109" customFormat="1" ht="15" customHeight="1" x14ac:dyDescent="0.25">
      <c r="A66" s="324"/>
      <c r="B66" s="324"/>
      <c r="C66" s="321">
        <f>C65</f>
        <v>0</v>
      </c>
      <c r="D66" s="322"/>
      <c r="E66" s="321">
        <f>E65</f>
        <v>0</v>
      </c>
      <c r="F66" s="322"/>
      <c r="H66" s="352"/>
      <c r="I66" s="352"/>
      <c r="J66" s="352"/>
      <c r="K66" s="352"/>
      <c r="L66" s="352"/>
      <c r="M66" s="352"/>
      <c r="N66"/>
      <c r="O66"/>
      <c r="P66"/>
      <c r="Q66"/>
      <c r="R66"/>
      <c r="W66" s="12" t="s">
        <v>380</v>
      </c>
      <c r="AE66" s="108"/>
      <c r="AF66" s="108"/>
      <c r="AG66" s="108"/>
      <c r="AH66" s="108"/>
      <c r="AI66" s="108"/>
      <c r="AJ66" s="108"/>
    </row>
    <row r="67" spans="1:36" s="109" customFormat="1" ht="15" customHeight="1" x14ac:dyDescent="0.25">
      <c r="A67" s="324"/>
      <c r="B67" s="324"/>
      <c r="C67" s="325"/>
      <c r="D67" s="325"/>
      <c r="E67" s="325"/>
      <c r="F67" s="325"/>
      <c r="H67" s="327"/>
      <c r="I67" s="327"/>
      <c r="J67" s="327"/>
      <c r="K67" s="327"/>
      <c r="L67" s="327"/>
      <c r="M67" s="327"/>
      <c r="N67"/>
      <c r="O67"/>
      <c r="P67"/>
      <c r="Q67"/>
      <c r="R67"/>
      <c r="W67" s="12" t="s">
        <v>380</v>
      </c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</row>
    <row r="68" spans="1:36" s="109" customFormat="1" ht="15" customHeight="1" x14ac:dyDescent="0.25">
      <c r="A68" s="324"/>
      <c r="B68" s="324"/>
      <c r="C68" s="321">
        <f>C67</f>
        <v>0</v>
      </c>
      <c r="D68" s="322"/>
      <c r="E68" s="321">
        <f t="shared" ref="E68:E69" si="1">E67</f>
        <v>0</v>
      </c>
      <c r="F68" s="322"/>
      <c r="H68" s="328"/>
      <c r="I68" s="328"/>
      <c r="J68" s="328"/>
      <c r="K68" s="328"/>
      <c r="L68" s="328"/>
      <c r="M68" s="328"/>
      <c r="W68" s="12" t="s">
        <v>380</v>
      </c>
      <c r="AA68" s="108"/>
      <c r="AB68" s="108"/>
      <c r="AC68" s="108"/>
      <c r="AD68" s="108"/>
      <c r="AH68" s="108"/>
      <c r="AI68" s="108"/>
      <c r="AJ68" s="108"/>
    </row>
    <row r="69" spans="1:36" s="109" customFormat="1" ht="15" customHeight="1" x14ac:dyDescent="0.25">
      <c r="A69" s="324"/>
      <c r="B69" s="324"/>
      <c r="C69" s="321">
        <f>C68</f>
        <v>0</v>
      </c>
      <c r="D69" s="322"/>
      <c r="E69" s="321">
        <f t="shared" si="1"/>
        <v>0</v>
      </c>
      <c r="F69" s="322"/>
      <c r="H69" s="328"/>
      <c r="I69" s="328"/>
      <c r="J69" s="328"/>
      <c r="K69" s="328"/>
      <c r="L69" s="328"/>
      <c r="M69" s="328"/>
      <c r="W69" s="12" t="s">
        <v>380</v>
      </c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</row>
    <row r="70" spans="1:36" s="109" customFormat="1" ht="15" customHeight="1" x14ac:dyDescent="0.25">
      <c r="A70" s="324"/>
      <c r="B70" s="324"/>
      <c r="C70" s="325"/>
      <c r="D70" s="325"/>
      <c r="E70" s="325"/>
      <c r="F70" s="325"/>
      <c r="H70" s="328"/>
      <c r="I70" s="328"/>
      <c r="J70" s="328"/>
      <c r="K70" s="328"/>
      <c r="L70" s="328"/>
      <c r="M70" s="328"/>
      <c r="W70" s="12" t="s">
        <v>380</v>
      </c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</row>
    <row r="71" spans="1:36" s="109" customFormat="1" ht="15" customHeight="1" x14ac:dyDescent="0.25">
      <c r="A71" s="324"/>
      <c r="B71" s="324"/>
      <c r="C71" s="321">
        <f>C70</f>
        <v>0</v>
      </c>
      <c r="D71" s="322"/>
      <c r="E71" s="321">
        <f t="shared" ref="E71:E72" si="2">E70</f>
        <v>0</v>
      </c>
      <c r="F71" s="322"/>
      <c r="H71" s="328"/>
      <c r="I71" s="328"/>
      <c r="J71" s="328"/>
      <c r="K71" s="328"/>
      <c r="L71" s="328"/>
      <c r="M71" s="328"/>
      <c r="W71" s="12" t="s">
        <v>380</v>
      </c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</row>
    <row r="72" spans="1:36" s="109" customFormat="1" ht="15" customHeight="1" x14ac:dyDescent="0.25">
      <c r="A72" s="324"/>
      <c r="B72" s="324"/>
      <c r="C72" s="321">
        <f t="shared" ref="C72" si="3">C71</f>
        <v>0</v>
      </c>
      <c r="D72" s="322"/>
      <c r="E72" s="321">
        <f t="shared" si="2"/>
        <v>0</v>
      </c>
      <c r="F72" s="322"/>
      <c r="H72" s="328"/>
      <c r="I72" s="328"/>
      <c r="J72" s="328"/>
      <c r="K72" s="328"/>
      <c r="L72" s="328"/>
      <c r="M72" s="328"/>
      <c r="W72" s="12" t="s">
        <v>409</v>
      </c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</row>
    <row r="73" spans="1:36" s="109" customFormat="1" ht="15" customHeight="1" x14ac:dyDescent="0.25">
      <c r="A73" s="324"/>
      <c r="B73" s="324"/>
      <c r="C73" s="325"/>
      <c r="D73" s="325"/>
      <c r="E73" s="325"/>
      <c r="F73" s="325"/>
      <c r="H73" s="328"/>
      <c r="I73" s="328"/>
      <c r="J73" s="328"/>
      <c r="K73" s="328"/>
      <c r="L73" s="328"/>
      <c r="M73" s="328"/>
      <c r="W73" s="12" t="s">
        <v>409</v>
      </c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</row>
    <row r="74" spans="1:36" s="109" customFormat="1" ht="15" customHeight="1" x14ac:dyDescent="0.25">
      <c r="A74" s="324"/>
      <c r="B74" s="324"/>
      <c r="C74" s="321">
        <f t="shared" ref="C74:C75" si="4">C73</f>
        <v>0</v>
      </c>
      <c r="D74" s="322"/>
      <c r="E74" s="321">
        <f t="shared" ref="E74:E75" si="5">E73</f>
        <v>0</v>
      </c>
      <c r="F74" s="322"/>
      <c r="H74" s="328"/>
      <c r="I74" s="328"/>
      <c r="J74" s="328"/>
      <c r="K74" s="328"/>
      <c r="L74" s="328"/>
      <c r="M74" s="328"/>
      <c r="W74" s="12" t="s">
        <v>409</v>
      </c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</row>
    <row r="75" spans="1:36" s="109" customFormat="1" ht="15" customHeight="1" x14ac:dyDescent="0.25">
      <c r="A75" s="324"/>
      <c r="B75" s="324"/>
      <c r="C75" s="321">
        <f t="shared" si="4"/>
        <v>0</v>
      </c>
      <c r="D75" s="322"/>
      <c r="E75" s="321">
        <f t="shared" si="5"/>
        <v>0</v>
      </c>
      <c r="F75" s="322"/>
      <c r="H75" s="328"/>
      <c r="I75" s="328"/>
      <c r="J75" s="328"/>
      <c r="K75" s="328"/>
      <c r="L75" s="328"/>
      <c r="M75" s="32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</row>
    <row r="76" spans="1:36" s="109" customFormat="1" ht="15" customHeight="1" x14ac:dyDescent="0.25">
      <c r="A76" s="324"/>
      <c r="B76" s="324"/>
      <c r="C76" s="325"/>
      <c r="D76" s="325"/>
      <c r="E76" s="325"/>
      <c r="F76" s="325"/>
      <c r="H76" s="328"/>
      <c r="I76" s="328"/>
      <c r="J76" s="328"/>
      <c r="K76" s="328"/>
      <c r="L76" s="328"/>
      <c r="M76" s="32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</row>
    <row r="77" spans="1:36" s="109" customFormat="1" ht="15" customHeight="1" x14ac:dyDescent="0.25">
      <c r="A77" s="324"/>
      <c r="B77" s="324"/>
      <c r="C77" s="321">
        <f t="shared" ref="C77:C78" si="6">C76</f>
        <v>0</v>
      </c>
      <c r="D77" s="322"/>
      <c r="E77" s="321">
        <f t="shared" ref="E77:E78" si="7">E76</f>
        <v>0</v>
      </c>
      <c r="F77" s="322"/>
      <c r="G77" s="108"/>
      <c r="H77" s="328"/>
      <c r="I77" s="328"/>
      <c r="J77" s="328"/>
      <c r="K77" s="328"/>
      <c r="L77" s="328"/>
      <c r="M77" s="32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</row>
    <row r="78" spans="1:36" s="109" customFormat="1" ht="15" customHeight="1" x14ac:dyDescent="0.25">
      <c r="A78" s="324"/>
      <c r="B78" s="324"/>
      <c r="C78" s="321">
        <f t="shared" si="6"/>
        <v>0</v>
      </c>
      <c r="D78" s="322"/>
      <c r="E78" s="321">
        <f t="shared" si="7"/>
        <v>0</v>
      </c>
      <c r="F78" s="322"/>
      <c r="G78" s="108"/>
      <c r="H78" s="328"/>
      <c r="I78" s="328"/>
      <c r="J78" s="328"/>
      <c r="K78" s="328"/>
      <c r="L78" s="328"/>
      <c r="M78" s="32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</row>
    <row r="79" spans="1:36" s="109" customFormat="1" ht="15" customHeight="1" x14ac:dyDescent="0.25">
      <c r="A79" s="344"/>
      <c r="B79" s="345"/>
      <c r="C79" s="325"/>
      <c r="D79" s="325"/>
      <c r="E79" s="325"/>
      <c r="F79" s="325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</row>
    <row r="80" spans="1:36" s="109" customFormat="1" ht="15" customHeight="1" x14ac:dyDescent="0.25">
      <c r="A80" s="346"/>
      <c r="B80" s="347"/>
      <c r="C80" s="321">
        <f t="shared" ref="C80:C81" si="8">C79</f>
        <v>0</v>
      </c>
      <c r="D80" s="322"/>
      <c r="E80" s="321">
        <f t="shared" ref="E80:E81" si="9">E79</f>
        <v>0</v>
      </c>
      <c r="F80" s="322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</row>
    <row r="81" spans="1:36" s="109" customFormat="1" ht="15" customHeight="1" x14ac:dyDescent="0.25">
      <c r="A81" s="348"/>
      <c r="B81" s="349"/>
      <c r="C81" s="321">
        <f t="shared" si="8"/>
        <v>0</v>
      </c>
      <c r="D81" s="322"/>
      <c r="E81" s="321">
        <f t="shared" si="9"/>
        <v>0</v>
      </c>
      <c r="F81" s="322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</row>
    <row r="82" spans="1:36" ht="15" customHeight="1" x14ac:dyDescent="0.25"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</row>
    <row r="83" spans="1:36" ht="15" customHeight="1" x14ac:dyDescent="0.25"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</row>
    <row r="84" spans="1:36" ht="15" customHeight="1" x14ac:dyDescent="0.25"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</row>
    <row r="85" spans="1:36" ht="15" customHeight="1" x14ac:dyDescent="0.25"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</row>
    <row r="86" spans="1:36" ht="15" customHeight="1" x14ac:dyDescent="0.25"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</row>
    <row r="87" spans="1:36" ht="15" customHeight="1" x14ac:dyDescent="0.25"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</row>
    <row r="88" spans="1:36" ht="15" customHeight="1" x14ac:dyDescent="0.25"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</row>
    <row r="89" spans="1:36" ht="15" customHeight="1" x14ac:dyDescent="0.25"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</row>
    <row r="90" spans="1:36" ht="15" customHeight="1" x14ac:dyDescent="0.25"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</row>
    <row r="91" spans="1:36" ht="15" customHeight="1" x14ac:dyDescent="0.25"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</row>
    <row r="92" spans="1:36" ht="15" customHeight="1" x14ac:dyDescent="0.25"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</row>
    <row r="93" spans="1:36" ht="15" customHeight="1" x14ac:dyDescent="0.25"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</row>
    <row r="94" spans="1:36" ht="15" customHeight="1" x14ac:dyDescent="0.25"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</row>
    <row r="95" spans="1:36" ht="15" customHeight="1" x14ac:dyDescent="0.25">
      <c r="W95" s="108"/>
      <c r="AE95" s="108"/>
      <c r="AF95" s="108"/>
      <c r="AG95" s="108"/>
    </row>
    <row r="96" spans="1:36" ht="15" customHeight="1" x14ac:dyDescent="0.25">
      <c r="AE96" s="108"/>
      <c r="AF96" s="108"/>
      <c r="AG96" s="108"/>
    </row>
  </sheetData>
  <mergeCells count="255">
    <mergeCell ref="AD14:AG14"/>
    <mergeCell ref="E80:F80"/>
    <mergeCell ref="C80:D80"/>
    <mergeCell ref="E79:F79"/>
    <mergeCell ref="C79:D79"/>
    <mergeCell ref="E81:F81"/>
    <mergeCell ref="C81:D81"/>
    <mergeCell ref="A79:B81"/>
    <mergeCell ref="Y12:Z12"/>
    <mergeCell ref="Y13:Z13"/>
    <mergeCell ref="Y14:Z14"/>
    <mergeCell ref="H78:I78"/>
    <mergeCell ref="J78:K78"/>
    <mergeCell ref="L78:M78"/>
    <mergeCell ref="H65:I66"/>
    <mergeCell ref="J65:K66"/>
    <mergeCell ref="L65:M66"/>
    <mergeCell ref="L70:M70"/>
    <mergeCell ref="L71:M71"/>
    <mergeCell ref="L72:M72"/>
    <mergeCell ref="L73:M73"/>
    <mergeCell ref="L74:M74"/>
    <mergeCell ref="L75:M75"/>
    <mergeCell ref="L76:M76"/>
    <mergeCell ref="L77:M77"/>
    <mergeCell ref="AA12:AC12"/>
    <mergeCell ref="AA14:AC14"/>
    <mergeCell ref="AA13:AC13"/>
    <mergeCell ref="P3:T3"/>
    <mergeCell ref="E5:H5"/>
    <mergeCell ref="I4:M4"/>
    <mergeCell ref="P5:T5"/>
    <mergeCell ref="P4:T4"/>
    <mergeCell ref="N8:R9"/>
    <mergeCell ref="H75:I75"/>
    <mergeCell ref="J75:K75"/>
    <mergeCell ref="H76:I76"/>
    <mergeCell ref="J76:K76"/>
    <mergeCell ref="H77:I77"/>
    <mergeCell ref="J77:K77"/>
    <mergeCell ref="H74:I74"/>
    <mergeCell ref="J74:K74"/>
    <mergeCell ref="H64:M64"/>
    <mergeCell ref="H70:I70"/>
    <mergeCell ref="J70:K70"/>
    <mergeCell ref="H71:I71"/>
    <mergeCell ref="J71:K71"/>
    <mergeCell ref="H72:I72"/>
    <mergeCell ref="J72:K72"/>
    <mergeCell ref="H73:I73"/>
    <mergeCell ref="J73:K73"/>
    <mergeCell ref="H67:I67"/>
    <mergeCell ref="J67:K67"/>
    <mergeCell ref="H68:I68"/>
    <mergeCell ref="J68:K68"/>
    <mergeCell ref="H69:I69"/>
    <mergeCell ref="J69:K69"/>
    <mergeCell ref="L67:M67"/>
    <mergeCell ref="L68:M68"/>
    <mergeCell ref="L69:M69"/>
    <mergeCell ref="Q46:R47"/>
    <mergeCell ref="Q48:R48"/>
    <mergeCell ref="Q49:R49"/>
    <mergeCell ref="Q50:R50"/>
    <mergeCell ref="Q51:R51"/>
    <mergeCell ref="N61:P61"/>
    <mergeCell ref="N47:O47"/>
    <mergeCell ref="N48:O48"/>
    <mergeCell ref="N46:P46"/>
    <mergeCell ref="N60:O60"/>
    <mergeCell ref="N59:O59"/>
    <mergeCell ref="N58:O58"/>
    <mergeCell ref="N57:O57"/>
    <mergeCell ref="N56:O56"/>
    <mergeCell ref="N55:O55"/>
    <mergeCell ref="N54:O54"/>
    <mergeCell ref="N53:O53"/>
    <mergeCell ref="N52:O52"/>
    <mergeCell ref="N51:O51"/>
    <mergeCell ref="N50:O50"/>
    <mergeCell ref="N49:O49"/>
    <mergeCell ref="S57:T57"/>
    <mergeCell ref="S58:T58"/>
    <mergeCell ref="S59:T59"/>
    <mergeCell ref="S46:T47"/>
    <mergeCell ref="S48:T48"/>
    <mergeCell ref="S49:T49"/>
    <mergeCell ref="S50:T50"/>
    <mergeCell ref="S51:T51"/>
    <mergeCell ref="S52:T52"/>
    <mergeCell ref="S53:T53"/>
    <mergeCell ref="S54:T54"/>
    <mergeCell ref="S55:T55"/>
    <mergeCell ref="S56:T56"/>
    <mergeCell ref="H60:I60"/>
    <mergeCell ref="J60:K60"/>
    <mergeCell ref="L60:M60"/>
    <mergeCell ref="Q52:R52"/>
    <mergeCell ref="Q53:R53"/>
    <mergeCell ref="Q54:R54"/>
    <mergeCell ref="Q55:R55"/>
    <mergeCell ref="Q56:R56"/>
    <mergeCell ref="Q57:R57"/>
    <mergeCell ref="Q58:R58"/>
    <mergeCell ref="Q59:R59"/>
    <mergeCell ref="H57:I57"/>
    <mergeCell ref="J57:K57"/>
    <mergeCell ref="L57:M57"/>
    <mergeCell ref="H58:I58"/>
    <mergeCell ref="J58:K58"/>
    <mergeCell ref="L58:M58"/>
    <mergeCell ref="H59:I59"/>
    <mergeCell ref="J59:K59"/>
    <mergeCell ref="L59:M59"/>
    <mergeCell ref="L53:M53"/>
    <mergeCell ref="H54:I54"/>
    <mergeCell ref="J54:K54"/>
    <mergeCell ref="L54:M54"/>
    <mergeCell ref="H55:I55"/>
    <mergeCell ref="J55:K55"/>
    <mergeCell ref="L55:M55"/>
    <mergeCell ref="H56:I56"/>
    <mergeCell ref="J56:K56"/>
    <mergeCell ref="L56:M56"/>
    <mergeCell ref="L48:M48"/>
    <mergeCell ref="H49:I49"/>
    <mergeCell ref="J49:K49"/>
    <mergeCell ref="L49:M49"/>
    <mergeCell ref="H50:I50"/>
    <mergeCell ref="J50:K50"/>
    <mergeCell ref="L50:M50"/>
    <mergeCell ref="L51:M51"/>
    <mergeCell ref="H52:I52"/>
    <mergeCell ref="J52:K52"/>
    <mergeCell ref="L52:M52"/>
    <mergeCell ref="A55:B57"/>
    <mergeCell ref="A58:B60"/>
    <mergeCell ref="A61:B63"/>
    <mergeCell ref="A64:B66"/>
    <mergeCell ref="A67:B69"/>
    <mergeCell ref="A70:B72"/>
    <mergeCell ref="A73:B75"/>
    <mergeCell ref="A76:B78"/>
    <mergeCell ref="E70:F70"/>
    <mergeCell ref="C71:D71"/>
    <mergeCell ref="E71:F71"/>
    <mergeCell ref="C72:D72"/>
    <mergeCell ref="E72:F72"/>
    <mergeCell ref="C73:D73"/>
    <mergeCell ref="E73:F73"/>
    <mergeCell ref="E69:F69"/>
    <mergeCell ref="E67:F67"/>
    <mergeCell ref="C67:D67"/>
    <mergeCell ref="C68:D68"/>
    <mergeCell ref="C69:D69"/>
    <mergeCell ref="E66:F66"/>
    <mergeCell ref="E68:F68"/>
    <mergeCell ref="C62:D62"/>
    <mergeCell ref="C63:D63"/>
    <mergeCell ref="C66:D66"/>
    <mergeCell ref="C77:D77"/>
    <mergeCell ref="E77:F77"/>
    <mergeCell ref="C78:D78"/>
    <mergeCell ref="E78:F78"/>
    <mergeCell ref="C74:D74"/>
    <mergeCell ref="E74:F74"/>
    <mergeCell ref="C75:D75"/>
    <mergeCell ref="E75:F75"/>
    <mergeCell ref="C76:D76"/>
    <mergeCell ref="E76:F76"/>
    <mergeCell ref="C70:D70"/>
    <mergeCell ref="C59:D59"/>
    <mergeCell ref="E58:F58"/>
    <mergeCell ref="C60:D60"/>
    <mergeCell ref="C61:D61"/>
    <mergeCell ref="E65:F65"/>
    <mergeCell ref="E63:F63"/>
    <mergeCell ref="C57:D57"/>
    <mergeCell ref="C58:D58"/>
    <mergeCell ref="C54:D54"/>
    <mergeCell ref="E54:F54"/>
    <mergeCell ref="C55:D55"/>
    <mergeCell ref="E55:F55"/>
    <mergeCell ref="C56:D56"/>
    <mergeCell ref="E56:F56"/>
    <mergeCell ref="E57:F57"/>
    <mergeCell ref="E60:F60"/>
    <mergeCell ref="E61:F61"/>
    <mergeCell ref="E62:F62"/>
    <mergeCell ref="E64:F64"/>
    <mergeCell ref="E59:F59"/>
    <mergeCell ref="C64:D64"/>
    <mergeCell ref="C65:D65"/>
    <mergeCell ref="A48:B48"/>
    <mergeCell ref="C48:D48"/>
    <mergeCell ref="E48:F48"/>
    <mergeCell ref="C52:D52"/>
    <mergeCell ref="E52:F52"/>
    <mergeCell ref="C53:D53"/>
    <mergeCell ref="E53:F53"/>
    <mergeCell ref="H51:I51"/>
    <mergeCell ref="J51:K51"/>
    <mergeCell ref="A52:B54"/>
    <mergeCell ref="A49:B51"/>
    <mergeCell ref="C49:D49"/>
    <mergeCell ref="E49:F49"/>
    <mergeCell ref="C50:D50"/>
    <mergeCell ref="E50:F50"/>
    <mergeCell ref="C51:D51"/>
    <mergeCell ref="E51:F51"/>
    <mergeCell ref="H48:I48"/>
    <mergeCell ref="J48:K48"/>
    <mergeCell ref="H53:I53"/>
    <mergeCell ref="J53:K53"/>
    <mergeCell ref="F10:G10"/>
    <mergeCell ref="E37:L37"/>
    <mergeCell ref="E24:F24"/>
    <mergeCell ref="F36:G36"/>
    <mergeCell ref="E39:G39"/>
    <mergeCell ref="L47:M47"/>
    <mergeCell ref="H23:I23"/>
    <mergeCell ref="E23:F23"/>
    <mergeCell ref="I25:L25"/>
    <mergeCell ref="F35:G35"/>
    <mergeCell ref="E28:L28"/>
    <mergeCell ref="E31:L31"/>
    <mergeCell ref="E29:L29"/>
    <mergeCell ref="E32:L32"/>
    <mergeCell ref="I21:L21"/>
    <mergeCell ref="E21:H21"/>
    <mergeCell ref="E43:G43"/>
    <mergeCell ref="AD13:AG13"/>
    <mergeCell ref="AD12:AG12"/>
    <mergeCell ref="C47:D47"/>
    <mergeCell ref="E47:F47"/>
    <mergeCell ref="A46:B47"/>
    <mergeCell ref="C46:F46"/>
    <mergeCell ref="H46:I47"/>
    <mergeCell ref="J46:M46"/>
    <mergeCell ref="A1:L1"/>
    <mergeCell ref="A2:F2"/>
    <mergeCell ref="G2:L2"/>
    <mergeCell ref="E3:H3"/>
    <mergeCell ref="E4:H4"/>
    <mergeCell ref="A8:L8"/>
    <mergeCell ref="E18:H18"/>
    <mergeCell ref="E19:H19"/>
    <mergeCell ref="E20:H20"/>
    <mergeCell ref="H11:I11"/>
    <mergeCell ref="E16:L16"/>
    <mergeCell ref="E15:L15"/>
    <mergeCell ref="E14:L14"/>
    <mergeCell ref="J10:L11"/>
    <mergeCell ref="J47:K47"/>
    <mergeCell ref="F6:G6"/>
  </mergeCells>
  <phoneticPr fontId="16" type="noConversion"/>
  <dataValidations count="3">
    <dataValidation type="whole" allowBlank="1" showInputMessage="1" showErrorMessage="1" errorTitle="Error" error="Format tahun berlaku dari 2019 s/d 2025" sqref="H10 H35:H36" xr:uid="{00000000-0002-0000-0200-000000000000}">
      <formula1>2019</formula1>
      <formula2>2025</formula2>
    </dataValidation>
    <dataValidation type="list" allowBlank="1" showInputMessage="1" showErrorMessage="1" sqref="F6:G6 A39:D39" xr:uid="{00000000-0002-0000-0200-000001000000}">
      <formula1>#REF!</formula1>
    </dataValidation>
    <dataValidation type="list" allowBlank="1" showInputMessage="1" showErrorMessage="1" sqref="P2" xr:uid="{00000000-0002-0000-0200-000002000000}">
      <formula1>$O$3:$O$4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Drop Down 3">
              <controlPr defaultSize="0" autoLine="0" autoPict="0">
                <anchor moveWithCells="1">
                  <from>
                    <xdr:col>12</xdr:col>
                    <xdr:colOff>289560</xdr:colOff>
                    <xdr:row>11</xdr:row>
                    <xdr:rowOff>114300</xdr:rowOff>
                  </from>
                  <to>
                    <xdr:col>15</xdr:col>
                    <xdr:colOff>365760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Drop Down 4">
              <controlPr defaultSize="0" autoLine="0" autoPict="0">
                <anchor moveWithCells="1">
                  <from>
                    <xdr:col>12</xdr:col>
                    <xdr:colOff>274320</xdr:colOff>
                    <xdr:row>14</xdr:row>
                    <xdr:rowOff>114300</xdr:rowOff>
                  </from>
                  <to>
                    <xdr:col>15</xdr:col>
                    <xdr:colOff>365760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Ekstrak_data">
                <anchor moveWithCells="1" sizeWithCells="1">
                  <from>
                    <xdr:col>13</xdr:col>
                    <xdr:colOff>15240</xdr:colOff>
                    <xdr:row>2</xdr:row>
                    <xdr:rowOff>45720</xdr:rowOff>
                  </from>
                  <to>
                    <xdr:col>15</xdr:col>
                    <xdr:colOff>175260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3000000}">
          <x14:formula1>
            <xm:f>'TABEL DATA'!$A$2:$A$32</xm:f>
          </x14:formula1>
          <xm:sqref>E10 E35:E36</xm:sqref>
        </x14:dataValidation>
        <x14:dataValidation type="list" allowBlank="1" showInputMessage="1" showErrorMessage="1" xr:uid="{00000000-0002-0000-0200-000004000000}">
          <x14:formula1>
            <xm:f>'TABEL DATA'!$E$2:$E$3</xm:f>
          </x14:formula1>
          <xm:sqref>E37:L37</xm:sqref>
        </x14:dataValidation>
        <x14:dataValidation type="list" allowBlank="1" showInputMessage="1" showErrorMessage="1" xr:uid="{00000000-0002-0000-0200-000005000000}">
          <x14:formula1>
            <xm:f>'TABEL DATA'!$D$2:$D$4</xm:f>
          </x14:formula1>
          <xm:sqref>E43:G43</xm:sqref>
        </x14:dataValidation>
        <x14:dataValidation type="list" allowBlank="1" showInputMessage="1" showErrorMessage="1" xr:uid="{00000000-0002-0000-0200-000006000000}">
          <x14:formula1>
            <xm:f>'TABEL DATA'!$B$2:$B$13</xm:f>
          </x14:formula1>
          <xm:sqref>F10:G10 F35:G36</xm:sqref>
        </x14:dataValidation>
        <x14:dataValidation type="list" allowBlank="1" showInputMessage="1" showErrorMessage="1" xr:uid="{00000000-0002-0000-0200-000007000000}">
          <x14:formula1>
            <xm:f>'KONTROL SUHU'!$B$291:$B$307</xm:f>
          </x14:formula1>
          <xm:sqref>E39:G39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Y94"/>
  <sheetViews>
    <sheetView view="pageBreakPreview" topLeftCell="A70" zoomScale="80" zoomScaleNormal="80" zoomScaleSheetLayoutView="80" workbookViewId="0">
      <selection activeCell="L83" sqref="L83"/>
    </sheetView>
  </sheetViews>
  <sheetFormatPr defaultRowHeight="13.2" x14ac:dyDescent="0.25"/>
  <cols>
    <col min="1" max="1" width="26.109375" customWidth="1"/>
    <col min="2" max="2" width="1.5546875" customWidth="1"/>
    <col min="3" max="3" width="8.88671875" bestFit="1" customWidth="1"/>
    <col min="5" max="8" width="8.88671875" bestFit="1" customWidth="1"/>
    <col min="9" max="9" width="6.44140625" customWidth="1"/>
    <col min="10" max="11" width="8.88671875" bestFit="1" customWidth="1"/>
    <col min="12" max="12" width="16.109375" customWidth="1"/>
    <col min="14" max="14" width="8.88671875" bestFit="1" customWidth="1"/>
    <col min="19" max="21" width="8.88671875" bestFit="1" customWidth="1"/>
  </cols>
  <sheetData>
    <row r="1" spans="1:26" s="2" customFormat="1" x14ac:dyDescent="0.25">
      <c r="C1" s="2" t="s">
        <v>109</v>
      </c>
      <c r="K1" s="2" t="s">
        <v>110</v>
      </c>
    </row>
    <row r="2" spans="1:26" s="2" customFormat="1" x14ac:dyDescent="0.25">
      <c r="C2" s="2" t="s">
        <v>111</v>
      </c>
    </row>
    <row r="3" spans="1:26" s="2" customFormat="1" x14ac:dyDescent="0.25">
      <c r="C3" s="2" t="s">
        <v>112</v>
      </c>
    </row>
    <row r="4" spans="1:26" s="2" customFormat="1" x14ac:dyDescent="0.25">
      <c r="C4" s="2" t="s">
        <v>113</v>
      </c>
    </row>
    <row r="5" spans="1:26" s="2" customFormat="1" x14ac:dyDescent="0.25">
      <c r="A5" s="3" t="s">
        <v>114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26" s="2" customFormat="1" x14ac:dyDescent="0.25">
      <c r="A6" s="4" t="s">
        <v>115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1:26" s="2" customFormat="1" x14ac:dyDescent="0.25">
      <c r="A7" s="2" t="s">
        <v>116</v>
      </c>
      <c r="B7" s="2" t="s">
        <v>8</v>
      </c>
      <c r="C7" s="2" t="s">
        <v>117</v>
      </c>
    </row>
    <row r="8" spans="1:26" s="2" customFormat="1" x14ac:dyDescent="0.25">
      <c r="A8" s="2" t="s">
        <v>26</v>
      </c>
      <c r="B8" s="2" t="s">
        <v>8</v>
      </c>
      <c r="C8" s="2" t="s">
        <v>118</v>
      </c>
    </row>
    <row r="9" spans="1:26" s="2" customFormat="1" x14ac:dyDescent="0.25">
      <c r="C9" s="2" t="s">
        <v>119</v>
      </c>
    </row>
    <row r="10" spans="1:26" s="2" customFormat="1" x14ac:dyDescent="0.25">
      <c r="A10" s="5" t="s">
        <v>120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</row>
    <row r="11" spans="1:26" s="2" customFormat="1" x14ac:dyDescent="0.25">
      <c r="A11" s="2" t="s">
        <v>121</v>
      </c>
      <c r="B11" s="2" t="s">
        <v>8</v>
      </c>
      <c r="C11" s="2" t="s">
        <v>202</v>
      </c>
    </row>
    <row r="12" spans="1:26" s="2" customFormat="1" x14ac:dyDescent="0.25">
      <c r="A12" s="2" t="s">
        <v>122</v>
      </c>
      <c r="B12" s="2" t="s">
        <v>8</v>
      </c>
      <c r="C12" s="2" t="s">
        <v>215</v>
      </c>
    </row>
    <row r="13" spans="1:26" s="2" customFormat="1" x14ac:dyDescent="0.25">
      <c r="A13" s="2" t="s">
        <v>13</v>
      </c>
      <c r="B13" s="2" t="s">
        <v>8</v>
      </c>
      <c r="C13" s="2" t="s">
        <v>216</v>
      </c>
    </row>
    <row r="14" spans="1:26" s="2" customFormat="1" x14ac:dyDescent="0.25">
      <c r="A14" s="2" t="s">
        <v>123</v>
      </c>
      <c r="B14" s="2" t="s">
        <v>8</v>
      </c>
      <c r="C14" s="206" t="s">
        <v>324</v>
      </c>
    </row>
    <row r="15" spans="1:26" s="2" customFormat="1" ht="15.6" x14ac:dyDescent="0.25">
      <c r="A15" s="2" t="s">
        <v>124</v>
      </c>
      <c r="B15" s="2" t="s">
        <v>8</v>
      </c>
      <c r="C15" s="123">
        <f>'INPUT DATA'!H23</f>
        <v>0</v>
      </c>
      <c r="D15" s="2" t="s">
        <v>203</v>
      </c>
      <c r="N15" s="187">
        <f>'INPUT DATA'!V12</f>
        <v>13</v>
      </c>
      <c r="O15" s="188"/>
    </row>
    <row r="16" spans="1:26" s="2" customFormat="1" ht="15.6" x14ac:dyDescent="0.25">
      <c r="A16" s="355" t="s">
        <v>125</v>
      </c>
      <c r="B16" s="355"/>
      <c r="C16" s="118" t="s">
        <v>2</v>
      </c>
      <c r="D16" s="118" t="s">
        <v>9</v>
      </c>
      <c r="E16" s="118" t="s">
        <v>126</v>
      </c>
      <c r="F16" s="118" t="s">
        <v>127</v>
      </c>
      <c r="G16" s="202" t="s">
        <v>323</v>
      </c>
      <c r="H16" s="118" t="s">
        <v>128</v>
      </c>
      <c r="I16" s="118" t="s">
        <v>129</v>
      </c>
      <c r="J16" s="118" t="s">
        <v>130</v>
      </c>
      <c r="K16" s="118" t="s">
        <v>131</v>
      </c>
      <c r="L16" s="118" t="s">
        <v>322</v>
      </c>
      <c r="N16" s="362" t="s">
        <v>297</v>
      </c>
      <c r="O16" s="362"/>
      <c r="W16" s="357" t="s">
        <v>349</v>
      </c>
      <c r="X16" s="357"/>
      <c r="Y16" s="357"/>
      <c r="Z16" s="357"/>
    </row>
    <row r="17" spans="1:51" s="2" customFormat="1" x14ac:dyDescent="0.25">
      <c r="A17" s="356" t="s">
        <v>132</v>
      </c>
      <c r="B17" s="356"/>
      <c r="C17" s="119" t="s">
        <v>133</v>
      </c>
      <c r="D17" s="119" t="s">
        <v>134</v>
      </c>
      <c r="E17" s="119" t="s">
        <v>135</v>
      </c>
      <c r="F17" s="119" t="s">
        <v>136</v>
      </c>
      <c r="G17" s="119" t="s">
        <v>137</v>
      </c>
      <c r="H17" s="119" t="s">
        <v>138</v>
      </c>
      <c r="I17" s="119" t="s">
        <v>139</v>
      </c>
      <c r="J17" s="119" t="s">
        <v>140</v>
      </c>
      <c r="K17" s="119" t="s">
        <v>141</v>
      </c>
      <c r="L17" s="119" t="s">
        <v>142</v>
      </c>
      <c r="W17" s="223" t="s">
        <v>241</v>
      </c>
      <c r="X17" s="223" t="s">
        <v>350</v>
      </c>
      <c r="Y17" s="223" t="s">
        <v>351</v>
      </c>
      <c r="Z17" s="223" t="s">
        <v>7</v>
      </c>
    </row>
    <row r="18" spans="1:51" s="2" customFormat="1" ht="15.6" x14ac:dyDescent="0.25">
      <c r="A18" s="10" t="s">
        <v>0</v>
      </c>
      <c r="B18" s="10"/>
      <c r="C18" s="7" t="s">
        <v>203</v>
      </c>
      <c r="D18" s="10" t="s">
        <v>10</v>
      </c>
      <c r="E18" s="151">
        <f>'INPUT DATA'!N60</f>
        <v>0</v>
      </c>
      <c r="F18" s="10">
        <f>SQRT(3)</f>
        <v>1.7320508075688772</v>
      </c>
      <c r="G18" s="10">
        <v>2</v>
      </c>
      <c r="H18" s="10">
        <f t="shared" ref="H18:H22" si="0">E18/F18</f>
        <v>0</v>
      </c>
      <c r="I18" s="10">
        <v>1</v>
      </c>
      <c r="J18" s="10">
        <f t="shared" ref="J18:J27" si="1">H18*I18</f>
        <v>0</v>
      </c>
      <c r="K18" s="10">
        <f t="shared" ref="K18:K27" si="2">J18^2</f>
        <v>0</v>
      </c>
      <c r="L18" s="10">
        <f t="shared" ref="L18:L27" si="3">J18^4/G18</f>
        <v>0</v>
      </c>
      <c r="W18" s="223">
        <v>-35</v>
      </c>
      <c r="X18" s="224">
        <v>0.09</v>
      </c>
      <c r="Y18" s="224">
        <f>FORECAST(W18,Y19:Y26,W19:W26)</f>
        <v>-0.47644354542111078</v>
      </c>
      <c r="Z18" s="224">
        <f>ABS(Y18-X18)</f>
        <v>0.56644354542111075</v>
      </c>
    </row>
    <row r="19" spans="1:51" s="2" customFormat="1" ht="15.6" x14ac:dyDescent="0.25">
      <c r="A19" s="10" t="s">
        <v>256</v>
      </c>
      <c r="B19" s="10"/>
      <c r="C19" s="7" t="s">
        <v>203</v>
      </c>
      <c r="D19" s="10" t="s">
        <v>10</v>
      </c>
      <c r="E19" s="114">
        <f ca="1">STANDAR!AT48</f>
        <v>5.0999999999999997E-2</v>
      </c>
      <c r="F19" s="10">
        <v>2</v>
      </c>
      <c r="G19" s="10">
        <v>60</v>
      </c>
      <c r="H19" s="10">
        <f t="shared" ca="1" si="0"/>
        <v>2.5499999999999998E-2</v>
      </c>
      <c r="I19" s="10">
        <v>1</v>
      </c>
      <c r="J19" s="10">
        <f t="shared" ca="1" si="1"/>
        <v>2.5499999999999998E-2</v>
      </c>
      <c r="K19" s="10">
        <f t="shared" ca="1" si="2"/>
        <v>6.5024999999999989E-4</v>
      </c>
      <c r="L19" s="10">
        <f t="shared" ca="1" si="3"/>
        <v>7.0470843749999977E-9</v>
      </c>
      <c r="U19" s="177">
        <v>0.52</v>
      </c>
      <c r="W19" s="223">
        <v>-25</v>
      </c>
      <c r="X19" s="224">
        <f>FORECAST(W19,X20:X26,W20:W26)</f>
        <v>-0.52238683127572016</v>
      </c>
      <c r="Y19" s="224">
        <v>-0.01</v>
      </c>
      <c r="Z19" s="224">
        <f t="shared" ref="Z19:Z26" si="4">ABS(Y19-X19)</f>
        <v>0.51238683127572016</v>
      </c>
    </row>
    <row r="20" spans="1:51" s="2" customFormat="1" ht="15.6" x14ac:dyDescent="0.25">
      <c r="A20" s="10" t="s">
        <v>204</v>
      </c>
      <c r="B20" s="10"/>
      <c r="C20" s="7" t="s">
        <v>203</v>
      </c>
      <c r="D20" s="10" t="s">
        <v>11</v>
      </c>
      <c r="E20" s="10">
        <f>0.01/2</f>
        <v>5.0000000000000001E-3</v>
      </c>
      <c r="F20" s="10">
        <f>SQRT(3)</f>
        <v>1.7320508075688772</v>
      </c>
      <c r="G20" s="10">
        <v>200</v>
      </c>
      <c r="H20" s="10">
        <f t="shared" si="0"/>
        <v>2.886751345948129E-3</v>
      </c>
      <c r="I20" s="10">
        <v>1</v>
      </c>
      <c r="J20" s="10">
        <f t="shared" si="1"/>
        <v>2.886751345948129E-3</v>
      </c>
      <c r="K20" s="10">
        <f t="shared" si="2"/>
        <v>8.3333333333333337E-6</v>
      </c>
      <c r="L20" s="10">
        <f t="shared" si="3"/>
        <v>3.4722222222222227E-13</v>
      </c>
      <c r="U20" s="177">
        <v>8.9999999999999993E-3</v>
      </c>
      <c r="W20" s="223">
        <v>0</v>
      </c>
      <c r="X20" s="224">
        <v>0.06</v>
      </c>
      <c r="Y20" s="224">
        <v>-0.06</v>
      </c>
      <c r="Z20" s="224">
        <f t="shared" si="4"/>
        <v>0.12</v>
      </c>
    </row>
    <row r="21" spans="1:51" s="2" customFormat="1" ht="15.6" x14ac:dyDescent="0.25">
      <c r="A21" s="10" t="s">
        <v>3</v>
      </c>
      <c r="B21" s="10"/>
      <c r="C21" s="7" t="s">
        <v>203</v>
      </c>
      <c r="D21" s="10" t="s">
        <v>11</v>
      </c>
      <c r="E21" s="203">
        <f>'INPUT DATA'!E24/2</f>
        <v>0</v>
      </c>
      <c r="F21" s="10">
        <f>SQRT(3)</f>
        <v>1.7320508075688772</v>
      </c>
      <c r="G21" s="10">
        <v>200</v>
      </c>
      <c r="H21" s="10">
        <f t="shared" si="0"/>
        <v>0</v>
      </c>
      <c r="I21" s="10">
        <v>1</v>
      </c>
      <c r="J21" s="10">
        <f t="shared" si="1"/>
        <v>0</v>
      </c>
      <c r="K21" s="10">
        <f t="shared" si="2"/>
        <v>0</v>
      </c>
      <c r="L21" s="10">
        <f t="shared" si="3"/>
        <v>0</v>
      </c>
      <c r="W21" s="223">
        <v>50</v>
      </c>
      <c r="X21" s="224">
        <v>0.06</v>
      </c>
      <c r="Y21" s="224">
        <v>-0.04</v>
      </c>
      <c r="Z21" s="224">
        <f t="shared" si="4"/>
        <v>0.1</v>
      </c>
    </row>
    <row r="22" spans="1:51" s="2" customFormat="1" ht="15.6" x14ac:dyDescent="0.25">
      <c r="A22" s="10" t="s">
        <v>205</v>
      </c>
      <c r="B22" s="10"/>
      <c r="C22" s="7" t="s">
        <v>203</v>
      </c>
      <c r="D22" s="10" t="s">
        <v>11</v>
      </c>
      <c r="E22" s="151">
        <f>Z28</f>
        <v>0.12</v>
      </c>
      <c r="F22" s="10">
        <f>SQRT(3)</f>
        <v>1.7320508075688772</v>
      </c>
      <c r="G22" s="10">
        <v>200</v>
      </c>
      <c r="H22" s="10">
        <f t="shared" si="0"/>
        <v>6.9282032302755092E-2</v>
      </c>
      <c r="I22" s="10">
        <v>1</v>
      </c>
      <c r="J22" s="10">
        <f t="shared" si="1"/>
        <v>6.9282032302755092E-2</v>
      </c>
      <c r="K22" s="10">
        <f t="shared" si="2"/>
        <v>4.8000000000000004E-3</v>
      </c>
      <c r="L22" s="10">
        <f t="shared" si="3"/>
        <v>1.1520000000000001E-7</v>
      </c>
      <c r="W22" s="223">
        <v>100</v>
      </c>
      <c r="X22" s="224">
        <v>0.17</v>
      </c>
      <c r="Y22" s="224">
        <v>-0.04</v>
      </c>
      <c r="Z22" s="224">
        <f t="shared" si="4"/>
        <v>0.21000000000000002</v>
      </c>
    </row>
    <row r="23" spans="1:51" s="167" customFormat="1" ht="15.6" x14ac:dyDescent="0.25">
      <c r="A23" s="204" t="s">
        <v>267</v>
      </c>
      <c r="B23" s="176"/>
      <c r="C23" s="201" t="s">
        <v>203</v>
      </c>
      <c r="D23" s="176" t="s">
        <v>11</v>
      </c>
      <c r="E23" s="205">
        <v>5.0000000000000001E-3</v>
      </c>
      <c r="F23" s="176">
        <f t="shared" ref="F23:F28" si="5">SQRT(3)</f>
        <v>1.7320508075688772</v>
      </c>
      <c r="G23" s="176">
        <v>200</v>
      </c>
      <c r="H23" s="176">
        <f>E23/F23</f>
        <v>2.886751345948129E-3</v>
      </c>
      <c r="I23" s="176">
        <v>1</v>
      </c>
      <c r="J23" s="176">
        <f t="shared" si="1"/>
        <v>2.886751345948129E-3</v>
      </c>
      <c r="K23" s="176">
        <f t="shared" si="2"/>
        <v>8.3333333333333337E-6</v>
      </c>
      <c r="L23" s="176">
        <f t="shared" si="3"/>
        <v>3.4722222222222227E-13</v>
      </c>
      <c r="M23" s="166"/>
      <c r="N23" s="353" t="s">
        <v>298</v>
      </c>
      <c r="O23" s="353"/>
      <c r="P23" s="168"/>
      <c r="Q23" s="169"/>
      <c r="W23" s="223">
        <v>150</v>
      </c>
      <c r="X23" s="224">
        <v>0.26</v>
      </c>
      <c r="Y23" s="224">
        <v>0.1</v>
      </c>
      <c r="Z23" s="224">
        <f t="shared" si="4"/>
        <v>0.16</v>
      </c>
    </row>
    <row r="24" spans="1:51" s="167" customFormat="1" ht="15.6" x14ac:dyDescent="0.25">
      <c r="A24" s="204" t="s">
        <v>268</v>
      </c>
      <c r="B24" s="176"/>
      <c r="C24" s="201" t="s">
        <v>203</v>
      </c>
      <c r="D24" s="176" t="s">
        <v>11</v>
      </c>
      <c r="E24" s="205">
        <v>4.0000000000000001E-3</v>
      </c>
      <c r="F24" s="176">
        <f t="shared" si="5"/>
        <v>1.7320508075688772</v>
      </c>
      <c r="G24" s="176">
        <v>200</v>
      </c>
      <c r="H24" s="176">
        <f t="shared" ref="H24:H28" si="6">E24/F24</f>
        <v>2.3094010767585032E-3</v>
      </c>
      <c r="I24" s="176">
        <v>1</v>
      </c>
      <c r="J24" s="176">
        <f t="shared" si="1"/>
        <v>2.3094010767585032E-3</v>
      </c>
      <c r="K24" s="176">
        <f t="shared" si="2"/>
        <v>5.3333333333333337E-6</v>
      </c>
      <c r="L24" s="176">
        <f t="shared" si="3"/>
        <v>1.4222222222222223E-13</v>
      </c>
      <c r="M24" s="166"/>
      <c r="Q24" s="169"/>
      <c r="R24" s="169"/>
      <c r="W24" s="223">
        <v>200</v>
      </c>
      <c r="X24" s="224">
        <v>0.48</v>
      </c>
      <c r="Y24" s="224">
        <v>0.28000000000000003</v>
      </c>
      <c r="Z24" s="224">
        <f t="shared" si="4"/>
        <v>0.19999999999999996</v>
      </c>
    </row>
    <row r="25" spans="1:51" s="167" customFormat="1" ht="15.6" x14ac:dyDescent="0.25">
      <c r="A25" s="176" t="s">
        <v>392</v>
      </c>
      <c r="B25" s="176"/>
      <c r="C25" s="201" t="s">
        <v>203</v>
      </c>
      <c r="D25" s="176" t="s">
        <v>11</v>
      </c>
      <c r="E25" s="205">
        <v>0</v>
      </c>
      <c r="F25" s="176">
        <f t="shared" si="5"/>
        <v>1.7320508075688772</v>
      </c>
      <c r="G25" s="176">
        <v>200</v>
      </c>
      <c r="H25" s="176">
        <f t="shared" si="6"/>
        <v>0</v>
      </c>
      <c r="I25" s="176">
        <v>1</v>
      </c>
      <c r="J25" s="176">
        <f t="shared" si="1"/>
        <v>0</v>
      </c>
      <c r="K25" s="176">
        <f t="shared" si="2"/>
        <v>0</v>
      </c>
      <c r="L25" s="176">
        <f t="shared" si="3"/>
        <v>0</v>
      </c>
      <c r="M25" s="166"/>
      <c r="O25" s="354"/>
      <c r="P25" s="354"/>
      <c r="Q25" s="169"/>
      <c r="S25" s="358" t="s">
        <v>299</v>
      </c>
      <c r="T25" s="358" t="s">
        <v>300</v>
      </c>
      <c r="W25" s="194">
        <v>300</v>
      </c>
      <c r="X25" s="225">
        <v>1.18</v>
      </c>
      <c r="Y25" s="225">
        <v>0.81</v>
      </c>
      <c r="Z25" s="224">
        <f t="shared" si="4"/>
        <v>0.36999999999999988</v>
      </c>
    </row>
    <row r="26" spans="1:51" s="170" customFormat="1" ht="15.6" x14ac:dyDescent="0.25">
      <c r="A26" s="204" t="s">
        <v>269</v>
      </c>
      <c r="B26" s="176"/>
      <c r="C26" s="201" t="s">
        <v>203</v>
      </c>
      <c r="D26" s="176" t="s">
        <v>11</v>
      </c>
      <c r="E26" s="205">
        <f>AI45</f>
        <v>0</v>
      </c>
      <c r="F26" s="176">
        <f t="shared" si="5"/>
        <v>1.7320508075688772</v>
      </c>
      <c r="G26" s="176">
        <v>200</v>
      </c>
      <c r="H26" s="176">
        <f>E26/F26</f>
        <v>0</v>
      </c>
      <c r="I26" s="176">
        <v>1</v>
      </c>
      <c r="J26" s="176">
        <f>H26*I26</f>
        <v>0</v>
      </c>
      <c r="K26" s="176">
        <f t="shared" si="2"/>
        <v>0</v>
      </c>
      <c r="L26" s="176">
        <f t="shared" si="3"/>
        <v>0</v>
      </c>
      <c r="M26" s="167"/>
      <c r="N26" s="167"/>
      <c r="O26" s="167"/>
      <c r="P26" s="167"/>
      <c r="Q26" s="169"/>
      <c r="R26" s="169"/>
      <c r="S26" s="358"/>
      <c r="T26" s="358"/>
      <c r="U26" s="167"/>
      <c r="V26" s="167"/>
      <c r="W26" s="194">
        <v>500</v>
      </c>
      <c r="X26" s="225">
        <v>3.01</v>
      </c>
      <c r="Y26" s="225">
        <v>2.5499999999999998</v>
      </c>
      <c r="Z26" s="224">
        <f t="shared" si="4"/>
        <v>0.45999999999999996</v>
      </c>
      <c r="AA26" s="167"/>
      <c r="AB26" s="167"/>
      <c r="AC26" s="167"/>
      <c r="AD26" s="167"/>
      <c r="AE26" s="167"/>
      <c r="AF26" s="167"/>
      <c r="AG26" s="167"/>
      <c r="AH26" s="167"/>
      <c r="AI26" s="167"/>
      <c r="AJ26" s="167"/>
      <c r="AK26" s="167"/>
      <c r="AL26" s="167"/>
      <c r="AM26" s="167"/>
      <c r="AN26" s="167"/>
      <c r="AO26" s="167"/>
      <c r="AP26" s="167"/>
      <c r="AQ26" s="167"/>
      <c r="AR26" s="167"/>
      <c r="AS26" s="167"/>
      <c r="AT26" s="167"/>
      <c r="AU26" s="167"/>
      <c r="AV26" s="167"/>
      <c r="AW26" s="167"/>
      <c r="AX26" s="167"/>
      <c r="AY26" s="167"/>
    </row>
    <row r="27" spans="1:51" s="170" customFormat="1" ht="15.6" x14ac:dyDescent="0.25">
      <c r="A27" s="204" t="s">
        <v>270</v>
      </c>
      <c r="B27" s="176"/>
      <c r="C27" s="201" t="s">
        <v>203</v>
      </c>
      <c r="D27" s="176" t="s">
        <v>11</v>
      </c>
      <c r="E27" s="205">
        <f>AI47</f>
        <v>0</v>
      </c>
      <c r="F27" s="176">
        <f t="shared" si="5"/>
        <v>1.7320508075688772</v>
      </c>
      <c r="G27" s="176">
        <v>200</v>
      </c>
      <c r="H27" s="176">
        <f t="shared" si="6"/>
        <v>0</v>
      </c>
      <c r="I27" s="176">
        <v>1</v>
      </c>
      <c r="J27" s="176">
        <f t="shared" si="1"/>
        <v>0</v>
      </c>
      <c r="K27" s="176">
        <f t="shared" si="2"/>
        <v>0</v>
      </c>
      <c r="L27" s="176">
        <f t="shared" si="3"/>
        <v>0</v>
      </c>
      <c r="M27" s="167"/>
      <c r="N27" s="167"/>
      <c r="O27" s="354"/>
      <c r="P27" s="354"/>
      <c r="Q27" s="169"/>
      <c r="R27" s="167"/>
      <c r="S27" s="169">
        <v>-0.18</v>
      </c>
      <c r="T27" s="169">
        <v>-0.09</v>
      </c>
      <c r="U27" s="167"/>
      <c r="V27" s="167"/>
      <c r="W27" s="169"/>
      <c r="X27" s="169"/>
      <c r="Y27" s="169"/>
      <c r="Z27" s="167"/>
      <c r="AA27" s="167"/>
      <c r="AB27" s="167"/>
      <c r="AC27" s="167"/>
      <c r="AD27" s="167"/>
      <c r="AE27" s="167"/>
      <c r="AF27" s="167"/>
      <c r="AG27" s="167"/>
      <c r="AH27" s="167"/>
      <c r="AI27" s="167"/>
      <c r="AJ27" s="167"/>
      <c r="AK27" s="167"/>
      <c r="AL27" s="167"/>
      <c r="AM27" s="167"/>
      <c r="AN27" s="167"/>
      <c r="AO27" s="167"/>
      <c r="AP27" s="167"/>
      <c r="AQ27" s="167"/>
      <c r="AR27" s="167"/>
      <c r="AS27" s="167"/>
      <c r="AT27" s="167"/>
      <c r="AU27" s="167"/>
      <c r="AV27" s="167"/>
      <c r="AW27" s="167"/>
      <c r="AX27" s="167"/>
      <c r="AY27" s="167"/>
    </row>
    <row r="28" spans="1:51" s="167" customFormat="1" ht="15.6" x14ac:dyDescent="0.25">
      <c r="A28" s="204" t="s">
        <v>271</v>
      </c>
      <c r="B28" s="176"/>
      <c r="C28" s="201" t="s">
        <v>203</v>
      </c>
      <c r="D28" s="176" t="s">
        <v>10</v>
      </c>
      <c r="E28" s="205">
        <v>0</v>
      </c>
      <c r="F28" s="176">
        <f t="shared" si="5"/>
        <v>1.7320508075688772</v>
      </c>
      <c r="G28" s="176">
        <v>60</v>
      </c>
      <c r="H28" s="176">
        <f t="shared" si="6"/>
        <v>0</v>
      </c>
      <c r="I28" s="176">
        <v>1</v>
      </c>
      <c r="J28" s="176">
        <f>H28*I28</f>
        <v>0</v>
      </c>
      <c r="K28" s="176">
        <f>J28^2</f>
        <v>0</v>
      </c>
      <c r="L28" s="176">
        <f>J28^4/G28</f>
        <v>0</v>
      </c>
      <c r="M28" s="166"/>
      <c r="O28" s="354"/>
      <c r="P28" s="354"/>
      <c r="Q28" s="169"/>
      <c r="U28" s="169"/>
      <c r="V28" s="169"/>
      <c r="W28" s="169"/>
      <c r="X28" s="169"/>
      <c r="Y28" s="201">
        <f>MAX('INPUT DATA'!A49:B81)</f>
        <v>0</v>
      </c>
      <c r="Z28" s="201">
        <f>VLOOKUP(Y28,W18:Z26,4,TRUE)</f>
        <v>0.12</v>
      </c>
    </row>
    <row r="29" spans="1:51" s="2" customFormat="1" x14ac:dyDescent="0.25">
      <c r="A29" s="8" t="s">
        <v>143</v>
      </c>
      <c r="B29" s="9"/>
      <c r="C29" s="9"/>
      <c r="D29" s="6"/>
      <c r="E29" s="6"/>
      <c r="F29" s="6"/>
      <c r="G29" s="6"/>
      <c r="H29" s="6"/>
      <c r="I29" s="115"/>
      <c r="J29" s="10">
        <f ca="1">SUM(K18:K28)</f>
        <v>5.4722500000000006E-3</v>
      </c>
      <c r="K29" s="11"/>
      <c r="L29" s="10">
        <f ca="1">SUM(L18:L28)</f>
        <v>1.2224792104166669E-7</v>
      </c>
      <c r="U29" s="175"/>
      <c r="V29" s="175"/>
      <c r="W29" s="175"/>
      <c r="X29" s="169"/>
    </row>
    <row r="30" spans="1:51" s="2" customFormat="1" ht="15" x14ac:dyDescent="0.25">
      <c r="A30" s="8" t="s">
        <v>206</v>
      </c>
      <c r="B30" s="9"/>
      <c r="C30" s="9"/>
      <c r="D30" s="6"/>
      <c r="E30" s="6"/>
      <c r="F30" s="6"/>
      <c r="G30" s="6"/>
      <c r="H30" s="6"/>
      <c r="I30" s="115"/>
      <c r="J30" s="10">
        <f ca="1">SQRT(J29)</f>
        <v>7.3974657822797676E-2</v>
      </c>
      <c r="K30" s="11"/>
      <c r="L30" s="11"/>
      <c r="U30" s="175"/>
      <c r="V30" s="175"/>
      <c r="W30" s="175"/>
      <c r="X30" s="169"/>
    </row>
    <row r="31" spans="1:51" s="2" customFormat="1" x14ac:dyDescent="0.25">
      <c r="A31" s="8" t="s">
        <v>144</v>
      </c>
      <c r="B31" s="9"/>
      <c r="C31" s="9"/>
      <c r="D31" s="6"/>
      <c r="E31" s="6"/>
      <c r="F31" s="6"/>
      <c r="G31" s="6"/>
      <c r="H31" s="6"/>
      <c r="I31" s="115"/>
      <c r="J31" s="10">
        <f ca="1">J30^4/L29</f>
        <v>244.95729503893531</v>
      </c>
      <c r="K31" s="11"/>
      <c r="L31" s="11"/>
      <c r="S31" s="360" t="s">
        <v>297</v>
      </c>
      <c r="T31" s="360"/>
      <c r="U31" s="360"/>
      <c r="V31" s="360"/>
    </row>
    <row r="32" spans="1:51" s="2" customFormat="1" x14ac:dyDescent="0.25">
      <c r="A32" s="8" t="s">
        <v>145</v>
      </c>
      <c r="B32" s="9"/>
      <c r="C32" s="9"/>
      <c r="D32" s="6"/>
      <c r="E32" s="6"/>
      <c r="F32" s="6"/>
      <c r="G32" s="6"/>
      <c r="H32" s="6"/>
      <c r="I32" s="115"/>
      <c r="J32" s="10">
        <f ca="1">TINV(0.05,J31)</f>
        <v>1.9697339922723811</v>
      </c>
      <c r="K32" s="11"/>
      <c r="L32" s="11"/>
      <c r="S32" s="361" t="s">
        <v>317</v>
      </c>
      <c r="T32" s="361"/>
      <c r="U32" s="361" t="s">
        <v>318</v>
      </c>
      <c r="V32" s="361"/>
    </row>
    <row r="33" spans="1:35" s="2" customFormat="1" ht="15" x14ac:dyDescent="0.25">
      <c r="A33" s="8" t="s">
        <v>207</v>
      </c>
      <c r="B33" s="9"/>
      <c r="C33" s="9"/>
      <c r="D33" s="6"/>
      <c r="E33" s="6"/>
      <c r="F33" s="6"/>
      <c r="G33" s="6"/>
      <c r="H33" s="6"/>
      <c r="I33" s="115"/>
      <c r="J33" s="114">
        <f ca="1">J30*J32</f>
        <v>0.1457103980802826</v>
      </c>
      <c r="K33" s="11"/>
      <c r="L33" s="11"/>
      <c r="S33" s="192">
        <v>-25</v>
      </c>
      <c r="T33" s="193">
        <v>0.02</v>
      </c>
      <c r="U33" s="192">
        <v>-25</v>
      </c>
      <c r="V33" s="193">
        <v>0.01</v>
      </c>
    </row>
    <row r="34" spans="1:35" ht="15.6" x14ac:dyDescent="0.25">
      <c r="H34" s="269" t="s">
        <v>217</v>
      </c>
      <c r="I34" s="269"/>
      <c r="J34" s="186">
        <f ca="1">IF(J33&lt;K94,K94,J33)</f>
        <v>0.1457103980802826</v>
      </c>
      <c r="K34" t="s">
        <v>218</v>
      </c>
      <c r="S34" s="192">
        <v>50</v>
      </c>
      <c r="T34" s="193">
        <v>0.03</v>
      </c>
      <c r="U34" s="192">
        <v>50</v>
      </c>
      <c r="V34" s="193">
        <v>0.01</v>
      </c>
    </row>
    <row r="35" spans="1:35" x14ac:dyDescent="0.25">
      <c r="S35" s="194">
        <v>100</v>
      </c>
      <c r="T35" s="190">
        <v>0.1</v>
      </c>
      <c r="U35" s="194">
        <v>100</v>
      </c>
      <c r="V35" s="195">
        <v>0</v>
      </c>
    </row>
    <row r="36" spans="1:35" x14ac:dyDescent="0.25">
      <c r="S36" s="194">
        <v>150</v>
      </c>
      <c r="T36" s="195">
        <v>0</v>
      </c>
      <c r="U36" s="194">
        <v>150</v>
      </c>
      <c r="V36" s="195">
        <v>0</v>
      </c>
    </row>
    <row r="37" spans="1:35" x14ac:dyDescent="0.25">
      <c r="A37" s="5" t="s">
        <v>120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</row>
    <row r="38" spans="1:35" x14ac:dyDescent="0.25">
      <c r="A38" s="2" t="s">
        <v>121</v>
      </c>
      <c r="B38" s="2" t="s">
        <v>8</v>
      </c>
      <c r="C38" s="2" t="s">
        <v>202</v>
      </c>
      <c r="D38" s="2"/>
      <c r="E38" s="2"/>
      <c r="F38" s="2"/>
      <c r="G38" s="2"/>
      <c r="H38" s="2"/>
      <c r="I38" s="2"/>
      <c r="J38" s="2"/>
      <c r="K38" s="2"/>
      <c r="L38" s="2"/>
      <c r="N38" s="206"/>
      <c r="O38" s="359"/>
      <c r="P38" s="359"/>
      <c r="Q38" s="359"/>
      <c r="S38" s="360" t="s">
        <v>319</v>
      </c>
      <c r="T38" s="360"/>
      <c r="U38" s="360"/>
      <c r="V38" s="360"/>
    </row>
    <row r="39" spans="1:35" x14ac:dyDescent="0.25">
      <c r="A39" s="2" t="s">
        <v>122</v>
      </c>
      <c r="B39" s="2" t="s">
        <v>8</v>
      </c>
      <c r="C39" s="2" t="s">
        <v>215</v>
      </c>
      <c r="D39" s="2"/>
      <c r="E39" s="2"/>
      <c r="F39" s="2"/>
      <c r="G39" s="2"/>
      <c r="H39" s="2"/>
      <c r="I39" s="2"/>
      <c r="J39" s="2"/>
      <c r="K39" s="2"/>
      <c r="L39" s="2"/>
      <c r="N39" s="228"/>
      <c r="O39" s="227"/>
      <c r="P39" s="227"/>
      <c r="Q39" s="227"/>
      <c r="S39" s="361" t="s">
        <v>317</v>
      </c>
      <c r="T39" s="361"/>
      <c r="U39" s="361" t="s">
        <v>318</v>
      </c>
      <c r="V39" s="361"/>
    </row>
    <row r="40" spans="1:35" x14ac:dyDescent="0.25">
      <c r="A40" s="2" t="s">
        <v>13</v>
      </c>
      <c r="B40" s="2" t="s">
        <v>8</v>
      </c>
      <c r="C40" s="2" t="s">
        <v>216</v>
      </c>
      <c r="D40" s="2"/>
      <c r="E40" s="2"/>
      <c r="F40" s="2"/>
      <c r="G40" s="2"/>
      <c r="H40" s="2"/>
      <c r="I40" s="2"/>
      <c r="J40" s="2"/>
      <c r="K40" s="2"/>
      <c r="L40" s="2"/>
      <c r="N40" s="228"/>
      <c r="O40" s="227"/>
      <c r="P40" s="228"/>
      <c r="Q40" s="229"/>
      <c r="S40" s="192">
        <v>50</v>
      </c>
      <c r="T40" s="193">
        <v>2.5000000000000001E-2</v>
      </c>
      <c r="U40" s="192">
        <v>50</v>
      </c>
      <c r="V40" s="193">
        <v>0.05</v>
      </c>
    </row>
    <row r="41" spans="1:35" x14ac:dyDescent="0.25">
      <c r="A41" s="2" t="s">
        <v>123</v>
      </c>
      <c r="B41" s="2" t="s">
        <v>8</v>
      </c>
      <c r="C41" s="239" t="s">
        <v>324</v>
      </c>
      <c r="D41" s="2"/>
      <c r="E41" s="2"/>
      <c r="F41" s="2"/>
      <c r="G41" s="2"/>
      <c r="H41" s="2"/>
      <c r="I41" s="2"/>
      <c r="J41" s="2"/>
      <c r="K41" s="2"/>
      <c r="L41" s="2"/>
      <c r="N41" s="228"/>
      <c r="O41" s="227"/>
      <c r="P41" s="228"/>
      <c r="Q41" s="229"/>
      <c r="S41" s="192">
        <v>150</v>
      </c>
      <c r="T41" s="193">
        <v>2.5000000000000001E-2</v>
      </c>
      <c r="U41" s="192">
        <v>150</v>
      </c>
      <c r="V41" s="193">
        <v>0.05</v>
      </c>
    </row>
    <row r="42" spans="1:35" ht="15.6" x14ac:dyDescent="0.25">
      <c r="A42" s="2" t="s">
        <v>124</v>
      </c>
      <c r="B42" s="2" t="s">
        <v>8</v>
      </c>
      <c r="C42" s="123">
        <f>'INPUT DATA'!H23</f>
        <v>0</v>
      </c>
      <c r="D42" s="2" t="s">
        <v>203</v>
      </c>
      <c r="E42" s="2"/>
      <c r="F42" s="2"/>
      <c r="G42" s="2"/>
      <c r="H42" s="2"/>
      <c r="I42" s="2"/>
      <c r="J42" s="2"/>
      <c r="K42" s="2"/>
      <c r="L42" s="2"/>
      <c r="N42" s="228"/>
      <c r="O42" s="227"/>
      <c r="P42" s="228"/>
      <c r="Q42" s="229"/>
      <c r="S42" s="194">
        <v>450</v>
      </c>
      <c r="T42" s="190">
        <v>0.06</v>
      </c>
      <c r="U42" s="194">
        <v>450</v>
      </c>
      <c r="V42" s="190">
        <v>0.12</v>
      </c>
    </row>
    <row r="43" spans="1:35" ht="15.6" x14ac:dyDescent="0.25">
      <c r="A43" s="355" t="s">
        <v>125</v>
      </c>
      <c r="B43" s="355"/>
      <c r="C43" s="118" t="s">
        <v>2</v>
      </c>
      <c r="D43" s="118" t="s">
        <v>9</v>
      </c>
      <c r="E43" s="118" t="s">
        <v>126</v>
      </c>
      <c r="F43" s="118" t="s">
        <v>127</v>
      </c>
      <c r="G43" s="240" t="s">
        <v>393</v>
      </c>
      <c r="H43" s="118" t="s">
        <v>128</v>
      </c>
      <c r="I43" s="118" t="s">
        <v>129</v>
      </c>
      <c r="J43" s="118" t="s">
        <v>130</v>
      </c>
      <c r="K43" s="118" t="s">
        <v>131</v>
      </c>
      <c r="L43" s="118" t="s">
        <v>322</v>
      </c>
      <c r="N43" s="228"/>
      <c r="O43" s="227"/>
      <c r="P43" s="228"/>
      <c r="Q43" s="229"/>
      <c r="S43" s="194">
        <v>600</v>
      </c>
      <c r="T43" s="195">
        <v>7.0000000000000007E-2</v>
      </c>
      <c r="U43" s="194">
        <v>600</v>
      </c>
      <c r="V43" s="232">
        <v>0.08</v>
      </c>
    </row>
    <row r="44" spans="1:35" x14ac:dyDescent="0.25">
      <c r="A44" s="356" t="s">
        <v>132</v>
      </c>
      <c r="B44" s="356"/>
      <c r="C44" s="119" t="s">
        <v>133</v>
      </c>
      <c r="D44" s="119" t="s">
        <v>134</v>
      </c>
      <c r="E44" s="119" t="s">
        <v>135</v>
      </c>
      <c r="F44" s="119" t="s">
        <v>136</v>
      </c>
      <c r="G44" s="119" t="s">
        <v>137</v>
      </c>
      <c r="H44" s="119" t="s">
        <v>138</v>
      </c>
      <c r="I44" s="119" t="s">
        <v>139</v>
      </c>
      <c r="J44" s="119" t="s">
        <v>140</v>
      </c>
      <c r="K44" s="119" t="s">
        <v>141</v>
      </c>
      <c r="L44" s="119" t="s">
        <v>142</v>
      </c>
      <c r="N44" s="228"/>
      <c r="O44" s="228"/>
      <c r="P44" s="228"/>
      <c r="Q44" s="229"/>
    </row>
    <row r="45" spans="1:35" ht="15" customHeight="1" x14ac:dyDescent="0.25">
      <c r="A45" s="10" t="s">
        <v>256</v>
      </c>
      <c r="B45" s="10"/>
      <c r="C45" s="7" t="s">
        <v>203</v>
      </c>
      <c r="D45" s="10" t="s">
        <v>10</v>
      </c>
      <c r="E45" s="151">
        <f ca="1">STANDAR!AT48</f>
        <v>5.0999999999999997E-2</v>
      </c>
      <c r="F45" s="10">
        <v>2</v>
      </c>
      <c r="G45" s="10">
        <v>60</v>
      </c>
      <c r="H45" s="10">
        <f t="shared" ref="H45:H53" ca="1" si="7">E45/F45</f>
        <v>2.5499999999999998E-2</v>
      </c>
      <c r="I45" s="10">
        <v>1</v>
      </c>
      <c r="J45" s="10">
        <f t="shared" ref="J45:J51" ca="1" si="8">H45*I45</f>
        <v>2.5499999999999998E-2</v>
      </c>
      <c r="K45" s="10">
        <f t="shared" ref="K45:K53" ca="1" si="9">J45^2</f>
        <v>6.5024999999999989E-4</v>
      </c>
      <c r="L45" s="10">
        <f t="shared" ref="L45:L53" ca="1" si="10">J45^4/G45</f>
        <v>7.0470843749999977E-9</v>
      </c>
      <c r="N45" s="228"/>
      <c r="O45" s="228"/>
      <c r="P45" s="228"/>
      <c r="Q45" s="229"/>
      <c r="S45" s="189">
        <f>'INPUT DATA'!V12</f>
        <v>13</v>
      </c>
      <c r="T45" s="196">
        <f>V$36</f>
        <v>0</v>
      </c>
      <c r="U45" s="196">
        <f>V$41</f>
        <v>0.05</v>
      </c>
      <c r="V45" s="196">
        <f>V$43</f>
        <v>0.08</v>
      </c>
      <c r="W45" s="196">
        <f>V$36</f>
        <v>0</v>
      </c>
      <c r="X45" s="196">
        <f>V$41</f>
        <v>0.05</v>
      </c>
      <c r="Y45" s="196">
        <f>V$43</f>
        <v>0.08</v>
      </c>
      <c r="Z45" s="196">
        <f>V$36</f>
        <v>0</v>
      </c>
      <c r="AA45" s="196">
        <f>V$41</f>
        <v>0.05</v>
      </c>
      <c r="AB45" s="196">
        <f>V$43</f>
        <v>0.08</v>
      </c>
      <c r="AC45" s="196">
        <f>V$36</f>
        <v>0</v>
      </c>
      <c r="AD45" s="196">
        <f>V$41</f>
        <v>0.05</v>
      </c>
      <c r="AE45" s="196">
        <f>V$43</f>
        <v>0.08</v>
      </c>
      <c r="AF45" s="196">
        <f>V$36</f>
        <v>0</v>
      </c>
      <c r="AG45" s="196">
        <f>V$41</f>
        <v>0.05</v>
      </c>
      <c r="AH45" s="196">
        <f>V$42</f>
        <v>0.12</v>
      </c>
      <c r="AI45" s="191">
        <f>INDEX(T45:AH45,S45)</f>
        <v>0</v>
      </c>
    </row>
    <row r="46" spans="1:35" ht="15" customHeight="1" x14ac:dyDescent="0.25">
      <c r="A46" s="10" t="s">
        <v>205</v>
      </c>
      <c r="B46" s="10"/>
      <c r="C46" s="7" t="s">
        <v>203</v>
      </c>
      <c r="D46" s="10" t="s">
        <v>11</v>
      </c>
      <c r="E46" s="114">
        <f>Z28</f>
        <v>0.12</v>
      </c>
      <c r="F46" s="10">
        <f>SQRT(3)</f>
        <v>1.7320508075688772</v>
      </c>
      <c r="G46" s="10">
        <v>200</v>
      </c>
      <c r="H46" s="10">
        <f t="shared" si="7"/>
        <v>6.9282032302755092E-2</v>
      </c>
      <c r="I46" s="10">
        <v>1</v>
      </c>
      <c r="J46" s="10">
        <f t="shared" si="8"/>
        <v>6.9282032302755092E-2</v>
      </c>
      <c r="K46" s="10">
        <f t="shared" si="9"/>
        <v>4.8000000000000004E-3</v>
      </c>
      <c r="L46" s="10">
        <f t="shared" si="10"/>
        <v>1.1520000000000001E-7</v>
      </c>
      <c r="N46" s="228"/>
      <c r="O46" s="228"/>
      <c r="P46" s="228"/>
      <c r="Q46" s="229"/>
    </row>
    <row r="47" spans="1:35" ht="15" customHeight="1" x14ac:dyDescent="0.25">
      <c r="A47" s="10" t="s">
        <v>394</v>
      </c>
      <c r="B47" s="10"/>
      <c r="C47" s="7" t="s">
        <v>203</v>
      </c>
      <c r="D47" s="10" t="s">
        <v>10</v>
      </c>
      <c r="E47" s="151">
        <f>'INPUT DATA'!P60</f>
        <v>0</v>
      </c>
      <c r="F47" s="10">
        <f>SQRT(3)</f>
        <v>1.7320508075688772</v>
      </c>
      <c r="G47" s="10">
        <v>2</v>
      </c>
      <c r="H47" s="10">
        <f t="shared" si="7"/>
        <v>0</v>
      </c>
      <c r="I47" s="10">
        <v>1</v>
      </c>
      <c r="J47" s="10">
        <f t="shared" si="8"/>
        <v>0</v>
      </c>
      <c r="K47" s="10">
        <f t="shared" si="9"/>
        <v>0</v>
      </c>
      <c r="L47" s="10">
        <f t="shared" si="10"/>
        <v>0</v>
      </c>
      <c r="N47" s="228"/>
      <c r="O47" s="228"/>
      <c r="P47" s="228"/>
      <c r="Q47" s="229"/>
      <c r="S47" s="189">
        <f>'INPUT DATA'!V12</f>
        <v>13</v>
      </c>
      <c r="T47" s="196">
        <f>V$36</f>
        <v>0</v>
      </c>
      <c r="U47" s="196">
        <f>V$41</f>
        <v>0.05</v>
      </c>
      <c r="V47" s="196">
        <f>V$43</f>
        <v>0.08</v>
      </c>
      <c r="W47" s="196">
        <f>V$36</f>
        <v>0</v>
      </c>
      <c r="X47" s="196">
        <f>V$41</f>
        <v>0.05</v>
      </c>
      <c r="Y47" s="196">
        <f>V$43</f>
        <v>0.08</v>
      </c>
      <c r="Z47" s="196">
        <f>V$36</f>
        <v>0</v>
      </c>
      <c r="AA47" s="196">
        <f>V$41</f>
        <v>0.05</v>
      </c>
      <c r="AB47" s="196">
        <f>V$43</f>
        <v>0.08</v>
      </c>
      <c r="AC47" s="196">
        <f>V$36</f>
        <v>0</v>
      </c>
      <c r="AD47" s="196">
        <f>V$41</f>
        <v>0.05</v>
      </c>
      <c r="AE47" s="196">
        <f>V$43</f>
        <v>0.08</v>
      </c>
      <c r="AF47" s="196">
        <f>V$36</f>
        <v>0</v>
      </c>
      <c r="AG47" s="196">
        <f>V$41</f>
        <v>0.05</v>
      </c>
      <c r="AH47" s="196">
        <f>V$42</f>
        <v>0.12</v>
      </c>
      <c r="AI47" s="191">
        <f>INDEX(T47:AH47,S47)</f>
        <v>0</v>
      </c>
    </row>
    <row r="48" spans="1:35" ht="15" customHeight="1" x14ac:dyDescent="0.25">
      <c r="A48" s="10" t="s">
        <v>204</v>
      </c>
      <c r="B48" s="10"/>
      <c r="C48" s="7" t="s">
        <v>203</v>
      </c>
      <c r="D48" s="10" t="s">
        <v>11</v>
      </c>
      <c r="E48" s="10">
        <f>0.01/2</f>
        <v>5.0000000000000001E-3</v>
      </c>
      <c r="F48" s="10">
        <f>SQRT(3)</f>
        <v>1.7320508075688772</v>
      </c>
      <c r="G48" s="10">
        <v>200</v>
      </c>
      <c r="H48" s="10">
        <f t="shared" si="7"/>
        <v>2.886751345948129E-3</v>
      </c>
      <c r="I48" s="10">
        <v>1</v>
      </c>
      <c r="J48" s="10">
        <f t="shared" si="8"/>
        <v>2.886751345948129E-3</v>
      </c>
      <c r="K48" s="10">
        <f t="shared" si="9"/>
        <v>8.3333333333333337E-6</v>
      </c>
      <c r="L48" s="10">
        <f t="shared" si="10"/>
        <v>3.4722222222222227E-13</v>
      </c>
      <c r="N48" s="206"/>
      <c r="O48" s="206"/>
      <c r="P48" s="206"/>
      <c r="Q48" s="227"/>
    </row>
    <row r="49" spans="1:18" ht="15" customHeight="1" x14ac:dyDescent="0.25">
      <c r="A49" s="204" t="s">
        <v>270</v>
      </c>
      <c r="B49" s="176"/>
      <c r="C49" s="201" t="s">
        <v>203</v>
      </c>
      <c r="D49" s="176" t="s">
        <v>11</v>
      </c>
      <c r="E49" s="205">
        <f>AI47</f>
        <v>0</v>
      </c>
      <c r="F49" s="176">
        <f t="shared" ref="F49:F53" si="11">SQRT(3)</f>
        <v>1.7320508075688772</v>
      </c>
      <c r="G49" s="176">
        <v>200</v>
      </c>
      <c r="H49" s="176">
        <f t="shared" si="7"/>
        <v>0</v>
      </c>
      <c r="I49" s="176">
        <v>1</v>
      </c>
      <c r="J49" s="176">
        <f t="shared" si="8"/>
        <v>0</v>
      </c>
      <c r="K49" s="176">
        <f t="shared" si="9"/>
        <v>0</v>
      </c>
      <c r="L49" s="176">
        <f t="shared" si="10"/>
        <v>0</v>
      </c>
      <c r="N49" s="230"/>
      <c r="O49" s="231"/>
      <c r="P49" s="231"/>
      <c r="Q49" s="231"/>
      <c r="R49" s="229"/>
    </row>
    <row r="50" spans="1:18" ht="15" customHeight="1" x14ac:dyDescent="0.25">
      <c r="A50" s="176" t="s">
        <v>395</v>
      </c>
      <c r="B50" s="176"/>
      <c r="C50" s="201" t="s">
        <v>203</v>
      </c>
      <c r="D50" s="176" t="s">
        <v>11</v>
      </c>
      <c r="E50" s="205">
        <v>0</v>
      </c>
      <c r="F50" s="176">
        <f t="shared" si="11"/>
        <v>1.7320508075688772</v>
      </c>
      <c r="G50" s="176">
        <v>200</v>
      </c>
      <c r="H50" s="176">
        <f t="shared" si="7"/>
        <v>0</v>
      </c>
      <c r="I50" s="176">
        <v>1</v>
      </c>
      <c r="J50" s="176">
        <f t="shared" si="8"/>
        <v>0</v>
      </c>
      <c r="K50" s="176">
        <f t="shared" si="9"/>
        <v>0</v>
      </c>
      <c r="L50" s="176">
        <f t="shared" si="10"/>
        <v>0</v>
      </c>
    </row>
    <row r="51" spans="1:18" ht="15" customHeight="1" x14ac:dyDescent="0.25">
      <c r="A51" s="204" t="s">
        <v>396</v>
      </c>
      <c r="B51" s="176"/>
      <c r="C51" s="201" t="s">
        <v>203</v>
      </c>
      <c r="D51" s="176" t="s">
        <v>11</v>
      </c>
      <c r="E51" s="205">
        <v>2E-3</v>
      </c>
      <c r="F51" s="176">
        <f t="shared" si="11"/>
        <v>1.7320508075688772</v>
      </c>
      <c r="G51" s="176">
        <v>200</v>
      </c>
      <c r="H51" s="176">
        <f t="shared" si="7"/>
        <v>1.1547005383792516E-3</v>
      </c>
      <c r="I51" s="176">
        <v>1</v>
      </c>
      <c r="J51" s="176">
        <f t="shared" si="8"/>
        <v>1.1547005383792516E-3</v>
      </c>
      <c r="K51" s="176">
        <f t="shared" si="9"/>
        <v>1.3333333333333334E-6</v>
      </c>
      <c r="L51" s="176">
        <f t="shared" si="10"/>
        <v>8.8888888888888896E-15</v>
      </c>
    </row>
    <row r="52" spans="1:18" ht="15" customHeight="1" x14ac:dyDescent="0.25">
      <c r="A52" s="10" t="s">
        <v>3</v>
      </c>
      <c r="B52" s="10"/>
      <c r="C52" s="7" t="s">
        <v>203</v>
      </c>
      <c r="D52" s="10" t="s">
        <v>11</v>
      </c>
      <c r="E52" s="151">
        <f>'INPUT DATA'!E24/2</f>
        <v>0</v>
      </c>
      <c r="F52" s="10">
        <f>SQRT(3)</f>
        <v>1.7320508075688772</v>
      </c>
      <c r="G52" s="10">
        <v>200</v>
      </c>
      <c r="H52" s="10">
        <f t="shared" si="7"/>
        <v>0</v>
      </c>
      <c r="I52" s="10">
        <v>1</v>
      </c>
      <c r="J52" s="10">
        <f>H52*I52</f>
        <v>0</v>
      </c>
      <c r="K52" s="10">
        <f>J52^2</f>
        <v>0</v>
      </c>
      <c r="L52" s="10">
        <f>J52^4/G52</f>
        <v>0</v>
      </c>
    </row>
    <row r="53" spans="1:18" ht="15" customHeight="1" x14ac:dyDescent="0.25">
      <c r="A53" s="204" t="s">
        <v>397</v>
      </c>
      <c r="B53" s="176"/>
      <c r="C53" s="201" t="s">
        <v>203</v>
      </c>
      <c r="D53" s="176" t="s">
        <v>10</v>
      </c>
      <c r="E53" s="205">
        <f>'INPUT DATA'!N60</f>
        <v>0</v>
      </c>
      <c r="F53" s="176">
        <f t="shared" si="11"/>
        <v>1.7320508075688772</v>
      </c>
      <c r="G53" s="176">
        <v>2</v>
      </c>
      <c r="H53" s="176">
        <f t="shared" si="7"/>
        <v>0</v>
      </c>
      <c r="I53" s="176">
        <v>1</v>
      </c>
      <c r="J53" s="176">
        <f>H53*I53</f>
        <v>0</v>
      </c>
      <c r="K53" s="176">
        <f t="shared" si="9"/>
        <v>0</v>
      </c>
      <c r="L53" s="176">
        <f t="shared" si="10"/>
        <v>0</v>
      </c>
    </row>
    <row r="54" spans="1:18" ht="15" customHeight="1" x14ac:dyDescent="0.25">
      <c r="A54" s="8" t="s">
        <v>143</v>
      </c>
      <c r="B54" s="9"/>
      <c r="C54" s="9"/>
      <c r="D54" s="6"/>
      <c r="E54" s="6"/>
      <c r="F54" s="6"/>
      <c r="G54" s="6"/>
      <c r="H54" s="6"/>
      <c r="I54" s="115"/>
      <c r="J54" s="10">
        <f ca="1">SUM(K45:K53)</f>
        <v>5.4599166666666667E-3</v>
      </c>
      <c r="K54" s="11"/>
      <c r="L54" s="10">
        <f ca="1">SUM(L45:L53)</f>
        <v>1.2224744048611113E-7</v>
      </c>
    </row>
    <row r="55" spans="1:18" ht="15" customHeight="1" x14ac:dyDescent="0.25">
      <c r="A55" s="8" t="s">
        <v>206</v>
      </c>
      <c r="B55" s="9"/>
      <c r="C55" s="9"/>
      <c r="D55" s="6"/>
      <c r="E55" s="6"/>
      <c r="F55" s="6"/>
      <c r="G55" s="6"/>
      <c r="H55" s="6"/>
      <c r="I55" s="115"/>
      <c r="J55" s="10">
        <f ca="1">SQRT(J54)</f>
        <v>7.3891248918032684E-2</v>
      </c>
      <c r="K55" s="11"/>
      <c r="L55" s="11"/>
    </row>
    <row r="56" spans="1:18" ht="15" customHeight="1" x14ac:dyDescent="0.25">
      <c r="A56" s="8" t="s">
        <v>144</v>
      </c>
      <c r="B56" s="9"/>
      <c r="C56" s="9"/>
      <c r="D56" s="6"/>
      <c r="E56" s="6"/>
      <c r="F56" s="6"/>
      <c r="G56" s="6"/>
      <c r="H56" s="6"/>
      <c r="I56" s="115"/>
      <c r="J56" s="10">
        <f ca="1">J55^4/L54</f>
        <v>243.85533053619491</v>
      </c>
      <c r="K56" s="11"/>
      <c r="L56" s="11"/>
    </row>
    <row r="57" spans="1:18" ht="15" customHeight="1" x14ac:dyDescent="0.25">
      <c r="A57" s="8" t="s">
        <v>145</v>
      </c>
      <c r="B57" s="9"/>
      <c r="C57" s="9"/>
      <c r="D57" s="6"/>
      <c r="E57" s="6"/>
      <c r="F57" s="6"/>
      <c r="G57" s="6"/>
      <c r="H57" s="6"/>
      <c r="I57" s="115"/>
      <c r="J57" s="10">
        <f ca="1">TINV(0.05,J56)</f>
        <v>1.9697743954267517</v>
      </c>
      <c r="K57" s="11"/>
      <c r="L57" s="11"/>
    </row>
    <row r="58" spans="1:18" ht="15" customHeight="1" x14ac:dyDescent="0.25">
      <c r="A58" s="8" t="s">
        <v>207</v>
      </c>
      <c r="B58" s="9"/>
      <c r="C58" s="9"/>
      <c r="D58" s="6"/>
      <c r="E58" s="6"/>
      <c r="F58" s="6"/>
      <c r="G58" s="6"/>
      <c r="H58" s="6"/>
      <c r="I58" s="115"/>
      <c r="J58" s="114">
        <f ca="1">J55*J57</f>
        <v>0.14554909016484546</v>
      </c>
      <c r="K58" s="11"/>
      <c r="L58" s="11"/>
    </row>
    <row r="59" spans="1:18" ht="15" customHeight="1" x14ac:dyDescent="0.25">
      <c r="H59" s="269" t="s">
        <v>217</v>
      </c>
      <c r="I59" s="269"/>
      <c r="J59" s="186">
        <f ca="1">IF(J58&lt;K94,K94,J58)</f>
        <v>0.14554909016484546</v>
      </c>
      <c r="K59" t="s">
        <v>218</v>
      </c>
    </row>
    <row r="60" spans="1:18" ht="15" customHeight="1" x14ac:dyDescent="0.25"/>
    <row r="61" spans="1:18" ht="15" customHeight="1" x14ac:dyDescent="0.25"/>
    <row r="62" spans="1:18" ht="15" customHeight="1" x14ac:dyDescent="0.25"/>
    <row r="63" spans="1:18" ht="15" customHeight="1" x14ac:dyDescent="0.25"/>
    <row r="64" spans="1:18" ht="15" customHeight="1" x14ac:dyDescent="0.25"/>
    <row r="65" spans="7:11" ht="15" customHeight="1" x14ac:dyDescent="0.25"/>
    <row r="66" spans="7:11" ht="15" customHeight="1" x14ac:dyDescent="0.25"/>
    <row r="67" spans="7:11" ht="15" customHeight="1" x14ac:dyDescent="0.25"/>
    <row r="68" spans="7:11" ht="15" customHeight="1" x14ac:dyDescent="0.25"/>
    <row r="69" spans="7:11" ht="15" customHeight="1" x14ac:dyDescent="0.25"/>
    <row r="70" spans="7:11" ht="15" customHeight="1" x14ac:dyDescent="0.25">
      <c r="G70" s="220" t="s">
        <v>336</v>
      </c>
    </row>
    <row r="71" spans="7:11" ht="15" customHeight="1" x14ac:dyDescent="0.25">
      <c r="G71" t="s">
        <v>337</v>
      </c>
      <c r="J71" t="s">
        <v>344</v>
      </c>
    </row>
    <row r="72" spans="7:11" ht="15" customHeight="1" x14ac:dyDescent="0.25">
      <c r="G72" s="196">
        <v>-25.01</v>
      </c>
      <c r="H72" s="189">
        <v>0.14000000000000001</v>
      </c>
      <c r="J72" s="196">
        <v>-25.01</v>
      </c>
      <c r="K72" s="189">
        <v>0.13</v>
      </c>
    </row>
    <row r="73" spans="7:11" ht="15" customHeight="1" x14ac:dyDescent="0.25">
      <c r="G73" s="196">
        <v>50.01</v>
      </c>
      <c r="H73" s="196">
        <v>0.2</v>
      </c>
      <c r="J73" s="196">
        <v>50.01</v>
      </c>
      <c r="K73" s="189">
        <v>0.19</v>
      </c>
    </row>
    <row r="74" spans="7:11" ht="15" customHeight="1" x14ac:dyDescent="0.25">
      <c r="G74" s="196">
        <v>150.01</v>
      </c>
      <c r="H74" s="196">
        <v>0.2</v>
      </c>
      <c r="J74" s="196">
        <v>150.01</v>
      </c>
      <c r="K74" s="196">
        <v>0.5</v>
      </c>
    </row>
    <row r="75" spans="7:11" ht="15" customHeight="1" x14ac:dyDescent="0.25">
      <c r="J75" s="196">
        <v>200.01</v>
      </c>
      <c r="K75" s="189">
        <v>0.61</v>
      </c>
    </row>
    <row r="76" spans="7:11" ht="15" customHeight="1" x14ac:dyDescent="0.25">
      <c r="G76" s="189">
        <f>MAX('INPUT DATA'!H49:I59)</f>
        <v>0</v>
      </c>
      <c r="H76" s="189">
        <f>VLOOKUP(G76,G72:H74,2,TRUE)</f>
        <v>0.14000000000000001</v>
      </c>
      <c r="J76" s="196">
        <v>300.01</v>
      </c>
      <c r="K76" s="189">
        <v>1.2</v>
      </c>
    </row>
    <row r="77" spans="7:11" ht="15" customHeight="1" x14ac:dyDescent="0.25">
      <c r="J77" s="196">
        <v>500</v>
      </c>
      <c r="K77" s="189">
        <v>1.2</v>
      </c>
    </row>
    <row r="78" spans="7:11" x14ac:dyDescent="0.25">
      <c r="G78" t="s">
        <v>310</v>
      </c>
    </row>
    <row r="79" spans="7:11" x14ac:dyDescent="0.25">
      <c r="G79" s="196">
        <v>-25.01</v>
      </c>
      <c r="H79" s="189">
        <v>0.13</v>
      </c>
      <c r="J79" s="189">
        <f>MAX('INPUT DATA'!H49:I59)</f>
        <v>0</v>
      </c>
      <c r="K79" s="189">
        <f>VLOOKUP(J79,J72:K77,2,TRUE)</f>
        <v>0.13</v>
      </c>
    </row>
    <row r="80" spans="7:11" x14ac:dyDescent="0.25">
      <c r="G80" s="196">
        <v>50.01</v>
      </c>
      <c r="H80" s="189">
        <v>0.19</v>
      </c>
    </row>
    <row r="81" spans="7:11" x14ac:dyDescent="0.25">
      <c r="G81" s="196">
        <v>150.01</v>
      </c>
      <c r="H81" s="196">
        <v>0.5</v>
      </c>
    </row>
    <row r="82" spans="7:11" x14ac:dyDescent="0.25">
      <c r="G82" s="196">
        <v>200.01</v>
      </c>
      <c r="H82" s="189">
        <v>0.61</v>
      </c>
    </row>
    <row r="83" spans="7:11" x14ac:dyDescent="0.25">
      <c r="G83" s="196">
        <v>300.01</v>
      </c>
      <c r="H83" s="189">
        <v>1.2</v>
      </c>
    </row>
    <row r="84" spans="7:11" x14ac:dyDescent="0.25">
      <c r="G84" s="196">
        <v>500</v>
      </c>
      <c r="H84" s="189">
        <v>1.2</v>
      </c>
    </row>
    <row r="86" spans="7:11" x14ac:dyDescent="0.25">
      <c r="G86" s="189">
        <f>MAX('INPUT DATA'!H49:I59)</f>
        <v>0</v>
      </c>
      <c r="H86" s="189">
        <f>VLOOKUP(G86,G79:H84,2,TRUE)</f>
        <v>0.13</v>
      </c>
    </row>
    <row r="88" spans="7:11" x14ac:dyDescent="0.25">
      <c r="G88" s="244" t="s">
        <v>337</v>
      </c>
      <c r="H88" s="244"/>
      <c r="I88" s="244"/>
      <c r="J88" s="244"/>
      <c r="K88" s="189">
        <f>H76</f>
        <v>0.14000000000000001</v>
      </c>
    </row>
    <row r="89" spans="7:11" x14ac:dyDescent="0.25">
      <c r="G89" s="244" t="s">
        <v>310</v>
      </c>
      <c r="H89" s="244"/>
      <c r="I89" s="244"/>
      <c r="J89" s="244"/>
      <c r="K89" s="189">
        <f>H86</f>
        <v>0.13</v>
      </c>
    </row>
    <row r="90" spans="7:11" x14ac:dyDescent="0.25">
      <c r="G90" s="244" t="s">
        <v>344</v>
      </c>
      <c r="H90" s="244"/>
      <c r="I90" s="244"/>
      <c r="J90" s="244"/>
      <c r="K90" s="189">
        <f>K79</f>
        <v>0.13</v>
      </c>
    </row>
    <row r="92" spans="7:11" x14ac:dyDescent="0.25">
      <c r="G92" s="244" t="s">
        <v>338</v>
      </c>
      <c r="H92" s="244"/>
      <c r="I92" s="244"/>
      <c r="J92" s="244"/>
      <c r="K92" s="189">
        <f>'INPUT DATA'!X12</f>
        <v>3</v>
      </c>
    </row>
    <row r="93" spans="7:11" x14ac:dyDescent="0.25">
      <c r="G93" s="221"/>
      <c r="H93" s="221"/>
      <c r="I93" s="221"/>
      <c r="J93" s="221"/>
    </row>
    <row r="94" spans="7:11" x14ac:dyDescent="0.25">
      <c r="G94" s="244" t="s">
        <v>316</v>
      </c>
      <c r="H94" s="244"/>
      <c r="I94" s="244"/>
      <c r="J94" s="244"/>
      <c r="K94" s="189">
        <f>INDEX(K88:K90,K92)</f>
        <v>0.13</v>
      </c>
    </row>
  </sheetData>
  <mergeCells count="21">
    <mergeCell ref="A43:B43"/>
    <mergeCell ref="A44:B44"/>
    <mergeCell ref="H59:I59"/>
    <mergeCell ref="W16:Z16"/>
    <mergeCell ref="S25:S26"/>
    <mergeCell ref="T25:T26"/>
    <mergeCell ref="O38:Q38"/>
    <mergeCell ref="S31:V31"/>
    <mergeCell ref="S32:T32"/>
    <mergeCell ref="U32:V32"/>
    <mergeCell ref="S38:V38"/>
    <mergeCell ref="A16:B16"/>
    <mergeCell ref="A17:B17"/>
    <mergeCell ref="N16:O16"/>
    <mergeCell ref="S39:T39"/>
    <mergeCell ref="U39:V39"/>
    <mergeCell ref="N23:O23"/>
    <mergeCell ref="H34:I34"/>
    <mergeCell ref="O25:P25"/>
    <mergeCell ref="O27:P27"/>
    <mergeCell ref="O28:P28"/>
  </mergeCells>
  <pageMargins left="0.7" right="0.7" top="0.75" bottom="0.75" header="0.3" footer="0.3"/>
  <pageSetup paperSize="9" scale="7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8"/>
  <sheetViews>
    <sheetView workbookViewId="0">
      <selection activeCell="C24" sqref="C24"/>
    </sheetView>
  </sheetViews>
  <sheetFormatPr defaultColWidth="8.88671875" defaultRowHeight="14.4" x14ac:dyDescent="0.3"/>
  <cols>
    <col min="1" max="1" width="15.109375" style="171" customWidth="1"/>
    <col min="2" max="2" width="13" style="171" customWidth="1"/>
    <col min="3" max="16384" width="8.88671875" style="171"/>
  </cols>
  <sheetData>
    <row r="1" spans="1:9" x14ac:dyDescent="0.3">
      <c r="A1" s="171" t="s">
        <v>272</v>
      </c>
    </row>
    <row r="2" spans="1:9" ht="15" thickBot="1" x14ac:dyDescent="0.35"/>
    <row r="3" spans="1:9" x14ac:dyDescent="0.3">
      <c r="A3" s="172" t="s">
        <v>273</v>
      </c>
      <c r="B3" s="172"/>
    </row>
    <row r="4" spans="1:9" x14ac:dyDescent="0.3">
      <c r="A4" s="171" t="s">
        <v>274</v>
      </c>
      <c r="B4" s="171">
        <v>0.94445426540325728</v>
      </c>
    </row>
    <row r="5" spans="1:9" x14ac:dyDescent="0.3">
      <c r="A5" s="171" t="s">
        <v>275</v>
      </c>
      <c r="B5" s="171">
        <v>0.89199385943840637</v>
      </c>
    </row>
    <row r="6" spans="1:9" x14ac:dyDescent="0.3">
      <c r="A6" s="171" t="s">
        <v>276</v>
      </c>
      <c r="B6" s="171">
        <v>0.87399283601147415</v>
      </c>
    </row>
    <row r="7" spans="1:9" x14ac:dyDescent="0.3">
      <c r="A7" s="171" t="s">
        <v>277</v>
      </c>
      <c r="B7" s="171">
        <v>0.35090194575472516</v>
      </c>
    </row>
    <row r="8" spans="1:9" ht="15" thickBot="1" x14ac:dyDescent="0.35">
      <c r="A8" s="173" t="s">
        <v>278</v>
      </c>
      <c r="B8" s="173">
        <v>8</v>
      </c>
    </row>
    <row r="10" spans="1:9" ht="15" thickBot="1" x14ac:dyDescent="0.35">
      <c r="A10" s="171" t="s">
        <v>279</v>
      </c>
    </row>
    <row r="11" spans="1:9" x14ac:dyDescent="0.3">
      <c r="A11" s="174"/>
      <c r="B11" s="174" t="s">
        <v>280</v>
      </c>
      <c r="C11" s="174" t="s">
        <v>281</v>
      </c>
      <c r="D11" s="174" t="s">
        <v>282</v>
      </c>
      <c r="E11" s="174" t="s">
        <v>283</v>
      </c>
      <c r="F11" s="174" t="s">
        <v>284</v>
      </c>
    </row>
    <row r="12" spans="1:9" x14ac:dyDescent="0.3">
      <c r="A12" s="171" t="s">
        <v>285</v>
      </c>
      <c r="B12" s="171">
        <v>1</v>
      </c>
      <c r="C12" s="171">
        <v>6.1014944467932892</v>
      </c>
      <c r="D12" s="171">
        <v>6.1014944467932892</v>
      </c>
      <c r="E12" s="171">
        <v>49.552397010041503</v>
      </c>
      <c r="F12" s="171">
        <v>4.1079179709718809E-4</v>
      </c>
    </row>
    <row r="13" spans="1:9" x14ac:dyDescent="0.3">
      <c r="A13" s="171" t="s">
        <v>286</v>
      </c>
      <c r="B13" s="171">
        <v>6</v>
      </c>
      <c r="C13" s="171">
        <v>0.73879305320671251</v>
      </c>
      <c r="D13" s="171">
        <v>0.12313217553445209</v>
      </c>
    </row>
    <row r="14" spans="1:9" ht="15" thickBot="1" x14ac:dyDescent="0.35">
      <c r="A14" s="173" t="s">
        <v>287</v>
      </c>
      <c r="B14" s="173">
        <v>7</v>
      </c>
      <c r="C14" s="173">
        <v>6.8402875000000014</v>
      </c>
      <c r="D14" s="173"/>
      <c r="E14" s="173"/>
      <c r="F14" s="173"/>
    </row>
    <row r="15" spans="1:9" ht="15" thickBot="1" x14ac:dyDescent="0.35"/>
    <row r="16" spans="1:9" x14ac:dyDescent="0.3">
      <c r="A16" s="174"/>
      <c r="B16" s="174" t="s">
        <v>288</v>
      </c>
      <c r="C16" s="174" t="s">
        <v>277</v>
      </c>
      <c r="D16" s="174" t="s">
        <v>289</v>
      </c>
      <c r="E16" s="174" t="s">
        <v>290</v>
      </c>
      <c r="F16" s="174" t="s">
        <v>291</v>
      </c>
      <c r="G16" s="174" t="s">
        <v>292</v>
      </c>
      <c r="H16" s="174" t="s">
        <v>293</v>
      </c>
      <c r="I16" s="174" t="s">
        <v>294</v>
      </c>
    </row>
    <row r="17" spans="1:9" x14ac:dyDescent="0.3">
      <c r="A17" s="171" t="s">
        <v>295</v>
      </c>
      <c r="B17" s="171">
        <v>-9.1278348727288794E-2</v>
      </c>
      <c r="C17" s="171">
        <v>0.17213934962579799</v>
      </c>
      <c r="D17" s="171">
        <v>-0.53025847329917641</v>
      </c>
      <c r="E17" s="171">
        <v>0.61497418660306535</v>
      </c>
      <c r="F17" s="171">
        <v>-0.51248816337504133</v>
      </c>
      <c r="G17" s="171">
        <v>0.32993146592046374</v>
      </c>
      <c r="H17" s="171">
        <v>-0.51248816337504133</v>
      </c>
      <c r="I17" s="171">
        <v>0.32993146592046374</v>
      </c>
    </row>
    <row r="18" spans="1:9" ht="15" thickBot="1" x14ac:dyDescent="0.35">
      <c r="A18" s="173" t="s">
        <v>296</v>
      </c>
      <c r="B18" s="173">
        <v>5.3124322449156604E-3</v>
      </c>
      <c r="C18" s="173">
        <v>7.5467692341454223E-4</v>
      </c>
      <c r="D18" s="173">
        <v>7.0393463482088663</v>
      </c>
      <c r="E18" s="173">
        <v>4.1079179709718809E-4</v>
      </c>
      <c r="F18" s="173">
        <v>3.4658043372269923E-3</v>
      </c>
      <c r="G18" s="173">
        <v>7.1590601526043286E-3</v>
      </c>
      <c r="H18" s="173">
        <v>3.4658043372269923E-3</v>
      </c>
      <c r="I18" s="173">
        <v>7.1590601526043286E-3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1">
    <tabColor rgb="FF92D050"/>
  </sheetPr>
  <dimension ref="A1:O58"/>
  <sheetViews>
    <sheetView showGridLines="0" workbookViewId="0">
      <selection activeCell="I57" sqref="I57:O57"/>
    </sheetView>
  </sheetViews>
  <sheetFormatPr defaultRowHeight="14.1" customHeight="1" x14ac:dyDescent="0.25"/>
  <cols>
    <col min="1" max="1" width="21.5546875" style="33" customWidth="1"/>
    <col min="2" max="2" width="2.44140625" style="33" customWidth="1"/>
    <col min="3" max="9" width="6.5546875" style="33" customWidth="1"/>
    <col min="10" max="10" width="5.5546875" style="33" customWidth="1"/>
    <col min="11" max="15" width="2.5546875" style="33" customWidth="1"/>
    <col min="16" max="242" width="8.88671875" style="33"/>
    <col min="243" max="243" width="5.109375" style="33" customWidth="1"/>
    <col min="244" max="244" width="22" style="33" customWidth="1"/>
    <col min="245" max="245" width="2.44140625" style="33" customWidth="1"/>
    <col min="246" max="246" width="32.109375" style="33" customWidth="1"/>
    <col min="247" max="248" width="8.88671875" style="33"/>
    <col min="249" max="249" width="1.5546875" style="33" customWidth="1"/>
    <col min="250" max="250" width="4" style="33" customWidth="1"/>
    <col min="251" max="251" width="5" style="33" customWidth="1"/>
    <col min="252" max="252" width="4.109375" style="33" customWidth="1"/>
    <col min="253" max="498" width="8.88671875" style="33"/>
    <col min="499" max="499" width="5.109375" style="33" customWidth="1"/>
    <col min="500" max="500" width="22" style="33" customWidth="1"/>
    <col min="501" max="501" width="2.44140625" style="33" customWidth="1"/>
    <col min="502" max="502" width="32.109375" style="33" customWidth="1"/>
    <col min="503" max="504" width="8.88671875" style="33"/>
    <col min="505" max="505" width="1.5546875" style="33" customWidth="1"/>
    <col min="506" max="506" width="4" style="33" customWidth="1"/>
    <col min="507" max="507" width="5" style="33" customWidth="1"/>
    <col min="508" max="508" width="4.109375" style="33" customWidth="1"/>
    <col min="509" max="754" width="8.88671875" style="33"/>
    <col min="755" max="755" width="5.109375" style="33" customWidth="1"/>
    <col min="756" max="756" width="22" style="33" customWidth="1"/>
    <col min="757" max="757" width="2.44140625" style="33" customWidth="1"/>
    <col min="758" max="758" width="32.109375" style="33" customWidth="1"/>
    <col min="759" max="760" width="8.88671875" style="33"/>
    <col min="761" max="761" width="1.5546875" style="33" customWidth="1"/>
    <col min="762" max="762" width="4" style="33" customWidth="1"/>
    <col min="763" max="763" width="5" style="33" customWidth="1"/>
    <col min="764" max="764" width="4.109375" style="33" customWidth="1"/>
    <col min="765" max="1010" width="8.88671875" style="33"/>
    <col min="1011" max="1011" width="5.109375" style="33" customWidth="1"/>
    <col min="1012" max="1012" width="22" style="33" customWidth="1"/>
    <col min="1013" max="1013" width="2.44140625" style="33" customWidth="1"/>
    <col min="1014" max="1014" width="32.109375" style="33" customWidth="1"/>
    <col min="1015" max="1016" width="8.88671875" style="33"/>
    <col min="1017" max="1017" width="1.5546875" style="33" customWidth="1"/>
    <col min="1018" max="1018" width="4" style="33" customWidth="1"/>
    <col min="1019" max="1019" width="5" style="33" customWidth="1"/>
    <col min="1020" max="1020" width="4.109375" style="33" customWidth="1"/>
    <col min="1021" max="1266" width="8.88671875" style="33"/>
    <col min="1267" max="1267" width="5.109375" style="33" customWidth="1"/>
    <col min="1268" max="1268" width="22" style="33" customWidth="1"/>
    <col min="1269" max="1269" width="2.44140625" style="33" customWidth="1"/>
    <col min="1270" max="1270" width="32.109375" style="33" customWidth="1"/>
    <col min="1271" max="1272" width="8.88671875" style="33"/>
    <col min="1273" max="1273" width="1.5546875" style="33" customWidth="1"/>
    <col min="1274" max="1274" width="4" style="33" customWidth="1"/>
    <col min="1275" max="1275" width="5" style="33" customWidth="1"/>
    <col min="1276" max="1276" width="4.109375" style="33" customWidth="1"/>
    <col min="1277" max="1522" width="8.88671875" style="33"/>
    <col min="1523" max="1523" width="5.109375" style="33" customWidth="1"/>
    <col min="1524" max="1524" width="22" style="33" customWidth="1"/>
    <col min="1525" max="1525" width="2.44140625" style="33" customWidth="1"/>
    <col min="1526" max="1526" width="32.109375" style="33" customWidth="1"/>
    <col min="1527" max="1528" width="8.88671875" style="33"/>
    <col min="1529" max="1529" width="1.5546875" style="33" customWidth="1"/>
    <col min="1530" max="1530" width="4" style="33" customWidth="1"/>
    <col min="1531" max="1531" width="5" style="33" customWidth="1"/>
    <col min="1532" max="1532" width="4.109375" style="33" customWidth="1"/>
    <col min="1533" max="1778" width="8.88671875" style="33"/>
    <col min="1779" max="1779" width="5.109375" style="33" customWidth="1"/>
    <col min="1780" max="1780" width="22" style="33" customWidth="1"/>
    <col min="1781" max="1781" width="2.44140625" style="33" customWidth="1"/>
    <col min="1782" max="1782" width="32.109375" style="33" customWidth="1"/>
    <col min="1783" max="1784" width="8.88671875" style="33"/>
    <col min="1785" max="1785" width="1.5546875" style="33" customWidth="1"/>
    <col min="1786" max="1786" width="4" style="33" customWidth="1"/>
    <col min="1787" max="1787" width="5" style="33" customWidth="1"/>
    <col min="1788" max="1788" width="4.109375" style="33" customWidth="1"/>
    <col min="1789" max="2034" width="8.88671875" style="33"/>
    <col min="2035" max="2035" width="5.109375" style="33" customWidth="1"/>
    <col min="2036" max="2036" width="22" style="33" customWidth="1"/>
    <col min="2037" max="2037" width="2.44140625" style="33" customWidth="1"/>
    <col min="2038" max="2038" width="32.109375" style="33" customWidth="1"/>
    <col min="2039" max="2040" width="8.88671875" style="33"/>
    <col min="2041" max="2041" width="1.5546875" style="33" customWidth="1"/>
    <col min="2042" max="2042" width="4" style="33" customWidth="1"/>
    <col min="2043" max="2043" width="5" style="33" customWidth="1"/>
    <col min="2044" max="2044" width="4.109375" style="33" customWidth="1"/>
    <col min="2045" max="2290" width="8.88671875" style="33"/>
    <col min="2291" max="2291" width="5.109375" style="33" customWidth="1"/>
    <col min="2292" max="2292" width="22" style="33" customWidth="1"/>
    <col min="2293" max="2293" width="2.44140625" style="33" customWidth="1"/>
    <col min="2294" max="2294" width="32.109375" style="33" customWidth="1"/>
    <col min="2295" max="2296" width="8.88671875" style="33"/>
    <col min="2297" max="2297" width="1.5546875" style="33" customWidth="1"/>
    <col min="2298" max="2298" width="4" style="33" customWidth="1"/>
    <col min="2299" max="2299" width="5" style="33" customWidth="1"/>
    <col min="2300" max="2300" width="4.109375" style="33" customWidth="1"/>
    <col min="2301" max="2546" width="8.88671875" style="33"/>
    <col min="2547" max="2547" width="5.109375" style="33" customWidth="1"/>
    <col min="2548" max="2548" width="22" style="33" customWidth="1"/>
    <col min="2549" max="2549" width="2.44140625" style="33" customWidth="1"/>
    <col min="2550" max="2550" width="32.109375" style="33" customWidth="1"/>
    <col min="2551" max="2552" width="8.88671875" style="33"/>
    <col min="2553" max="2553" width="1.5546875" style="33" customWidth="1"/>
    <col min="2554" max="2554" width="4" style="33" customWidth="1"/>
    <col min="2555" max="2555" width="5" style="33" customWidth="1"/>
    <col min="2556" max="2556" width="4.109375" style="33" customWidth="1"/>
    <col min="2557" max="2802" width="8.88671875" style="33"/>
    <col min="2803" max="2803" width="5.109375" style="33" customWidth="1"/>
    <col min="2804" max="2804" width="22" style="33" customWidth="1"/>
    <col min="2805" max="2805" width="2.44140625" style="33" customWidth="1"/>
    <col min="2806" max="2806" width="32.109375" style="33" customWidth="1"/>
    <col min="2807" max="2808" width="8.88671875" style="33"/>
    <col min="2809" max="2809" width="1.5546875" style="33" customWidth="1"/>
    <col min="2810" max="2810" width="4" style="33" customWidth="1"/>
    <col min="2811" max="2811" width="5" style="33" customWidth="1"/>
    <col min="2812" max="2812" width="4.109375" style="33" customWidth="1"/>
    <col min="2813" max="3058" width="8.88671875" style="33"/>
    <col min="3059" max="3059" width="5.109375" style="33" customWidth="1"/>
    <col min="3060" max="3060" width="22" style="33" customWidth="1"/>
    <col min="3061" max="3061" width="2.44140625" style="33" customWidth="1"/>
    <col min="3062" max="3062" width="32.109375" style="33" customWidth="1"/>
    <col min="3063" max="3064" width="8.88671875" style="33"/>
    <col min="3065" max="3065" width="1.5546875" style="33" customWidth="1"/>
    <col min="3066" max="3066" width="4" style="33" customWidth="1"/>
    <col min="3067" max="3067" width="5" style="33" customWidth="1"/>
    <col min="3068" max="3068" width="4.109375" style="33" customWidth="1"/>
    <col min="3069" max="3314" width="8.88671875" style="33"/>
    <col min="3315" max="3315" width="5.109375" style="33" customWidth="1"/>
    <col min="3316" max="3316" width="22" style="33" customWidth="1"/>
    <col min="3317" max="3317" width="2.44140625" style="33" customWidth="1"/>
    <col min="3318" max="3318" width="32.109375" style="33" customWidth="1"/>
    <col min="3319" max="3320" width="8.88671875" style="33"/>
    <col min="3321" max="3321" width="1.5546875" style="33" customWidth="1"/>
    <col min="3322" max="3322" width="4" style="33" customWidth="1"/>
    <col min="3323" max="3323" width="5" style="33" customWidth="1"/>
    <col min="3324" max="3324" width="4.109375" style="33" customWidth="1"/>
    <col min="3325" max="3570" width="8.88671875" style="33"/>
    <col min="3571" max="3571" width="5.109375" style="33" customWidth="1"/>
    <col min="3572" max="3572" width="22" style="33" customWidth="1"/>
    <col min="3573" max="3573" width="2.44140625" style="33" customWidth="1"/>
    <col min="3574" max="3574" width="32.109375" style="33" customWidth="1"/>
    <col min="3575" max="3576" width="8.88671875" style="33"/>
    <col min="3577" max="3577" width="1.5546875" style="33" customWidth="1"/>
    <col min="3578" max="3578" width="4" style="33" customWidth="1"/>
    <col min="3579" max="3579" width="5" style="33" customWidth="1"/>
    <col min="3580" max="3580" width="4.109375" style="33" customWidth="1"/>
    <col min="3581" max="3826" width="8.88671875" style="33"/>
    <col min="3827" max="3827" width="5.109375" style="33" customWidth="1"/>
    <col min="3828" max="3828" width="22" style="33" customWidth="1"/>
    <col min="3829" max="3829" width="2.44140625" style="33" customWidth="1"/>
    <col min="3830" max="3830" width="32.109375" style="33" customWidth="1"/>
    <col min="3831" max="3832" width="8.88671875" style="33"/>
    <col min="3833" max="3833" width="1.5546875" style="33" customWidth="1"/>
    <col min="3834" max="3834" width="4" style="33" customWidth="1"/>
    <col min="3835" max="3835" width="5" style="33" customWidth="1"/>
    <col min="3836" max="3836" width="4.109375" style="33" customWidth="1"/>
    <col min="3837" max="4082" width="8.88671875" style="33"/>
    <col min="4083" max="4083" width="5.109375" style="33" customWidth="1"/>
    <col min="4084" max="4084" width="22" style="33" customWidth="1"/>
    <col min="4085" max="4085" width="2.44140625" style="33" customWidth="1"/>
    <col min="4086" max="4086" width="32.109375" style="33" customWidth="1"/>
    <col min="4087" max="4088" width="8.88671875" style="33"/>
    <col min="4089" max="4089" width="1.5546875" style="33" customWidth="1"/>
    <col min="4090" max="4090" width="4" style="33" customWidth="1"/>
    <col min="4091" max="4091" width="5" style="33" customWidth="1"/>
    <col min="4092" max="4092" width="4.109375" style="33" customWidth="1"/>
    <col min="4093" max="4338" width="8.88671875" style="33"/>
    <col min="4339" max="4339" width="5.109375" style="33" customWidth="1"/>
    <col min="4340" max="4340" width="22" style="33" customWidth="1"/>
    <col min="4341" max="4341" width="2.44140625" style="33" customWidth="1"/>
    <col min="4342" max="4342" width="32.109375" style="33" customWidth="1"/>
    <col min="4343" max="4344" width="8.88671875" style="33"/>
    <col min="4345" max="4345" width="1.5546875" style="33" customWidth="1"/>
    <col min="4346" max="4346" width="4" style="33" customWidth="1"/>
    <col min="4347" max="4347" width="5" style="33" customWidth="1"/>
    <col min="4348" max="4348" width="4.109375" style="33" customWidth="1"/>
    <col min="4349" max="4594" width="8.88671875" style="33"/>
    <col min="4595" max="4595" width="5.109375" style="33" customWidth="1"/>
    <col min="4596" max="4596" width="22" style="33" customWidth="1"/>
    <col min="4597" max="4597" width="2.44140625" style="33" customWidth="1"/>
    <col min="4598" max="4598" width="32.109375" style="33" customWidth="1"/>
    <col min="4599" max="4600" width="8.88671875" style="33"/>
    <col min="4601" max="4601" width="1.5546875" style="33" customWidth="1"/>
    <col min="4602" max="4602" width="4" style="33" customWidth="1"/>
    <col min="4603" max="4603" width="5" style="33" customWidth="1"/>
    <col min="4604" max="4604" width="4.109375" style="33" customWidth="1"/>
    <col min="4605" max="4850" width="8.88671875" style="33"/>
    <col min="4851" max="4851" width="5.109375" style="33" customWidth="1"/>
    <col min="4852" max="4852" width="22" style="33" customWidth="1"/>
    <col min="4853" max="4853" width="2.44140625" style="33" customWidth="1"/>
    <col min="4854" max="4854" width="32.109375" style="33" customWidth="1"/>
    <col min="4855" max="4856" width="8.88671875" style="33"/>
    <col min="4857" max="4857" width="1.5546875" style="33" customWidth="1"/>
    <col min="4858" max="4858" width="4" style="33" customWidth="1"/>
    <col min="4859" max="4859" width="5" style="33" customWidth="1"/>
    <col min="4860" max="4860" width="4.109375" style="33" customWidth="1"/>
    <col min="4861" max="5106" width="8.88671875" style="33"/>
    <col min="5107" max="5107" width="5.109375" style="33" customWidth="1"/>
    <col min="5108" max="5108" width="22" style="33" customWidth="1"/>
    <col min="5109" max="5109" width="2.44140625" style="33" customWidth="1"/>
    <col min="5110" max="5110" width="32.109375" style="33" customWidth="1"/>
    <col min="5111" max="5112" width="8.88671875" style="33"/>
    <col min="5113" max="5113" width="1.5546875" style="33" customWidth="1"/>
    <col min="5114" max="5114" width="4" style="33" customWidth="1"/>
    <col min="5115" max="5115" width="5" style="33" customWidth="1"/>
    <col min="5116" max="5116" width="4.109375" style="33" customWidth="1"/>
    <col min="5117" max="5362" width="8.88671875" style="33"/>
    <col min="5363" max="5363" width="5.109375" style="33" customWidth="1"/>
    <col min="5364" max="5364" width="22" style="33" customWidth="1"/>
    <col min="5365" max="5365" width="2.44140625" style="33" customWidth="1"/>
    <col min="5366" max="5366" width="32.109375" style="33" customWidth="1"/>
    <col min="5367" max="5368" width="8.88671875" style="33"/>
    <col min="5369" max="5369" width="1.5546875" style="33" customWidth="1"/>
    <col min="5370" max="5370" width="4" style="33" customWidth="1"/>
    <col min="5371" max="5371" width="5" style="33" customWidth="1"/>
    <col min="5372" max="5372" width="4.109375" style="33" customWidth="1"/>
    <col min="5373" max="5618" width="8.88671875" style="33"/>
    <col min="5619" max="5619" width="5.109375" style="33" customWidth="1"/>
    <col min="5620" max="5620" width="22" style="33" customWidth="1"/>
    <col min="5621" max="5621" width="2.44140625" style="33" customWidth="1"/>
    <col min="5622" max="5622" width="32.109375" style="33" customWidth="1"/>
    <col min="5623" max="5624" width="8.88671875" style="33"/>
    <col min="5625" max="5625" width="1.5546875" style="33" customWidth="1"/>
    <col min="5626" max="5626" width="4" style="33" customWidth="1"/>
    <col min="5627" max="5627" width="5" style="33" customWidth="1"/>
    <col min="5628" max="5628" width="4.109375" style="33" customWidth="1"/>
    <col min="5629" max="5874" width="8.88671875" style="33"/>
    <col min="5875" max="5875" width="5.109375" style="33" customWidth="1"/>
    <col min="5876" max="5876" width="22" style="33" customWidth="1"/>
    <col min="5877" max="5877" width="2.44140625" style="33" customWidth="1"/>
    <col min="5878" max="5878" width="32.109375" style="33" customWidth="1"/>
    <col min="5879" max="5880" width="8.88671875" style="33"/>
    <col min="5881" max="5881" width="1.5546875" style="33" customWidth="1"/>
    <col min="5882" max="5882" width="4" style="33" customWidth="1"/>
    <col min="5883" max="5883" width="5" style="33" customWidth="1"/>
    <col min="5884" max="5884" width="4.109375" style="33" customWidth="1"/>
    <col min="5885" max="6130" width="8.88671875" style="33"/>
    <col min="6131" max="6131" width="5.109375" style="33" customWidth="1"/>
    <col min="6132" max="6132" width="22" style="33" customWidth="1"/>
    <col min="6133" max="6133" width="2.44140625" style="33" customWidth="1"/>
    <col min="6134" max="6134" width="32.109375" style="33" customWidth="1"/>
    <col min="6135" max="6136" width="8.88671875" style="33"/>
    <col min="6137" max="6137" width="1.5546875" style="33" customWidth="1"/>
    <col min="6138" max="6138" width="4" style="33" customWidth="1"/>
    <col min="6139" max="6139" width="5" style="33" customWidth="1"/>
    <col min="6140" max="6140" width="4.109375" style="33" customWidth="1"/>
    <col min="6141" max="6386" width="8.88671875" style="33"/>
    <col min="6387" max="6387" width="5.109375" style="33" customWidth="1"/>
    <col min="6388" max="6388" width="22" style="33" customWidth="1"/>
    <col min="6389" max="6389" width="2.44140625" style="33" customWidth="1"/>
    <col min="6390" max="6390" width="32.109375" style="33" customWidth="1"/>
    <col min="6391" max="6392" width="8.88671875" style="33"/>
    <col min="6393" max="6393" width="1.5546875" style="33" customWidth="1"/>
    <col min="6394" max="6394" width="4" style="33" customWidth="1"/>
    <col min="6395" max="6395" width="5" style="33" customWidth="1"/>
    <col min="6396" max="6396" width="4.109375" style="33" customWidth="1"/>
    <col min="6397" max="6642" width="8.88671875" style="33"/>
    <col min="6643" max="6643" width="5.109375" style="33" customWidth="1"/>
    <col min="6644" max="6644" width="22" style="33" customWidth="1"/>
    <col min="6645" max="6645" width="2.44140625" style="33" customWidth="1"/>
    <col min="6646" max="6646" width="32.109375" style="33" customWidth="1"/>
    <col min="6647" max="6648" width="8.88671875" style="33"/>
    <col min="6649" max="6649" width="1.5546875" style="33" customWidth="1"/>
    <col min="6650" max="6650" width="4" style="33" customWidth="1"/>
    <col min="6651" max="6651" width="5" style="33" customWidth="1"/>
    <col min="6652" max="6652" width="4.109375" style="33" customWidth="1"/>
    <col min="6653" max="6898" width="8.88671875" style="33"/>
    <col min="6899" max="6899" width="5.109375" style="33" customWidth="1"/>
    <col min="6900" max="6900" width="22" style="33" customWidth="1"/>
    <col min="6901" max="6901" width="2.44140625" style="33" customWidth="1"/>
    <col min="6902" max="6902" width="32.109375" style="33" customWidth="1"/>
    <col min="6903" max="6904" width="8.88671875" style="33"/>
    <col min="6905" max="6905" width="1.5546875" style="33" customWidth="1"/>
    <col min="6906" max="6906" width="4" style="33" customWidth="1"/>
    <col min="6907" max="6907" width="5" style="33" customWidth="1"/>
    <col min="6908" max="6908" width="4.109375" style="33" customWidth="1"/>
    <col min="6909" max="7154" width="8.88671875" style="33"/>
    <col min="7155" max="7155" width="5.109375" style="33" customWidth="1"/>
    <col min="7156" max="7156" width="22" style="33" customWidth="1"/>
    <col min="7157" max="7157" width="2.44140625" style="33" customWidth="1"/>
    <col min="7158" max="7158" width="32.109375" style="33" customWidth="1"/>
    <col min="7159" max="7160" width="8.88671875" style="33"/>
    <col min="7161" max="7161" width="1.5546875" style="33" customWidth="1"/>
    <col min="7162" max="7162" width="4" style="33" customWidth="1"/>
    <col min="7163" max="7163" width="5" style="33" customWidth="1"/>
    <col min="7164" max="7164" width="4.109375" style="33" customWidth="1"/>
    <col min="7165" max="7410" width="8.88671875" style="33"/>
    <col min="7411" max="7411" width="5.109375" style="33" customWidth="1"/>
    <col min="7412" max="7412" width="22" style="33" customWidth="1"/>
    <col min="7413" max="7413" width="2.44140625" style="33" customWidth="1"/>
    <col min="7414" max="7414" width="32.109375" style="33" customWidth="1"/>
    <col min="7415" max="7416" width="8.88671875" style="33"/>
    <col min="7417" max="7417" width="1.5546875" style="33" customWidth="1"/>
    <col min="7418" max="7418" width="4" style="33" customWidth="1"/>
    <col min="7419" max="7419" width="5" style="33" customWidth="1"/>
    <col min="7420" max="7420" width="4.109375" style="33" customWidth="1"/>
    <col min="7421" max="7666" width="8.88671875" style="33"/>
    <col min="7667" max="7667" width="5.109375" style="33" customWidth="1"/>
    <col min="7668" max="7668" width="22" style="33" customWidth="1"/>
    <col min="7669" max="7669" width="2.44140625" style="33" customWidth="1"/>
    <col min="7670" max="7670" width="32.109375" style="33" customWidth="1"/>
    <col min="7671" max="7672" width="8.88671875" style="33"/>
    <col min="7673" max="7673" width="1.5546875" style="33" customWidth="1"/>
    <col min="7674" max="7674" width="4" style="33" customWidth="1"/>
    <col min="7675" max="7675" width="5" style="33" customWidth="1"/>
    <col min="7676" max="7676" width="4.109375" style="33" customWidth="1"/>
    <col min="7677" max="7922" width="8.88671875" style="33"/>
    <col min="7923" max="7923" width="5.109375" style="33" customWidth="1"/>
    <col min="7924" max="7924" width="22" style="33" customWidth="1"/>
    <col min="7925" max="7925" width="2.44140625" style="33" customWidth="1"/>
    <col min="7926" max="7926" width="32.109375" style="33" customWidth="1"/>
    <col min="7927" max="7928" width="8.88671875" style="33"/>
    <col min="7929" max="7929" width="1.5546875" style="33" customWidth="1"/>
    <col min="7930" max="7930" width="4" style="33" customWidth="1"/>
    <col min="7931" max="7931" width="5" style="33" customWidth="1"/>
    <col min="7932" max="7932" width="4.109375" style="33" customWidth="1"/>
    <col min="7933" max="8178" width="8.88671875" style="33"/>
    <col min="8179" max="8179" width="5.109375" style="33" customWidth="1"/>
    <col min="8180" max="8180" width="22" style="33" customWidth="1"/>
    <col min="8181" max="8181" width="2.44140625" style="33" customWidth="1"/>
    <col min="8182" max="8182" width="32.109375" style="33" customWidth="1"/>
    <col min="8183" max="8184" width="8.88671875" style="33"/>
    <col min="8185" max="8185" width="1.5546875" style="33" customWidth="1"/>
    <col min="8186" max="8186" width="4" style="33" customWidth="1"/>
    <col min="8187" max="8187" width="5" style="33" customWidth="1"/>
    <col min="8188" max="8188" width="4.109375" style="33" customWidth="1"/>
    <col min="8189" max="8434" width="8.88671875" style="33"/>
    <col min="8435" max="8435" width="5.109375" style="33" customWidth="1"/>
    <col min="8436" max="8436" width="22" style="33" customWidth="1"/>
    <col min="8437" max="8437" width="2.44140625" style="33" customWidth="1"/>
    <col min="8438" max="8438" width="32.109375" style="33" customWidth="1"/>
    <col min="8439" max="8440" width="8.88671875" style="33"/>
    <col min="8441" max="8441" width="1.5546875" style="33" customWidth="1"/>
    <col min="8442" max="8442" width="4" style="33" customWidth="1"/>
    <col min="8443" max="8443" width="5" style="33" customWidth="1"/>
    <col min="8444" max="8444" width="4.109375" style="33" customWidth="1"/>
    <col min="8445" max="8690" width="8.88671875" style="33"/>
    <col min="8691" max="8691" width="5.109375" style="33" customWidth="1"/>
    <col min="8692" max="8692" width="22" style="33" customWidth="1"/>
    <col min="8693" max="8693" width="2.44140625" style="33" customWidth="1"/>
    <col min="8694" max="8694" width="32.109375" style="33" customWidth="1"/>
    <col min="8695" max="8696" width="8.88671875" style="33"/>
    <col min="8697" max="8697" width="1.5546875" style="33" customWidth="1"/>
    <col min="8698" max="8698" width="4" style="33" customWidth="1"/>
    <col min="8699" max="8699" width="5" style="33" customWidth="1"/>
    <col min="8700" max="8700" width="4.109375" style="33" customWidth="1"/>
    <col min="8701" max="8946" width="8.88671875" style="33"/>
    <col min="8947" max="8947" width="5.109375" style="33" customWidth="1"/>
    <col min="8948" max="8948" width="22" style="33" customWidth="1"/>
    <col min="8949" max="8949" width="2.44140625" style="33" customWidth="1"/>
    <col min="8950" max="8950" width="32.109375" style="33" customWidth="1"/>
    <col min="8951" max="8952" width="8.88671875" style="33"/>
    <col min="8953" max="8953" width="1.5546875" style="33" customWidth="1"/>
    <col min="8954" max="8954" width="4" style="33" customWidth="1"/>
    <col min="8955" max="8955" width="5" style="33" customWidth="1"/>
    <col min="8956" max="8956" width="4.109375" style="33" customWidth="1"/>
    <col min="8957" max="9202" width="8.88671875" style="33"/>
    <col min="9203" max="9203" width="5.109375" style="33" customWidth="1"/>
    <col min="9204" max="9204" width="22" style="33" customWidth="1"/>
    <col min="9205" max="9205" width="2.44140625" style="33" customWidth="1"/>
    <col min="9206" max="9206" width="32.109375" style="33" customWidth="1"/>
    <col min="9207" max="9208" width="8.88671875" style="33"/>
    <col min="9209" max="9209" width="1.5546875" style="33" customWidth="1"/>
    <col min="9210" max="9210" width="4" style="33" customWidth="1"/>
    <col min="9211" max="9211" width="5" style="33" customWidth="1"/>
    <col min="9212" max="9212" width="4.109375" style="33" customWidth="1"/>
    <col min="9213" max="9458" width="8.88671875" style="33"/>
    <col min="9459" max="9459" width="5.109375" style="33" customWidth="1"/>
    <col min="9460" max="9460" width="22" style="33" customWidth="1"/>
    <col min="9461" max="9461" width="2.44140625" style="33" customWidth="1"/>
    <col min="9462" max="9462" width="32.109375" style="33" customWidth="1"/>
    <col min="9463" max="9464" width="8.88671875" style="33"/>
    <col min="9465" max="9465" width="1.5546875" style="33" customWidth="1"/>
    <col min="9466" max="9466" width="4" style="33" customWidth="1"/>
    <col min="9467" max="9467" width="5" style="33" customWidth="1"/>
    <col min="9468" max="9468" width="4.109375" style="33" customWidth="1"/>
    <col min="9469" max="9714" width="8.88671875" style="33"/>
    <col min="9715" max="9715" width="5.109375" style="33" customWidth="1"/>
    <col min="9716" max="9716" width="22" style="33" customWidth="1"/>
    <col min="9717" max="9717" width="2.44140625" style="33" customWidth="1"/>
    <col min="9718" max="9718" width="32.109375" style="33" customWidth="1"/>
    <col min="9719" max="9720" width="8.88671875" style="33"/>
    <col min="9721" max="9721" width="1.5546875" style="33" customWidth="1"/>
    <col min="9722" max="9722" width="4" style="33" customWidth="1"/>
    <col min="9723" max="9723" width="5" style="33" customWidth="1"/>
    <col min="9724" max="9724" width="4.109375" style="33" customWidth="1"/>
    <col min="9725" max="9970" width="8.88671875" style="33"/>
    <col min="9971" max="9971" width="5.109375" style="33" customWidth="1"/>
    <col min="9972" max="9972" width="22" style="33" customWidth="1"/>
    <col min="9973" max="9973" width="2.44140625" style="33" customWidth="1"/>
    <col min="9974" max="9974" width="32.109375" style="33" customWidth="1"/>
    <col min="9975" max="9976" width="8.88671875" style="33"/>
    <col min="9977" max="9977" width="1.5546875" style="33" customWidth="1"/>
    <col min="9978" max="9978" width="4" style="33" customWidth="1"/>
    <col min="9979" max="9979" width="5" style="33" customWidth="1"/>
    <col min="9980" max="9980" width="4.109375" style="33" customWidth="1"/>
    <col min="9981" max="10226" width="8.88671875" style="33"/>
    <col min="10227" max="10227" width="5.109375" style="33" customWidth="1"/>
    <col min="10228" max="10228" width="22" style="33" customWidth="1"/>
    <col min="10229" max="10229" width="2.44140625" style="33" customWidth="1"/>
    <col min="10230" max="10230" width="32.109375" style="33" customWidth="1"/>
    <col min="10231" max="10232" width="8.88671875" style="33"/>
    <col min="10233" max="10233" width="1.5546875" style="33" customWidth="1"/>
    <col min="10234" max="10234" width="4" style="33" customWidth="1"/>
    <col min="10235" max="10235" width="5" style="33" customWidth="1"/>
    <col min="10236" max="10236" width="4.109375" style="33" customWidth="1"/>
    <col min="10237" max="10482" width="8.88671875" style="33"/>
    <col min="10483" max="10483" width="5.109375" style="33" customWidth="1"/>
    <col min="10484" max="10484" width="22" style="33" customWidth="1"/>
    <col min="10485" max="10485" width="2.44140625" style="33" customWidth="1"/>
    <col min="10486" max="10486" width="32.109375" style="33" customWidth="1"/>
    <col min="10487" max="10488" width="8.88671875" style="33"/>
    <col min="10489" max="10489" width="1.5546875" style="33" customWidth="1"/>
    <col min="10490" max="10490" width="4" style="33" customWidth="1"/>
    <col min="10491" max="10491" width="5" style="33" customWidth="1"/>
    <col min="10492" max="10492" width="4.109375" style="33" customWidth="1"/>
    <col min="10493" max="10738" width="8.88671875" style="33"/>
    <col min="10739" max="10739" width="5.109375" style="33" customWidth="1"/>
    <col min="10740" max="10740" width="22" style="33" customWidth="1"/>
    <col min="10741" max="10741" width="2.44140625" style="33" customWidth="1"/>
    <col min="10742" max="10742" width="32.109375" style="33" customWidth="1"/>
    <col min="10743" max="10744" width="8.88671875" style="33"/>
    <col min="10745" max="10745" width="1.5546875" style="33" customWidth="1"/>
    <col min="10746" max="10746" width="4" style="33" customWidth="1"/>
    <col min="10747" max="10747" width="5" style="33" customWidth="1"/>
    <col min="10748" max="10748" width="4.109375" style="33" customWidth="1"/>
    <col min="10749" max="10994" width="8.88671875" style="33"/>
    <col min="10995" max="10995" width="5.109375" style="33" customWidth="1"/>
    <col min="10996" max="10996" width="22" style="33" customWidth="1"/>
    <col min="10997" max="10997" width="2.44140625" style="33" customWidth="1"/>
    <col min="10998" max="10998" width="32.109375" style="33" customWidth="1"/>
    <col min="10999" max="11000" width="8.88671875" style="33"/>
    <col min="11001" max="11001" width="1.5546875" style="33" customWidth="1"/>
    <col min="11002" max="11002" width="4" style="33" customWidth="1"/>
    <col min="11003" max="11003" width="5" style="33" customWidth="1"/>
    <col min="11004" max="11004" width="4.109375" style="33" customWidth="1"/>
    <col min="11005" max="11250" width="8.88671875" style="33"/>
    <col min="11251" max="11251" width="5.109375" style="33" customWidth="1"/>
    <col min="11252" max="11252" width="22" style="33" customWidth="1"/>
    <col min="11253" max="11253" width="2.44140625" style="33" customWidth="1"/>
    <col min="11254" max="11254" width="32.109375" style="33" customWidth="1"/>
    <col min="11255" max="11256" width="8.88671875" style="33"/>
    <col min="11257" max="11257" width="1.5546875" style="33" customWidth="1"/>
    <col min="11258" max="11258" width="4" style="33" customWidth="1"/>
    <col min="11259" max="11259" width="5" style="33" customWidth="1"/>
    <col min="11260" max="11260" width="4.109375" style="33" customWidth="1"/>
    <col min="11261" max="11506" width="8.88671875" style="33"/>
    <col min="11507" max="11507" width="5.109375" style="33" customWidth="1"/>
    <col min="11508" max="11508" width="22" style="33" customWidth="1"/>
    <col min="11509" max="11509" width="2.44140625" style="33" customWidth="1"/>
    <col min="11510" max="11510" width="32.109375" style="33" customWidth="1"/>
    <col min="11511" max="11512" width="8.88671875" style="33"/>
    <col min="11513" max="11513" width="1.5546875" style="33" customWidth="1"/>
    <col min="11514" max="11514" width="4" style="33" customWidth="1"/>
    <col min="11515" max="11515" width="5" style="33" customWidth="1"/>
    <col min="11516" max="11516" width="4.109375" style="33" customWidth="1"/>
    <col min="11517" max="11762" width="8.88671875" style="33"/>
    <col min="11763" max="11763" width="5.109375" style="33" customWidth="1"/>
    <col min="11764" max="11764" width="22" style="33" customWidth="1"/>
    <col min="11765" max="11765" width="2.44140625" style="33" customWidth="1"/>
    <col min="11766" max="11766" width="32.109375" style="33" customWidth="1"/>
    <col min="11767" max="11768" width="8.88671875" style="33"/>
    <col min="11769" max="11769" width="1.5546875" style="33" customWidth="1"/>
    <col min="11770" max="11770" width="4" style="33" customWidth="1"/>
    <col min="11771" max="11771" width="5" style="33" customWidth="1"/>
    <col min="11772" max="11772" width="4.109375" style="33" customWidth="1"/>
    <col min="11773" max="12018" width="8.88671875" style="33"/>
    <col min="12019" max="12019" width="5.109375" style="33" customWidth="1"/>
    <col min="12020" max="12020" width="22" style="33" customWidth="1"/>
    <col min="12021" max="12021" width="2.44140625" style="33" customWidth="1"/>
    <col min="12022" max="12022" width="32.109375" style="33" customWidth="1"/>
    <col min="12023" max="12024" width="8.88671875" style="33"/>
    <col min="12025" max="12025" width="1.5546875" style="33" customWidth="1"/>
    <col min="12026" max="12026" width="4" style="33" customWidth="1"/>
    <col min="12027" max="12027" width="5" style="33" customWidth="1"/>
    <col min="12028" max="12028" width="4.109375" style="33" customWidth="1"/>
    <col min="12029" max="12274" width="8.88671875" style="33"/>
    <col min="12275" max="12275" width="5.109375" style="33" customWidth="1"/>
    <col min="12276" max="12276" width="22" style="33" customWidth="1"/>
    <col min="12277" max="12277" width="2.44140625" style="33" customWidth="1"/>
    <col min="12278" max="12278" width="32.109375" style="33" customWidth="1"/>
    <col min="12279" max="12280" width="8.88671875" style="33"/>
    <col min="12281" max="12281" width="1.5546875" style="33" customWidth="1"/>
    <col min="12282" max="12282" width="4" style="33" customWidth="1"/>
    <col min="12283" max="12283" width="5" style="33" customWidth="1"/>
    <col min="12284" max="12284" width="4.109375" style="33" customWidth="1"/>
    <col min="12285" max="12530" width="8.88671875" style="33"/>
    <col min="12531" max="12531" width="5.109375" style="33" customWidth="1"/>
    <col min="12532" max="12532" width="22" style="33" customWidth="1"/>
    <col min="12533" max="12533" width="2.44140625" style="33" customWidth="1"/>
    <col min="12534" max="12534" width="32.109375" style="33" customWidth="1"/>
    <col min="12535" max="12536" width="8.88671875" style="33"/>
    <col min="12537" max="12537" width="1.5546875" style="33" customWidth="1"/>
    <col min="12538" max="12538" width="4" style="33" customWidth="1"/>
    <col min="12539" max="12539" width="5" style="33" customWidth="1"/>
    <col min="12540" max="12540" width="4.109375" style="33" customWidth="1"/>
    <col min="12541" max="12786" width="8.88671875" style="33"/>
    <col min="12787" max="12787" width="5.109375" style="33" customWidth="1"/>
    <col min="12788" max="12788" width="22" style="33" customWidth="1"/>
    <col min="12789" max="12789" width="2.44140625" style="33" customWidth="1"/>
    <col min="12790" max="12790" width="32.109375" style="33" customWidth="1"/>
    <col min="12791" max="12792" width="8.88671875" style="33"/>
    <col min="12793" max="12793" width="1.5546875" style="33" customWidth="1"/>
    <col min="12794" max="12794" width="4" style="33" customWidth="1"/>
    <col min="12795" max="12795" width="5" style="33" customWidth="1"/>
    <col min="12796" max="12796" width="4.109375" style="33" customWidth="1"/>
    <col min="12797" max="13042" width="8.88671875" style="33"/>
    <col min="13043" max="13043" width="5.109375" style="33" customWidth="1"/>
    <col min="13044" max="13044" width="22" style="33" customWidth="1"/>
    <col min="13045" max="13045" width="2.44140625" style="33" customWidth="1"/>
    <col min="13046" max="13046" width="32.109375" style="33" customWidth="1"/>
    <col min="13047" max="13048" width="8.88671875" style="33"/>
    <col min="13049" max="13049" width="1.5546875" style="33" customWidth="1"/>
    <col min="13050" max="13050" width="4" style="33" customWidth="1"/>
    <col min="13051" max="13051" width="5" style="33" customWidth="1"/>
    <col min="13052" max="13052" width="4.109375" style="33" customWidth="1"/>
    <col min="13053" max="13298" width="8.88671875" style="33"/>
    <col min="13299" max="13299" width="5.109375" style="33" customWidth="1"/>
    <col min="13300" max="13300" width="22" style="33" customWidth="1"/>
    <col min="13301" max="13301" width="2.44140625" style="33" customWidth="1"/>
    <col min="13302" max="13302" width="32.109375" style="33" customWidth="1"/>
    <col min="13303" max="13304" width="8.88671875" style="33"/>
    <col min="13305" max="13305" width="1.5546875" style="33" customWidth="1"/>
    <col min="13306" max="13306" width="4" style="33" customWidth="1"/>
    <col min="13307" max="13307" width="5" style="33" customWidth="1"/>
    <col min="13308" max="13308" width="4.109375" style="33" customWidth="1"/>
    <col min="13309" max="13554" width="8.88671875" style="33"/>
    <col min="13555" max="13555" width="5.109375" style="33" customWidth="1"/>
    <col min="13556" max="13556" width="22" style="33" customWidth="1"/>
    <col min="13557" max="13557" width="2.44140625" style="33" customWidth="1"/>
    <col min="13558" max="13558" width="32.109375" style="33" customWidth="1"/>
    <col min="13559" max="13560" width="8.88671875" style="33"/>
    <col min="13561" max="13561" width="1.5546875" style="33" customWidth="1"/>
    <col min="13562" max="13562" width="4" style="33" customWidth="1"/>
    <col min="13563" max="13563" width="5" style="33" customWidth="1"/>
    <col min="13564" max="13564" width="4.109375" style="33" customWidth="1"/>
    <col min="13565" max="13810" width="8.88671875" style="33"/>
    <col min="13811" max="13811" width="5.109375" style="33" customWidth="1"/>
    <col min="13812" max="13812" width="22" style="33" customWidth="1"/>
    <col min="13813" max="13813" width="2.44140625" style="33" customWidth="1"/>
    <col min="13814" max="13814" width="32.109375" style="33" customWidth="1"/>
    <col min="13815" max="13816" width="8.88671875" style="33"/>
    <col min="13817" max="13817" width="1.5546875" style="33" customWidth="1"/>
    <col min="13818" max="13818" width="4" style="33" customWidth="1"/>
    <col min="13819" max="13819" width="5" style="33" customWidth="1"/>
    <col min="13820" max="13820" width="4.109375" style="33" customWidth="1"/>
    <col min="13821" max="14066" width="8.88671875" style="33"/>
    <col min="14067" max="14067" width="5.109375" style="33" customWidth="1"/>
    <col min="14068" max="14068" width="22" style="33" customWidth="1"/>
    <col min="14069" max="14069" width="2.44140625" style="33" customWidth="1"/>
    <col min="14070" max="14070" width="32.109375" style="33" customWidth="1"/>
    <col min="14071" max="14072" width="8.88671875" style="33"/>
    <col min="14073" max="14073" width="1.5546875" style="33" customWidth="1"/>
    <col min="14074" max="14074" width="4" style="33" customWidth="1"/>
    <col min="14075" max="14075" width="5" style="33" customWidth="1"/>
    <col min="14076" max="14076" width="4.109375" style="33" customWidth="1"/>
    <col min="14077" max="14322" width="8.88671875" style="33"/>
    <col min="14323" max="14323" width="5.109375" style="33" customWidth="1"/>
    <col min="14324" max="14324" width="22" style="33" customWidth="1"/>
    <col min="14325" max="14325" width="2.44140625" style="33" customWidth="1"/>
    <col min="14326" max="14326" width="32.109375" style="33" customWidth="1"/>
    <col min="14327" max="14328" width="8.88671875" style="33"/>
    <col min="14329" max="14329" width="1.5546875" style="33" customWidth="1"/>
    <col min="14330" max="14330" width="4" style="33" customWidth="1"/>
    <col min="14331" max="14331" width="5" style="33" customWidth="1"/>
    <col min="14332" max="14332" width="4.109375" style="33" customWidth="1"/>
    <col min="14333" max="14578" width="8.88671875" style="33"/>
    <col min="14579" max="14579" width="5.109375" style="33" customWidth="1"/>
    <col min="14580" max="14580" width="22" style="33" customWidth="1"/>
    <col min="14581" max="14581" width="2.44140625" style="33" customWidth="1"/>
    <col min="14582" max="14582" width="32.109375" style="33" customWidth="1"/>
    <col min="14583" max="14584" width="8.88671875" style="33"/>
    <col min="14585" max="14585" width="1.5546875" style="33" customWidth="1"/>
    <col min="14586" max="14586" width="4" style="33" customWidth="1"/>
    <col min="14587" max="14587" width="5" style="33" customWidth="1"/>
    <col min="14588" max="14588" width="4.109375" style="33" customWidth="1"/>
    <col min="14589" max="14834" width="8.88671875" style="33"/>
    <col min="14835" max="14835" width="5.109375" style="33" customWidth="1"/>
    <col min="14836" max="14836" width="22" style="33" customWidth="1"/>
    <col min="14837" max="14837" width="2.44140625" style="33" customWidth="1"/>
    <col min="14838" max="14838" width="32.109375" style="33" customWidth="1"/>
    <col min="14839" max="14840" width="8.88671875" style="33"/>
    <col min="14841" max="14841" width="1.5546875" style="33" customWidth="1"/>
    <col min="14842" max="14842" width="4" style="33" customWidth="1"/>
    <col min="14843" max="14843" width="5" style="33" customWidth="1"/>
    <col min="14844" max="14844" width="4.109375" style="33" customWidth="1"/>
    <col min="14845" max="15090" width="8.88671875" style="33"/>
    <col min="15091" max="15091" width="5.109375" style="33" customWidth="1"/>
    <col min="15092" max="15092" width="22" style="33" customWidth="1"/>
    <col min="15093" max="15093" width="2.44140625" style="33" customWidth="1"/>
    <col min="15094" max="15094" width="32.109375" style="33" customWidth="1"/>
    <col min="15095" max="15096" width="8.88671875" style="33"/>
    <col min="15097" max="15097" width="1.5546875" style="33" customWidth="1"/>
    <col min="15098" max="15098" width="4" style="33" customWidth="1"/>
    <col min="15099" max="15099" width="5" style="33" customWidth="1"/>
    <col min="15100" max="15100" width="4.109375" style="33" customWidth="1"/>
    <col min="15101" max="15346" width="8.88671875" style="33"/>
    <col min="15347" max="15347" width="5.109375" style="33" customWidth="1"/>
    <col min="15348" max="15348" width="22" style="33" customWidth="1"/>
    <col min="15349" max="15349" width="2.44140625" style="33" customWidth="1"/>
    <col min="15350" max="15350" width="32.109375" style="33" customWidth="1"/>
    <col min="15351" max="15352" width="8.88671875" style="33"/>
    <col min="15353" max="15353" width="1.5546875" style="33" customWidth="1"/>
    <col min="15354" max="15354" width="4" style="33" customWidth="1"/>
    <col min="15355" max="15355" width="5" style="33" customWidth="1"/>
    <col min="15356" max="15356" width="4.109375" style="33" customWidth="1"/>
    <col min="15357" max="15602" width="8.88671875" style="33"/>
    <col min="15603" max="15603" width="5.109375" style="33" customWidth="1"/>
    <col min="15604" max="15604" width="22" style="33" customWidth="1"/>
    <col min="15605" max="15605" width="2.44140625" style="33" customWidth="1"/>
    <col min="15606" max="15606" width="32.109375" style="33" customWidth="1"/>
    <col min="15607" max="15608" width="8.88671875" style="33"/>
    <col min="15609" max="15609" width="1.5546875" style="33" customWidth="1"/>
    <col min="15610" max="15610" width="4" style="33" customWidth="1"/>
    <col min="15611" max="15611" width="5" style="33" customWidth="1"/>
    <col min="15612" max="15612" width="4.109375" style="33" customWidth="1"/>
    <col min="15613" max="15858" width="8.88671875" style="33"/>
    <col min="15859" max="15859" width="5.109375" style="33" customWidth="1"/>
    <col min="15860" max="15860" width="22" style="33" customWidth="1"/>
    <col min="15861" max="15861" width="2.44140625" style="33" customWidth="1"/>
    <col min="15862" max="15862" width="32.109375" style="33" customWidth="1"/>
    <col min="15863" max="15864" width="8.88671875" style="33"/>
    <col min="15865" max="15865" width="1.5546875" style="33" customWidth="1"/>
    <col min="15866" max="15866" width="4" style="33" customWidth="1"/>
    <col min="15867" max="15867" width="5" style="33" customWidth="1"/>
    <col min="15868" max="15868" width="4.109375" style="33" customWidth="1"/>
    <col min="15869" max="16114" width="8.88671875" style="33"/>
    <col min="16115" max="16115" width="5.109375" style="33" customWidth="1"/>
    <col min="16116" max="16116" width="22" style="33" customWidth="1"/>
    <col min="16117" max="16117" width="2.44140625" style="33" customWidth="1"/>
    <col min="16118" max="16118" width="32.109375" style="33" customWidth="1"/>
    <col min="16119" max="16120" width="8.88671875" style="33"/>
    <col min="16121" max="16121" width="1.5546875" style="33" customWidth="1"/>
    <col min="16122" max="16122" width="4" style="33" customWidth="1"/>
    <col min="16123" max="16123" width="5" style="33" customWidth="1"/>
    <col min="16124" max="16124" width="4.109375" style="33" customWidth="1"/>
    <col min="16125" max="16384" width="8.88671875" style="33"/>
  </cols>
  <sheetData>
    <row r="1" spans="1:15" ht="30" customHeight="1" x14ac:dyDescent="0.25">
      <c r="A1" s="366" t="s">
        <v>165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</row>
    <row r="2" spans="1:15" ht="14.1" customHeight="1" x14ac:dyDescent="0.25">
      <c r="A2" s="34" t="s">
        <v>16</v>
      </c>
      <c r="B2" s="363" t="s">
        <v>8</v>
      </c>
      <c r="C2" s="367" t="str">
        <f>CONCATENATE('INPUT DATA'!E11,"-",'INPUT DATA'!F11,'INPUT DATA'!G11,"-",'INPUT DATA'!H11)</f>
        <v>PAS-K25-76826</v>
      </c>
      <c r="D2" s="367"/>
      <c r="E2" s="367"/>
      <c r="F2" s="367"/>
      <c r="J2" s="35" t="s">
        <v>69</v>
      </c>
      <c r="K2" s="368" t="s">
        <v>8</v>
      </c>
      <c r="L2" s="363">
        <v>1</v>
      </c>
      <c r="M2" s="368" t="s">
        <v>38</v>
      </c>
      <c r="N2" s="368"/>
      <c r="O2" s="363">
        <v>2</v>
      </c>
    </row>
    <row r="3" spans="1:15" ht="12" customHeight="1" x14ac:dyDescent="0.25">
      <c r="A3" s="36" t="s">
        <v>14</v>
      </c>
      <c r="B3" s="363"/>
      <c r="C3" s="367"/>
      <c r="D3" s="367"/>
      <c r="E3" s="367"/>
      <c r="F3" s="367"/>
      <c r="J3" s="37" t="s">
        <v>15</v>
      </c>
      <c r="K3" s="368"/>
      <c r="L3" s="363"/>
      <c r="M3" s="364" t="s">
        <v>37</v>
      </c>
      <c r="N3" s="364"/>
      <c r="O3" s="363"/>
    </row>
    <row r="4" spans="1:15" ht="6" customHeight="1" x14ac:dyDescent="0.25">
      <c r="A4" s="36"/>
      <c r="B4" s="38"/>
      <c r="C4" s="39"/>
      <c r="D4" s="39"/>
      <c r="E4" s="40"/>
      <c r="F4" s="40"/>
    </row>
    <row r="5" spans="1:15" ht="14.1" customHeight="1" x14ac:dyDescent="0.25">
      <c r="A5" s="34" t="s">
        <v>329</v>
      </c>
      <c r="B5" s="363" t="s">
        <v>8</v>
      </c>
      <c r="C5" s="369" t="str">
        <f>CONCATENATE('INPUT DATA'!E10," ",'INPUT DATA'!F10," ",'INPUT DATA'!H10)</f>
        <v xml:space="preserve"> Desember 2025</v>
      </c>
      <c r="D5" s="369"/>
      <c r="E5" s="369"/>
      <c r="F5" s="369"/>
    </row>
    <row r="6" spans="1:15" ht="12" customHeight="1" x14ac:dyDescent="0.25">
      <c r="A6" s="36" t="s">
        <v>17</v>
      </c>
      <c r="B6" s="363"/>
      <c r="C6" s="369"/>
      <c r="D6" s="369"/>
      <c r="E6" s="369"/>
      <c r="F6" s="369"/>
    </row>
    <row r="7" spans="1:15" ht="10.35" customHeight="1" x14ac:dyDescent="0.25"/>
    <row r="8" spans="1:15" ht="14.1" customHeight="1" x14ac:dyDescent="0.25">
      <c r="A8" s="370" t="s">
        <v>19</v>
      </c>
      <c r="B8" s="370"/>
      <c r="C8" s="370"/>
      <c r="D8" s="370"/>
      <c r="E8" s="370"/>
      <c r="F8" s="370"/>
      <c r="G8" s="370"/>
      <c r="H8" s="370"/>
      <c r="I8" s="370"/>
      <c r="J8" s="370"/>
      <c r="K8" s="370"/>
      <c r="L8" s="370"/>
      <c r="M8" s="370"/>
      <c r="N8" s="370"/>
      <c r="O8" s="370"/>
    </row>
    <row r="9" spans="1:15" ht="14.1" customHeight="1" x14ac:dyDescent="0.25">
      <c r="A9" s="371" t="s">
        <v>18</v>
      </c>
      <c r="B9" s="371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</row>
    <row r="10" spans="1:15" ht="6" customHeight="1" x14ac:dyDescent="0.25"/>
    <row r="11" spans="1:15" ht="14.1" customHeight="1" x14ac:dyDescent="0.25">
      <c r="A11" s="34" t="s">
        <v>4</v>
      </c>
      <c r="B11" s="41" t="s">
        <v>8</v>
      </c>
      <c r="C11" s="369" t="str">
        <f>CONCATENATE('INPUT DATA'!E14)</f>
        <v/>
      </c>
      <c r="D11" s="369"/>
      <c r="E11" s="369"/>
      <c r="F11" s="369"/>
      <c r="G11" s="369"/>
      <c r="H11" s="369"/>
      <c r="I11" s="369"/>
      <c r="J11" s="369"/>
      <c r="K11" s="369"/>
      <c r="L11" s="369"/>
      <c r="M11" s="369"/>
      <c r="N11" s="369"/>
      <c r="O11" s="369"/>
    </row>
    <row r="12" spans="1:15" ht="12" customHeight="1" x14ac:dyDescent="0.25">
      <c r="A12" s="36" t="s">
        <v>166</v>
      </c>
      <c r="B12" s="41"/>
    </row>
    <row r="13" spans="1:15" ht="6" customHeight="1" x14ac:dyDescent="0.25">
      <c r="A13" s="36"/>
      <c r="B13" s="41"/>
    </row>
    <row r="14" spans="1:15" ht="14.1" customHeight="1" x14ac:dyDescent="0.25">
      <c r="A14" s="34" t="s">
        <v>20</v>
      </c>
      <c r="B14" s="41" t="s">
        <v>8</v>
      </c>
      <c r="C14" s="369" t="str">
        <f>CONCATENATE('INPUT DATA'!E18)</f>
        <v/>
      </c>
      <c r="D14" s="369"/>
      <c r="E14" s="369"/>
      <c r="F14" s="369"/>
      <c r="G14" s="369"/>
      <c r="H14" s="369"/>
      <c r="I14" s="369"/>
      <c r="J14" s="369"/>
      <c r="K14" s="369"/>
      <c r="L14" s="369"/>
      <c r="M14" s="369"/>
      <c r="N14" s="369"/>
      <c r="O14" s="369"/>
    </row>
    <row r="15" spans="1:15" ht="12" customHeight="1" x14ac:dyDescent="0.25">
      <c r="A15" s="36" t="s">
        <v>75</v>
      </c>
      <c r="B15" s="41"/>
    </row>
    <row r="16" spans="1:15" ht="6" customHeight="1" x14ac:dyDescent="0.25">
      <c r="A16" s="36"/>
      <c r="B16" s="41"/>
    </row>
    <row r="17" spans="1:15" ht="14.1" customHeight="1" x14ac:dyDescent="0.25">
      <c r="A17" s="34" t="s">
        <v>76</v>
      </c>
      <c r="B17" s="41" t="s">
        <v>8</v>
      </c>
      <c r="C17" s="369" t="str">
        <f>CONCATENATE('INPUT DATA'!E19,"    /   ",'INPUT DATA'!E20)</f>
        <v xml:space="preserve">    /   </v>
      </c>
      <c r="D17" s="369"/>
      <c r="E17" s="369"/>
      <c r="F17" s="369"/>
      <c r="G17" s="369"/>
      <c r="H17" s="369"/>
      <c r="I17" s="369"/>
      <c r="J17" s="369"/>
      <c r="K17" s="369"/>
      <c r="L17" s="369"/>
      <c r="M17" s="369"/>
      <c r="N17" s="369"/>
      <c r="O17" s="369"/>
    </row>
    <row r="18" spans="1:15" ht="12" customHeight="1" x14ac:dyDescent="0.25">
      <c r="A18" s="36" t="s">
        <v>167</v>
      </c>
      <c r="B18" s="41"/>
      <c r="E18" s="42"/>
    </row>
    <row r="19" spans="1:15" s="144" customFormat="1" ht="6" customHeight="1" x14ac:dyDescent="0.25">
      <c r="A19" s="142"/>
      <c r="B19" s="143"/>
      <c r="E19" s="145"/>
    </row>
    <row r="20" spans="1:15" s="144" customFormat="1" ht="14.1" customHeight="1" x14ac:dyDescent="0.25">
      <c r="A20" s="146" t="s">
        <v>245</v>
      </c>
      <c r="B20" s="143" t="s">
        <v>8</v>
      </c>
      <c r="C20" s="372">
        <f>'INPUT DATA'!E21</f>
        <v>0</v>
      </c>
      <c r="D20" s="372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</row>
    <row r="21" spans="1:15" s="144" customFormat="1" ht="12" customHeight="1" x14ac:dyDescent="0.25">
      <c r="A21" s="142" t="s">
        <v>246</v>
      </c>
      <c r="B21" s="146"/>
    </row>
    <row r="22" spans="1:15" ht="6" customHeight="1" x14ac:dyDescent="0.25">
      <c r="A22" s="36"/>
      <c r="B22" s="41"/>
      <c r="E22" s="42"/>
    </row>
    <row r="23" spans="1:15" ht="14.1" customHeight="1" x14ac:dyDescent="0.25">
      <c r="A23" s="34" t="s">
        <v>77</v>
      </c>
      <c r="B23" s="41" t="s">
        <v>8</v>
      </c>
      <c r="C23" s="374" t="str">
        <f>CONCATENATE('INPUT DATA'!E23,"  —  ",'INPUT DATA'!H23)</f>
        <v xml:space="preserve">  —  </v>
      </c>
      <c r="D23" s="374"/>
      <c r="E23" s="116" t="s">
        <v>247</v>
      </c>
      <c r="F23" s="126" t="str">
        <f>CONCATENATE('INPUT DATA'!E24)</f>
        <v/>
      </c>
      <c r="G23" s="116" t="s">
        <v>248</v>
      </c>
      <c r="I23" s="116"/>
      <c r="J23" s="116"/>
      <c r="K23" s="116"/>
      <c r="L23" s="116"/>
      <c r="M23" s="116"/>
      <c r="N23" s="116"/>
      <c r="O23" s="116"/>
    </row>
    <row r="24" spans="1:15" ht="12" customHeight="1" x14ac:dyDescent="0.25">
      <c r="A24" s="36" t="s">
        <v>168</v>
      </c>
      <c r="B24" s="34"/>
    </row>
    <row r="25" spans="1:15" ht="10.35" customHeight="1" x14ac:dyDescent="0.25"/>
    <row r="26" spans="1:15" ht="14.1" customHeight="1" x14ac:dyDescent="0.25">
      <c r="A26" s="370" t="s">
        <v>22</v>
      </c>
      <c r="B26" s="370"/>
      <c r="C26" s="370"/>
      <c r="D26" s="370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</row>
    <row r="27" spans="1:15" ht="14.1" customHeight="1" x14ac:dyDescent="0.25">
      <c r="A27" s="373" t="s">
        <v>21</v>
      </c>
      <c r="B27" s="373"/>
      <c r="C27" s="373"/>
      <c r="D27" s="373"/>
      <c r="E27" s="373"/>
      <c r="F27" s="373"/>
      <c r="G27" s="373"/>
      <c r="H27" s="373"/>
      <c r="I27" s="373"/>
      <c r="J27" s="373"/>
      <c r="K27" s="373"/>
      <c r="L27" s="373"/>
      <c r="M27" s="373"/>
      <c r="N27" s="373"/>
      <c r="O27" s="373"/>
    </row>
    <row r="28" spans="1:15" ht="6" customHeight="1" x14ac:dyDescent="0.25"/>
    <row r="29" spans="1:15" ht="14.1" customHeight="1" x14ac:dyDescent="0.25">
      <c r="A29" s="34" t="s">
        <v>24</v>
      </c>
      <c r="B29" s="34" t="s">
        <v>8</v>
      </c>
      <c r="C29" s="367" t="str">
        <f>CONCATENATE('INPUT DATA'!E28)</f>
        <v/>
      </c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367"/>
      <c r="O29" s="367"/>
    </row>
    <row r="30" spans="1:15" ht="12" customHeight="1" x14ac:dyDescent="0.25">
      <c r="A30" s="36" t="s">
        <v>23</v>
      </c>
      <c r="B30" s="34"/>
      <c r="C30" s="367" t="str">
        <f>CONCATENATE('INPUT DATA'!E29)</f>
        <v/>
      </c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367"/>
      <c r="O30" s="367"/>
    </row>
    <row r="31" spans="1:15" ht="6" customHeight="1" x14ac:dyDescent="0.25">
      <c r="A31" s="36"/>
      <c r="B31" s="34"/>
    </row>
    <row r="32" spans="1:15" ht="14.1" customHeight="1" x14ac:dyDescent="0.25">
      <c r="A32" s="34" t="s">
        <v>26</v>
      </c>
      <c r="B32" s="34" t="s">
        <v>8</v>
      </c>
      <c r="C32" s="369" t="str">
        <f>CONCATENATE('INPUT DATA'!E31)</f>
        <v/>
      </c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</row>
    <row r="33" spans="1:15" ht="12" customHeight="1" x14ac:dyDescent="0.25">
      <c r="A33" s="36" t="s">
        <v>25</v>
      </c>
      <c r="B33" s="34"/>
      <c r="C33" s="369" t="str">
        <f>CONCATENATE('INPUT DATA'!E32)</f>
        <v/>
      </c>
      <c r="D33" s="369"/>
      <c r="E33" s="369"/>
      <c r="F33" s="369"/>
      <c r="G33" s="369"/>
      <c r="H33" s="369"/>
      <c r="I33" s="369"/>
      <c r="J33" s="369"/>
      <c r="K33" s="369"/>
      <c r="L33" s="369"/>
      <c r="M33" s="369"/>
      <c r="N33" s="369"/>
      <c r="O33" s="369"/>
    </row>
    <row r="34" spans="1:15" ht="10.35" customHeight="1" x14ac:dyDescent="0.25"/>
    <row r="35" spans="1:15" ht="14.1" customHeight="1" x14ac:dyDescent="0.25">
      <c r="A35" s="370" t="s">
        <v>28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</row>
    <row r="36" spans="1:15" ht="14.1" customHeight="1" x14ac:dyDescent="0.25">
      <c r="A36" s="373" t="s">
        <v>27</v>
      </c>
      <c r="B36" s="373"/>
      <c r="C36" s="373"/>
      <c r="D36" s="373"/>
      <c r="E36" s="373"/>
      <c r="F36" s="373"/>
      <c r="G36" s="373"/>
      <c r="H36" s="373"/>
      <c r="I36" s="373"/>
      <c r="J36" s="373"/>
      <c r="K36" s="373"/>
      <c r="L36" s="373"/>
      <c r="M36" s="373"/>
      <c r="N36" s="373"/>
      <c r="O36" s="373"/>
    </row>
    <row r="37" spans="1:15" ht="6" customHeight="1" x14ac:dyDescent="0.25"/>
    <row r="38" spans="1:15" ht="14.1" customHeight="1" x14ac:dyDescent="0.25">
      <c r="A38" s="34" t="s">
        <v>30</v>
      </c>
      <c r="B38" s="34" t="s">
        <v>8</v>
      </c>
      <c r="C38" s="369" t="str">
        <f>'INPUT DATA'!Q16</f>
        <v>PAS-IK-1102-032</v>
      </c>
      <c r="D38" s="369"/>
      <c r="E38" s="369"/>
      <c r="F38" s="369"/>
      <c r="G38" s="369"/>
      <c r="H38" s="369"/>
      <c r="I38" s="369"/>
      <c r="J38" s="369"/>
      <c r="K38" s="369"/>
      <c r="L38" s="369"/>
      <c r="M38" s="369"/>
      <c r="N38" s="369"/>
      <c r="O38" s="369"/>
    </row>
    <row r="39" spans="1:15" ht="12" customHeight="1" x14ac:dyDescent="0.25">
      <c r="A39" s="36" t="s">
        <v>29</v>
      </c>
      <c r="B39" s="34"/>
      <c r="C39" s="34"/>
      <c r="D39" s="34"/>
    </row>
    <row r="40" spans="1:15" ht="6" customHeight="1" x14ac:dyDescent="0.25"/>
    <row r="41" spans="1:15" ht="14.1" customHeight="1" x14ac:dyDescent="0.25">
      <c r="A41" s="34" t="s">
        <v>32</v>
      </c>
      <c r="B41" s="34" t="s">
        <v>8</v>
      </c>
      <c r="C41" s="369" t="str">
        <f>'INPUT DATA'!E4</f>
        <v>JIS Z 8710: 1993	 ; SNSU PK.S-02:2021</v>
      </c>
      <c r="D41" s="369"/>
      <c r="E41" s="369"/>
      <c r="F41" s="369"/>
      <c r="G41" s="369"/>
      <c r="H41" s="369"/>
      <c r="I41" s="369"/>
      <c r="J41" s="369"/>
      <c r="K41" s="369"/>
      <c r="L41" s="369"/>
      <c r="M41" s="369"/>
      <c r="N41" s="369"/>
      <c r="O41" s="369"/>
    </row>
    <row r="42" spans="1:15" ht="12" customHeight="1" x14ac:dyDescent="0.25">
      <c r="A42" s="36" t="s">
        <v>31</v>
      </c>
      <c r="B42" s="34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</row>
    <row r="43" spans="1:15" ht="6" customHeight="1" x14ac:dyDescent="0.25">
      <c r="A43" s="36"/>
      <c r="B43" s="34"/>
    </row>
    <row r="44" spans="1:15" ht="14.1" customHeight="1" x14ac:dyDescent="0.25">
      <c r="A44" s="34" t="s">
        <v>34</v>
      </c>
      <c r="B44" s="34" t="s">
        <v>8</v>
      </c>
      <c r="C44" s="369" t="str">
        <f>'INPUT DATA'!Q12</f>
        <v>Precision Thermometer Standard, Sika, UM RTD; 2702D G15 0022A</v>
      </c>
      <c r="D44" s="369"/>
      <c r="E44" s="369"/>
      <c r="F44" s="369"/>
      <c r="G44" s="369"/>
      <c r="H44" s="369"/>
      <c r="I44" s="369"/>
      <c r="J44" s="369"/>
      <c r="K44" s="369"/>
      <c r="L44" s="369"/>
      <c r="M44" s="369"/>
      <c r="N44" s="369"/>
      <c r="O44" s="369"/>
    </row>
    <row r="45" spans="1:15" ht="13.5" customHeight="1" x14ac:dyDescent="0.25">
      <c r="A45" s="36" t="s">
        <v>33</v>
      </c>
      <c r="B45" s="34"/>
      <c r="C45" s="376" t="str">
        <f>'INPUT DATA'!Q13</f>
        <v>Micro Oilbath, Sika, TPM165S, 1704424 (Media)</v>
      </c>
      <c r="D45" s="376"/>
      <c r="E45" s="376"/>
      <c r="F45" s="376"/>
      <c r="G45" s="376"/>
      <c r="H45" s="376"/>
      <c r="I45" s="376"/>
      <c r="J45" s="376"/>
      <c r="K45" s="376"/>
      <c r="L45" s="376"/>
      <c r="M45" s="376"/>
      <c r="N45" s="376"/>
      <c r="O45" s="376"/>
    </row>
    <row r="46" spans="1:15" ht="13.5" customHeight="1" x14ac:dyDescent="0.25">
      <c r="A46" s="36"/>
      <c r="B46" s="34"/>
      <c r="C46" s="376"/>
      <c r="D46" s="376"/>
      <c r="E46" s="376"/>
      <c r="F46" s="376"/>
      <c r="G46" s="376"/>
      <c r="H46" s="376"/>
      <c r="I46" s="376"/>
      <c r="J46" s="376"/>
      <c r="K46" s="376"/>
      <c r="L46" s="376"/>
      <c r="M46" s="376"/>
      <c r="N46" s="376"/>
      <c r="O46" s="376"/>
    </row>
    <row r="47" spans="1:15" ht="6" customHeight="1" x14ac:dyDescent="0.25">
      <c r="A47" s="36"/>
      <c r="B47" s="34"/>
    </row>
    <row r="48" spans="1:15" ht="14.1" customHeight="1" x14ac:dyDescent="0.25">
      <c r="A48" s="34" t="s">
        <v>78</v>
      </c>
      <c r="B48" s="34" t="s">
        <v>8</v>
      </c>
      <c r="C48" s="375" t="str">
        <f>'INPUT DATA'!Q14</f>
        <v>Hasil kalibrasi yang dilaporkan tertelusur ke SI melalui SNSU BSN</v>
      </c>
      <c r="D48" s="375"/>
      <c r="E48" s="375"/>
      <c r="F48" s="375"/>
      <c r="G48" s="375"/>
      <c r="H48" s="375"/>
      <c r="I48" s="375"/>
      <c r="J48" s="375"/>
      <c r="K48" s="375"/>
      <c r="L48" s="375"/>
      <c r="M48" s="375"/>
      <c r="N48" s="375"/>
      <c r="O48" s="375"/>
    </row>
    <row r="49" spans="1:15" ht="16.5" customHeight="1" x14ac:dyDescent="0.25">
      <c r="A49" s="36" t="s">
        <v>35</v>
      </c>
      <c r="B49" s="34"/>
      <c r="C49" s="375"/>
      <c r="D49" s="375"/>
      <c r="E49" s="375"/>
      <c r="F49" s="375"/>
      <c r="G49" s="375"/>
      <c r="H49" s="375"/>
      <c r="I49" s="375"/>
      <c r="J49" s="375"/>
      <c r="K49" s="375"/>
      <c r="L49" s="375"/>
      <c r="M49" s="375"/>
      <c r="N49" s="375"/>
      <c r="O49" s="375"/>
    </row>
    <row r="51" spans="1:15" ht="14.1" customHeight="1" x14ac:dyDescent="0.25">
      <c r="I51" s="363" t="s">
        <v>36</v>
      </c>
      <c r="J51" s="363"/>
      <c r="K51" s="363"/>
      <c r="L51" s="363"/>
      <c r="M51" s="363"/>
      <c r="N51" s="363"/>
      <c r="O51" s="363"/>
    </row>
    <row r="52" spans="1:15" ht="14.1" customHeight="1" x14ac:dyDescent="0.25">
      <c r="I52" s="364" t="s">
        <v>79</v>
      </c>
      <c r="J52" s="364"/>
      <c r="K52" s="364"/>
      <c r="L52" s="364"/>
      <c r="M52" s="364"/>
      <c r="N52" s="364"/>
      <c r="O52" s="364"/>
    </row>
    <row r="57" spans="1:15" ht="14.1" customHeight="1" x14ac:dyDescent="0.25">
      <c r="I57" s="365" t="str">
        <f>'INPUT DATA'!E43</f>
        <v>Rudi Eko Suryono</v>
      </c>
      <c r="J57" s="365"/>
      <c r="K57" s="365"/>
      <c r="L57" s="365"/>
      <c r="M57" s="365"/>
      <c r="N57" s="365"/>
      <c r="O57" s="365"/>
    </row>
    <row r="58" spans="1:15" ht="14.1" customHeight="1" x14ac:dyDescent="0.25">
      <c r="I58" s="364" t="s">
        <v>228</v>
      </c>
      <c r="J58" s="364"/>
      <c r="K58" s="364"/>
      <c r="L58" s="364"/>
      <c r="M58" s="364"/>
      <c r="N58" s="364"/>
      <c r="O58" s="364"/>
    </row>
  </sheetData>
  <mergeCells count="35">
    <mergeCell ref="C44:O44"/>
    <mergeCell ref="C48:O49"/>
    <mergeCell ref="A35:O35"/>
    <mergeCell ref="A36:O36"/>
    <mergeCell ref="C38:O38"/>
    <mergeCell ref="C41:O41"/>
    <mergeCell ref="C42:O42"/>
    <mergeCell ref="C45:O46"/>
    <mergeCell ref="A27:O27"/>
    <mergeCell ref="C29:O29"/>
    <mergeCell ref="C23:D23"/>
    <mergeCell ref="C32:O32"/>
    <mergeCell ref="C33:O33"/>
    <mergeCell ref="A8:O8"/>
    <mergeCell ref="A9:O9"/>
    <mergeCell ref="C11:O11"/>
    <mergeCell ref="C14:O14"/>
    <mergeCell ref="A26:O26"/>
    <mergeCell ref="C20:O20"/>
    <mergeCell ref="I51:O51"/>
    <mergeCell ref="I52:O52"/>
    <mergeCell ref="I57:O57"/>
    <mergeCell ref="I58:O58"/>
    <mergeCell ref="A1:O1"/>
    <mergeCell ref="B2:B3"/>
    <mergeCell ref="C2:F3"/>
    <mergeCell ref="K2:K3"/>
    <mergeCell ref="L2:L3"/>
    <mergeCell ref="M2:N2"/>
    <mergeCell ref="O2:O3"/>
    <mergeCell ref="M3:N3"/>
    <mergeCell ref="C17:O17"/>
    <mergeCell ref="C30:O30"/>
    <mergeCell ref="B5:B6"/>
    <mergeCell ref="C5:F6"/>
  </mergeCells>
  <printOptions horizontalCentered="1"/>
  <pageMargins left="0.5905500874890639" right="0.5905500874890639" top="1.1000000000000001" bottom="0.78740157480314965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92D050"/>
  </sheetPr>
  <dimension ref="A1:AK51"/>
  <sheetViews>
    <sheetView showGridLines="0" topLeftCell="A12" zoomScaleNormal="100" workbookViewId="0">
      <selection activeCell="I30" sqref="I30:J31"/>
    </sheetView>
  </sheetViews>
  <sheetFormatPr defaultColWidth="3.5546875" defaultRowHeight="14.1" customHeight="1" x14ac:dyDescent="0.25"/>
  <cols>
    <col min="1" max="21" width="4.44140625" style="33" customWidth="1"/>
    <col min="22" max="16384" width="3.5546875" style="33"/>
  </cols>
  <sheetData>
    <row r="1" spans="1:21" ht="30" customHeight="1" x14ac:dyDescent="0.25">
      <c r="A1" s="366" t="s">
        <v>165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</row>
    <row r="2" spans="1:21" ht="14.1" customHeight="1" x14ac:dyDescent="0.25">
      <c r="A2" s="369" t="s">
        <v>46</v>
      </c>
      <c r="B2" s="369"/>
      <c r="C2" s="369"/>
      <c r="D2" s="369"/>
      <c r="E2" s="41" t="s">
        <v>8</v>
      </c>
      <c r="F2" s="367" t="str">
        <f>SERTIFIKAT!C2</f>
        <v>PAS-K25-76826</v>
      </c>
      <c r="G2" s="367"/>
      <c r="H2" s="367"/>
      <c r="I2" s="367"/>
      <c r="J2" s="367"/>
      <c r="K2" s="367"/>
      <c r="L2" s="367"/>
      <c r="M2" s="367"/>
      <c r="N2" s="367"/>
      <c r="O2" s="393" t="s">
        <v>69</v>
      </c>
      <c r="P2" s="393"/>
      <c r="Q2" s="368" t="s">
        <v>8</v>
      </c>
      <c r="R2" s="363">
        <v>2</v>
      </c>
      <c r="S2" s="368" t="s">
        <v>38</v>
      </c>
      <c r="T2" s="368"/>
      <c r="U2" s="363">
        <v>2</v>
      </c>
    </row>
    <row r="3" spans="1:21" ht="14.1" customHeight="1" x14ac:dyDescent="0.25">
      <c r="A3" s="369" t="s">
        <v>330</v>
      </c>
      <c r="B3" s="369"/>
      <c r="C3" s="369"/>
      <c r="D3" s="369"/>
      <c r="E3" s="41" t="s">
        <v>8</v>
      </c>
      <c r="F3" s="369" t="str">
        <f>IF('INPUT DATA'!E37="Lab. Kalibrasi Suhu PT Pananjung Anugrah Solution, Cikarang.",CONCATENATE('INPUT DATA'!E35," ",'INPUT DATA'!F35," ",'INPUT DATA'!H35), LAMPIRAN!F10)</f>
        <v xml:space="preserve"> Desember 2025</v>
      </c>
      <c r="G3" s="369"/>
      <c r="H3" s="369"/>
      <c r="I3" s="369"/>
      <c r="J3" s="369"/>
      <c r="K3" s="369"/>
      <c r="L3" s="369"/>
      <c r="M3" s="369"/>
      <c r="N3" s="369"/>
      <c r="O3" s="394" t="s">
        <v>15</v>
      </c>
      <c r="P3" s="394"/>
      <c r="Q3" s="368"/>
      <c r="R3" s="363"/>
      <c r="S3" s="364" t="s">
        <v>37</v>
      </c>
      <c r="T3" s="364"/>
      <c r="U3" s="363"/>
    </row>
    <row r="4" spans="1:21" ht="8.1" hidden="1" customHeight="1" x14ac:dyDescent="0.25">
      <c r="A4" s="40"/>
      <c r="B4" s="40"/>
      <c r="C4" s="40"/>
      <c r="D4" s="40"/>
      <c r="E4" s="41"/>
      <c r="F4" s="40"/>
      <c r="G4" s="40"/>
      <c r="H4" s="40"/>
      <c r="I4" s="40"/>
      <c r="J4" s="40"/>
      <c r="K4" s="40"/>
      <c r="L4" s="40"/>
      <c r="M4" s="40"/>
      <c r="N4" s="37"/>
      <c r="O4" s="37"/>
      <c r="P4" s="37"/>
      <c r="Q4" s="42"/>
      <c r="R4" s="41"/>
      <c r="S4" s="43"/>
      <c r="T4" s="43"/>
      <c r="U4" s="41"/>
    </row>
    <row r="5" spans="1:21" ht="14.1" hidden="1" customHeight="1" x14ac:dyDescent="0.25">
      <c r="A5" s="369" t="s">
        <v>4</v>
      </c>
      <c r="B5" s="369"/>
      <c r="C5" s="369"/>
      <c r="D5" s="369"/>
      <c r="E5" s="41" t="s">
        <v>8</v>
      </c>
      <c r="F5" s="376" t="str">
        <f>SERTIFIKAT!C11</f>
        <v/>
      </c>
      <c r="G5" s="376"/>
      <c r="H5" s="376"/>
      <c r="I5" s="376"/>
      <c r="J5" s="376"/>
      <c r="K5" s="376"/>
      <c r="L5" s="376"/>
      <c r="M5" s="376"/>
      <c r="N5" s="376"/>
      <c r="O5" s="397"/>
    </row>
    <row r="6" spans="1:21" ht="14.1" hidden="1" customHeight="1" x14ac:dyDescent="0.25">
      <c r="A6" s="369" t="s">
        <v>80</v>
      </c>
      <c r="B6" s="369"/>
      <c r="C6" s="369"/>
      <c r="D6" s="369"/>
      <c r="E6" s="41" t="s">
        <v>8</v>
      </c>
      <c r="F6" s="369" t="str">
        <f>SERTIFIKAT!C14</f>
        <v/>
      </c>
      <c r="G6" s="369"/>
      <c r="H6" s="369"/>
      <c r="I6" s="369"/>
      <c r="J6" s="369"/>
      <c r="K6" s="369"/>
      <c r="L6" s="369"/>
      <c r="M6" s="369"/>
      <c r="N6" s="369"/>
      <c r="O6" s="369"/>
    </row>
    <row r="7" spans="1:21" ht="14.1" hidden="1" customHeight="1" x14ac:dyDescent="0.25">
      <c r="A7" s="369" t="s">
        <v>71</v>
      </c>
      <c r="B7" s="369"/>
      <c r="C7" s="369"/>
      <c r="D7" s="369"/>
      <c r="E7" s="41" t="s">
        <v>8</v>
      </c>
      <c r="F7" s="369" t="str">
        <f>SERTIFIKAT!C17</f>
        <v xml:space="preserve">    /   </v>
      </c>
      <c r="G7" s="369"/>
      <c r="H7" s="369"/>
      <c r="I7" s="369"/>
      <c r="J7" s="369"/>
      <c r="K7" s="369"/>
      <c r="L7" s="369"/>
      <c r="M7" s="369"/>
      <c r="N7" s="369"/>
      <c r="O7" s="369"/>
    </row>
    <row r="8" spans="1:21" s="144" customFormat="1" ht="14.1" hidden="1" customHeight="1" x14ac:dyDescent="0.25">
      <c r="A8" s="395" t="s">
        <v>245</v>
      </c>
      <c r="B8" s="395"/>
      <c r="C8" s="395"/>
      <c r="D8" s="395"/>
      <c r="E8" s="143" t="s">
        <v>8</v>
      </c>
      <c r="F8" s="396">
        <f>SERTIFIKAT!C20</f>
        <v>0</v>
      </c>
      <c r="G8" s="395"/>
      <c r="H8" s="395"/>
      <c r="I8" s="395"/>
      <c r="J8" s="395"/>
      <c r="K8" s="395"/>
      <c r="L8" s="395"/>
      <c r="M8" s="395"/>
      <c r="N8" s="395"/>
      <c r="O8" s="395"/>
      <c r="P8" s="395"/>
      <c r="Q8" s="395"/>
      <c r="R8" s="395"/>
      <c r="S8" s="395"/>
      <c r="T8" s="395"/>
      <c r="U8" s="395"/>
    </row>
    <row r="9" spans="1:21" ht="8.1" customHeight="1" x14ac:dyDescent="0.4">
      <c r="A9" s="40"/>
      <c r="B9" s="40"/>
      <c r="C9" s="40"/>
      <c r="D9" s="40"/>
      <c r="E9" s="41"/>
      <c r="F9" s="40"/>
      <c r="G9" s="40"/>
      <c r="H9" s="40"/>
      <c r="I9" s="40"/>
      <c r="J9" s="40"/>
      <c r="K9" s="40"/>
      <c r="L9" s="40"/>
      <c r="M9" s="40"/>
      <c r="N9" s="40"/>
      <c r="O9" s="52"/>
      <c r="P9" s="45"/>
      <c r="Q9" s="45"/>
      <c r="R9" s="45"/>
      <c r="S9" s="45"/>
      <c r="T9" s="45"/>
    </row>
    <row r="10" spans="1:21" ht="14.1" customHeight="1" x14ac:dyDescent="0.25">
      <c r="A10" s="369" t="s">
        <v>5</v>
      </c>
      <c r="B10" s="369"/>
      <c r="C10" s="369"/>
      <c r="D10" s="369"/>
      <c r="E10" s="41" t="s">
        <v>8</v>
      </c>
      <c r="F10" s="33" t="str">
        <f>CONCATENATE('INPUT DATA'!E36," ",'INPUT DATA'!F36," ",'INPUT DATA'!H36)</f>
        <v xml:space="preserve"> Desember 2025</v>
      </c>
      <c r="P10" s="398" t="s">
        <v>70</v>
      </c>
      <c r="Q10" s="399"/>
      <c r="R10" s="399"/>
      <c r="S10" s="399"/>
      <c r="T10" s="399"/>
      <c r="U10" s="400"/>
    </row>
    <row r="11" spans="1:21" ht="14.1" customHeight="1" x14ac:dyDescent="0.25">
      <c r="A11" s="369" t="s">
        <v>6</v>
      </c>
      <c r="B11" s="369"/>
      <c r="C11" s="369"/>
      <c r="D11" s="369"/>
      <c r="E11" s="41" t="s">
        <v>8</v>
      </c>
      <c r="F11" s="375" t="str">
        <f>'INPUT DATA'!E37</f>
        <v>Lab. Kalibrasi Suhu PT Pananjung Anugrah Solution, Cikarang.</v>
      </c>
      <c r="G11" s="375"/>
      <c r="H11" s="375"/>
      <c r="I11" s="375"/>
      <c r="J11" s="375"/>
      <c r="K11" s="375"/>
      <c r="L11" s="375"/>
      <c r="M11" s="375"/>
      <c r="N11" s="375"/>
      <c r="O11" s="375"/>
      <c r="P11" s="44" t="s">
        <v>169</v>
      </c>
      <c r="Q11" s="42" t="s">
        <v>8</v>
      </c>
      <c r="R11" s="45" t="str">
        <f ca="1">"("&amp;FIXED('INPUT DATA'!H40,1)</f>
        <v>(19.4</v>
      </c>
      <c r="S11" s="45" t="s">
        <v>12</v>
      </c>
      <c r="T11" s="46" t="str">
        <f>FIXED('INPUT DATA'!J40,1)&amp;")"</f>
        <v>0.6)</v>
      </c>
      <c r="U11" s="47" t="s">
        <v>170</v>
      </c>
    </row>
    <row r="12" spans="1:21" ht="16.5" customHeight="1" x14ac:dyDescent="0.25">
      <c r="A12" s="40"/>
      <c r="B12" s="40"/>
      <c r="C12" s="40"/>
      <c r="D12" s="40"/>
      <c r="E12" s="41"/>
      <c r="F12" s="375"/>
      <c r="G12" s="375"/>
      <c r="H12" s="375"/>
      <c r="I12" s="375"/>
      <c r="J12" s="375"/>
      <c r="K12" s="375"/>
      <c r="L12" s="375"/>
      <c r="M12" s="375"/>
      <c r="N12" s="375"/>
      <c r="O12" s="375"/>
      <c r="P12" s="48" t="s">
        <v>171</v>
      </c>
      <c r="Q12" s="49" t="s">
        <v>8</v>
      </c>
      <c r="R12" s="50" t="str">
        <f ca="1">"("&amp;FIXED('INPUT DATA'!H41,1)</f>
        <v>(47.8</v>
      </c>
      <c r="S12" s="50" t="s">
        <v>12</v>
      </c>
      <c r="T12" s="147" t="str">
        <f>FIXED('INPUT DATA'!J41,1)&amp;")"</f>
        <v>3.0)</v>
      </c>
      <c r="U12" s="51" t="s">
        <v>47</v>
      </c>
    </row>
    <row r="13" spans="1:21" ht="14.1" customHeight="1" x14ac:dyDescent="0.25">
      <c r="A13" s="370" t="s">
        <v>72</v>
      </c>
      <c r="B13" s="370"/>
      <c r="C13" s="370"/>
      <c r="D13" s="370"/>
      <c r="E13" s="370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0"/>
      <c r="R13" s="370"/>
      <c r="S13" s="370"/>
      <c r="T13" s="370"/>
      <c r="U13" s="370"/>
    </row>
    <row r="14" spans="1:21" ht="14.1" customHeight="1" x14ac:dyDescent="0.25">
      <c r="A14" s="401" t="s">
        <v>41</v>
      </c>
      <c r="B14" s="401"/>
      <c r="C14" s="401"/>
      <c r="D14" s="401"/>
      <c r="E14" s="401"/>
      <c r="F14" s="401"/>
      <c r="G14" s="401"/>
      <c r="H14" s="401"/>
      <c r="I14" s="401"/>
      <c r="J14" s="401"/>
      <c r="K14" s="401"/>
      <c r="L14" s="401"/>
      <c r="M14" s="401"/>
      <c r="N14" s="401"/>
      <c r="O14" s="401"/>
      <c r="P14" s="401"/>
      <c r="Q14" s="401"/>
      <c r="R14" s="401"/>
      <c r="S14" s="401"/>
      <c r="T14" s="401"/>
      <c r="U14" s="401"/>
    </row>
    <row r="15" spans="1:21" ht="14.1" customHeight="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</row>
    <row r="16" spans="1:21" ht="14.1" hidden="1" customHeight="1" x14ac:dyDescent="0.25">
      <c r="A16" s="53"/>
      <c r="B16" s="152" t="s">
        <v>257</v>
      </c>
      <c r="C16" s="53"/>
      <c r="D16" s="53"/>
      <c r="E16" s="53"/>
      <c r="F16" s="53"/>
      <c r="G16" s="158">
        <f>'INPUT DATA'!E25</f>
        <v>0</v>
      </c>
      <c r="H16" s="152" t="s">
        <v>1</v>
      </c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</row>
    <row r="17" spans="1:24" ht="15" customHeight="1" x14ac:dyDescent="0.35">
      <c r="B17" s="384" t="s">
        <v>240</v>
      </c>
      <c r="C17" s="385"/>
      <c r="D17" s="386"/>
      <c r="E17" s="384" t="s">
        <v>220</v>
      </c>
      <c r="F17" s="385"/>
      <c r="G17" s="385"/>
      <c r="H17" s="385"/>
      <c r="I17" s="386"/>
      <c r="J17" s="384" t="s">
        <v>210</v>
      </c>
      <c r="K17" s="385"/>
      <c r="L17" s="385"/>
      <c r="M17" s="385"/>
      <c r="N17" s="386"/>
      <c r="O17" s="384" t="s">
        <v>7</v>
      </c>
      <c r="P17" s="385"/>
      <c r="Q17" s="385"/>
      <c r="R17" s="385"/>
      <c r="S17" s="386"/>
      <c r="T17" s="57"/>
      <c r="U17" s="57"/>
      <c r="V17" s="57"/>
      <c r="W17" s="54"/>
      <c r="X17" s="54"/>
    </row>
    <row r="18" spans="1:24" s="56" customFormat="1" ht="14.1" customHeight="1" x14ac:dyDescent="0.3">
      <c r="B18" s="387" t="s">
        <v>241</v>
      </c>
      <c r="C18" s="388"/>
      <c r="D18" s="389"/>
      <c r="E18" s="387" t="s">
        <v>221</v>
      </c>
      <c r="F18" s="388"/>
      <c r="G18" s="388"/>
      <c r="H18" s="388"/>
      <c r="I18" s="389"/>
      <c r="J18" s="387" t="s">
        <v>211</v>
      </c>
      <c r="K18" s="388"/>
      <c r="L18" s="388"/>
      <c r="M18" s="388"/>
      <c r="N18" s="389"/>
      <c r="O18" s="387" t="s">
        <v>39</v>
      </c>
      <c r="P18" s="388"/>
      <c r="Q18" s="388"/>
      <c r="R18" s="388"/>
      <c r="S18" s="389"/>
      <c r="T18" s="58"/>
      <c r="U18" s="58"/>
      <c r="V18" s="58"/>
      <c r="W18" s="55"/>
      <c r="X18" s="55"/>
    </row>
    <row r="19" spans="1:24" s="36" customFormat="1" ht="15" customHeight="1" x14ac:dyDescent="0.35">
      <c r="B19" s="390" t="s">
        <v>242</v>
      </c>
      <c r="C19" s="391"/>
      <c r="D19" s="392"/>
      <c r="E19" s="390" t="s">
        <v>243</v>
      </c>
      <c r="F19" s="391"/>
      <c r="G19" s="391"/>
      <c r="H19" s="391"/>
      <c r="I19" s="392"/>
      <c r="J19" s="390" t="s">
        <v>243</v>
      </c>
      <c r="K19" s="391"/>
      <c r="L19" s="391"/>
      <c r="M19" s="391"/>
      <c r="N19" s="392"/>
      <c r="O19" s="390" t="s">
        <v>243</v>
      </c>
      <c r="P19" s="391"/>
      <c r="Q19" s="391"/>
      <c r="R19" s="391"/>
      <c r="S19" s="392"/>
      <c r="T19" s="57"/>
      <c r="U19" s="57"/>
      <c r="V19" s="57"/>
      <c r="W19" s="54"/>
      <c r="X19" s="54"/>
    </row>
    <row r="20" spans="1:24" s="43" customFormat="1" ht="18" customHeight="1" x14ac:dyDescent="0.25">
      <c r="B20" s="382">
        <f>'INPUT DATA'!H49</f>
        <v>0</v>
      </c>
      <c r="C20" s="382"/>
      <c r="D20" s="382"/>
      <c r="E20" s="383">
        <f>'INPUT DATA'!J49</f>
        <v>0</v>
      </c>
      <c r="F20" s="383"/>
      <c r="G20" s="383"/>
      <c r="H20" s="383"/>
      <c r="I20" s="383"/>
      <c r="J20" s="377">
        <f ca="1">'INPUT DATA'!Q49</f>
        <v>7.9000000000000001E-2</v>
      </c>
      <c r="K20" s="377"/>
      <c r="L20" s="377"/>
      <c r="M20" s="377"/>
      <c r="N20" s="378"/>
      <c r="O20" s="379">
        <f ca="1">J20-E20</f>
        <v>7.9000000000000001E-2</v>
      </c>
      <c r="P20" s="380"/>
      <c r="Q20" s="380"/>
      <c r="R20" s="380"/>
      <c r="S20" s="381"/>
      <c r="T20" s="59"/>
      <c r="U20" s="59"/>
      <c r="V20" s="59"/>
      <c r="W20" s="60"/>
      <c r="X20" s="60"/>
    </row>
    <row r="21" spans="1:24" s="43" customFormat="1" ht="18" customHeight="1" x14ac:dyDescent="0.25">
      <c r="B21" s="382">
        <f>'INPUT DATA'!H50</f>
        <v>0</v>
      </c>
      <c r="C21" s="382"/>
      <c r="D21" s="382"/>
      <c r="E21" s="383">
        <f>'INPUT DATA'!J50</f>
        <v>0</v>
      </c>
      <c r="F21" s="383"/>
      <c r="G21" s="383"/>
      <c r="H21" s="383"/>
      <c r="I21" s="383"/>
      <c r="J21" s="377">
        <f ca="1">'INPUT DATA'!Q50</f>
        <v>7.9000000000000001E-2</v>
      </c>
      <c r="K21" s="377"/>
      <c r="L21" s="377"/>
      <c r="M21" s="377"/>
      <c r="N21" s="378"/>
      <c r="O21" s="379">
        <f t="shared" ref="O21:O24" ca="1" si="0">J21-E21</f>
        <v>7.9000000000000001E-2</v>
      </c>
      <c r="P21" s="380"/>
      <c r="Q21" s="380"/>
      <c r="R21" s="380"/>
      <c r="S21" s="381"/>
      <c r="T21" s="59"/>
      <c r="U21" s="59"/>
      <c r="V21" s="59"/>
      <c r="W21" s="60"/>
      <c r="X21" s="60"/>
    </row>
    <row r="22" spans="1:24" s="43" customFormat="1" ht="18" customHeight="1" x14ac:dyDescent="0.25">
      <c r="B22" s="382">
        <f>'INPUT DATA'!H51</f>
        <v>0</v>
      </c>
      <c r="C22" s="382"/>
      <c r="D22" s="382"/>
      <c r="E22" s="383">
        <f>'INPUT DATA'!J51</f>
        <v>0</v>
      </c>
      <c r="F22" s="383"/>
      <c r="G22" s="383"/>
      <c r="H22" s="383"/>
      <c r="I22" s="383"/>
      <c r="J22" s="377">
        <f ca="1">'INPUT DATA'!Q51</f>
        <v>7.9000000000000001E-2</v>
      </c>
      <c r="K22" s="377"/>
      <c r="L22" s="377"/>
      <c r="M22" s="377"/>
      <c r="N22" s="378"/>
      <c r="O22" s="379">
        <f t="shared" ca="1" si="0"/>
        <v>7.9000000000000001E-2</v>
      </c>
      <c r="P22" s="380"/>
      <c r="Q22" s="380"/>
      <c r="R22" s="380"/>
      <c r="S22" s="381"/>
      <c r="T22" s="59"/>
      <c r="U22" s="59"/>
      <c r="V22" s="59"/>
      <c r="W22" s="60"/>
      <c r="X22" s="60"/>
    </row>
    <row r="23" spans="1:24" s="43" customFormat="1" ht="18" customHeight="1" x14ac:dyDescent="0.25">
      <c r="B23" s="382">
        <f>'INPUT DATA'!H52</f>
        <v>0</v>
      </c>
      <c r="C23" s="382"/>
      <c r="D23" s="382"/>
      <c r="E23" s="383">
        <f>'INPUT DATA'!J52</f>
        <v>0</v>
      </c>
      <c r="F23" s="383"/>
      <c r="G23" s="383"/>
      <c r="H23" s="383"/>
      <c r="I23" s="383"/>
      <c r="J23" s="377">
        <f ca="1">'INPUT DATA'!Q52</f>
        <v>7.9000000000000001E-2</v>
      </c>
      <c r="K23" s="377"/>
      <c r="L23" s="377"/>
      <c r="M23" s="377"/>
      <c r="N23" s="378"/>
      <c r="O23" s="379">
        <f t="shared" ca="1" si="0"/>
        <v>7.9000000000000001E-2</v>
      </c>
      <c r="P23" s="380"/>
      <c r="Q23" s="380"/>
      <c r="R23" s="380"/>
      <c r="S23" s="381"/>
      <c r="T23" s="59"/>
      <c r="U23" s="59"/>
      <c r="V23" s="59"/>
      <c r="W23" s="60"/>
      <c r="X23" s="60"/>
    </row>
    <row r="24" spans="1:24" s="43" customFormat="1" ht="18" customHeight="1" x14ac:dyDescent="0.25">
      <c r="B24" s="382">
        <f>'INPUT DATA'!H53</f>
        <v>0</v>
      </c>
      <c r="C24" s="382"/>
      <c r="D24" s="382"/>
      <c r="E24" s="383">
        <f>'INPUT DATA'!J53</f>
        <v>0</v>
      </c>
      <c r="F24" s="383"/>
      <c r="G24" s="383"/>
      <c r="H24" s="383"/>
      <c r="I24" s="383"/>
      <c r="J24" s="377">
        <f ca="1">'INPUT DATA'!Q53</f>
        <v>7.9000000000000001E-2</v>
      </c>
      <c r="K24" s="377"/>
      <c r="L24" s="377"/>
      <c r="M24" s="377"/>
      <c r="N24" s="378"/>
      <c r="O24" s="379">
        <f t="shared" ca="1" si="0"/>
        <v>7.9000000000000001E-2</v>
      </c>
      <c r="P24" s="380"/>
      <c r="Q24" s="380"/>
      <c r="R24" s="380"/>
      <c r="S24" s="381"/>
      <c r="T24" s="59"/>
      <c r="U24" s="59"/>
      <c r="V24" s="59"/>
      <c r="W24" s="60"/>
      <c r="X24" s="60"/>
    </row>
    <row r="25" spans="1:24" s="43" customFormat="1" ht="18" customHeight="1" x14ac:dyDescent="0.25">
      <c r="B25" s="382">
        <f>'INPUT DATA'!H54</f>
        <v>0</v>
      </c>
      <c r="C25" s="382"/>
      <c r="D25" s="382"/>
      <c r="E25" s="383">
        <f>'INPUT DATA'!J54</f>
        <v>0</v>
      </c>
      <c r="F25" s="383"/>
      <c r="G25" s="383"/>
      <c r="H25" s="383"/>
      <c r="I25" s="383"/>
      <c r="J25" s="377">
        <f ca="1">'INPUT DATA'!Q54</f>
        <v>7.9000000000000001E-2</v>
      </c>
      <c r="K25" s="377"/>
      <c r="L25" s="377"/>
      <c r="M25" s="377"/>
      <c r="N25" s="378"/>
      <c r="O25" s="379">
        <f t="shared" ref="O25" ca="1" si="1">J25-E25</f>
        <v>7.9000000000000001E-2</v>
      </c>
      <c r="P25" s="380"/>
      <c r="Q25" s="380"/>
      <c r="R25" s="380"/>
      <c r="S25" s="381"/>
      <c r="T25" s="59"/>
      <c r="U25" s="59"/>
      <c r="V25" s="59"/>
      <c r="W25" s="60"/>
      <c r="X25" s="60"/>
    </row>
    <row r="26" spans="1:24" s="43" customFormat="1" ht="18" customHeight="1" x14ac:dyDescent="0.25">
      <c r="B26" s="382">
        <f>'INPUT DATA'!H55</f>
        <v>0</v>
      </c>
      <c r="C26" s="382"/>
      <c r="D26" s="382"/>
      <c r="E26" s="383">
        <f>'INPUT DATA'!J55</f>
        <v>0</v>
      </c>
      <c r="F26" s="383"/>
      <c r="G26" s="383"/>
      <c r="H26" s="383"/>
      <c r="I26" s="383"/>
      <c r="J26" s="377">
        <f ca="1">'INPUT DATA'!Q55</f>
        <v>7.9000000000000001E-2</v>
      </c>
      <c r="K26" s="377"/>
      <c r="L26" s="377"/>
      <c r="M26" s="377"/>
      <c r="N26" s="378"/>
      <c r="O26" s="379">
        <f t="shared" ref="O26:O28" ca="1" si="2">J26-E26</f>
        <v>7.9000000000000001E-2</v>
      </c>
      <c r="P26" s="380"/>
      <c r="Q26" s="380"/>
      <c r="R26" s="380"/>
      <c r="S26" s="381"/>
      <c r="T26" s="59"/>
      <c r="U26" s="59"/>
      <c r="V26" s="59"/>
      <c r="W26" s="60"/>
      <c r="X26" s="60"/>
    </row>
    <row r="27" spans="1:24" s="43" customFormat="1" ht="18" customHeight="1" x14ac:dyDescent="0.25">
      <c r="B27" s="382">
        <f>'INPUT DATA'!H56</f>
        <v>0</v>
      </c>
      <c r="C27" s="382"/>
      <c r="D27" s="382"/>
      <c r="E27" s="383">
        <f>'INPUT DATA'!J56</f>
        <v>0</v>
      </c>
      <c r="F27" s="383"/>
      <c r="G27" s="383"/>
      <c r="H27" s="383"/>
      <c r="I27" s="383"/>
      <c r="J27" s="377">
        <f ca="1">'INPUT DATA'!Q56</f>
        <v>7.9000000000000001E-2</v>
      </c>
      <c r="K27" s="377"/>
      <c r="L27" s="377"/>
      <c r="M27" s="377"/>
      <c r="N27" s="378"/>
      <c r="O27" s="379">
        <f t="shared" ca="1" si="2"/>
        <v>7.9000000000000001E-2</v>
      </c>
      <c r="P27" s="380"/>
      <c r="Q27" s="380"/>
      <c r="R27" s="380"/>
      <c r="S27" s="381"/>
      <c r="T27" s="59"/>
      <c r="U27" s="59"/>
      <c r="V27" s="59"/>
      <c r="W27" s="60"/>
      <c r="X27" s="60"/>
    </row>
    <row r="28" spans="1:24" s="43" customFormat="1" ht="18" customHeight="1" x14ac:dyDescent="0.25">
      <c r="B28" s="382">
        <f>'INPUT DATA'!H57</f>
        <v>0</v>
      </c>
      <c r="C28" s="382"/>
      <c r="D28" s="382"/>
      <c r="E28" s="383">
        <f>'INPUT DATA'!J57</f>
        <v>0</v>
      </c>
      <c r="F28" s="383"/>
      <c r="G28" s="383"/>
      <c r="H28" s="383"/>
      <c r="I28" s="383"/>
      <c r="J28" s="377">
        <f ca="1">'INPUT DATA'!Q57</f>
        <v>7.9000000000000001E-2</v>
      </c>
      <c r="K28" s="377"/>
      <c r="L28" s="377"/>
      <c r="M28" s="377"/>
      <c r="N28" s="378"/>
      <c r="O28" s="379">
        <f t="shared" ca="1" si="2"/>
        <v>7.9000000000000001E-2</v>
      </c>
      <c r="P28" s="380"/>
      <c r="Q28" s="380"/>
      <c r="R28" s="380"/>
      <c r="S28" s="381"/>
      <c r="T28" s="59"/>
      <c r="U28" s="59"/>
      <c r="V28" s="59"/>
      <c r="W28" s="60"/>
      <c r="X28" s="60"/>
    </row>
    <row r="29" spans="1:24" s="43" customFormat="1" ht="7.5" customHeight="1" x14ac:dyDescent="0.25">
      <c r="A29" s="59"/>
      <c r="B29" s="59"/>
      <c r="C29" s="59"/>
      <c r="D29"/>
      <c r="E29"/>
      <c r="F29"/>
      <c r="G29"/>
      <c r="H29"/>
      <c r="I29"/>
      <c r="J29"/>
      <c r="K29" s="124"/>
      <c r="L29" s="124"/>
      <c r="M29" s="124"/>
      <c r="N29"/>
      <c r="O29"/>
      <c r="P29"/>
      <c r="Q29"/>
      <c r="R29"/>
      <c r="S29" s="59"/>
      <c r="T29" s="59"/>
      <c r="U29" s="59"/>
      <c r="V29" s="60"/>
      <c r="W29" s="60"/>
    </row>
    <row r="30" spans="1:24" s="36" customFormat="1" ht="14.1" customHeight="1" x14ac:dyDescent="0.35">
      <c r="A30" s="57"/>
      <c r="B30" s="403" t="s">
        <v>244</v>
      </c>
      <c r="C30" s="403"/>
      <c r="D30" s="403"/>
      <c r="E30" s="403"/>
      <c r="F30" s="403"/>
      <c r="G30" s="403"/>
      <c r="H30" s="404" t="s">
        <v>12</v>
      </c>
      <c r="I30" s="406">
        <f>KETIDAKPASTIAN!K94</f>
        <v>0.13</v>
      </c>
      <c r="J30" s="406"/>
      <c r="K30" s="407" t="s">
        <v>255</v>
      </c>
      <c r="L30" s="407"/>
      <c r="M30" s="125"/>
      <c r="N30" s="57"/>
      <c r="O30" s="57"/>
      <c r="P30" s="57"/>
      <c r="Q30" s="57"/>
      <c r="R30" s="57"/>
      <c r="S30" s="57"/>
      <c r="T30" s="54"/>
      <c r="U30" s="54"/>
    </row>
    <row r="31" spans="1:24" s="120" customFormat="1" ht="15" customHeight="1" x14ac:dyDescent="0.35">
      <c r="A31" s="57"/>
      <c r="B31" s="408" t="s">
        <v>222</v>
      </c>
      <c r="C31" s="408"/>
      <c r="D31" s="408"/>
      <c r="E31" s="408"/>
      <c r="F31" s="408"/>
      <c r="G31" s="408"/>
      <c r="H31" s="405"/>
      <c r="I31" s="406"/>
      <c r="J31" s="406"/>
      <c r="K31" s="407"/>
      <c r="L31" s="407"/>
      <c r="M31" s="125"/>
      <c r="N31" s="57"/>
      <c r="O31" s="57"/>
      <c r="P31" s="57"/>
      <c r="Q31" s="57"/>
      <c r="R31" s="57"/>
      <c r="S31" s="57"/>
      <c r="T31" s="54"/>
      <c r="U31" s="54"/>
    </row>
    <row r="32" spans="1:24" s="56" customFormat="1" ht="8.4" customHeight="1" x14ac:dyDescent="0.35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5"/>
      <c r="W32" s="55"/>
    </row>
    <row r="33" spans="1:37" s="104" customFormat="1" ht="12.9" customHeight="1" x14ac:dyDescent="0.25">
      <c r="A33" s="102" t="s">
        <v>40</v>
      </c>
      <c r="B33" s="103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</row>
    <row r="34" spans="1:37" s="104" customFormat="1" ht="11.1" customHeight="1" x14ac:dyDescent="0.25">
      <c r="A34" s="104" t="s">
        <v>261</v>
      </c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</row>
    <row r="35" spans="1:37" s="104" customFormat="1" ht="11.1" customHeight="1" x14ac:dyDescent="0.25">
      <c r="A35" s="106" t="s">
        <v>262</v>
      </c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</row>
    <row r="36" spans="1:37" s="104" customFormat="1" ht="5.0999999999999996" customHeight="1" x14ac:dyDescent="0.25"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</row>
    <row r="37" spans="1:37" s="104" customFormat="1" ht="11.1" customHeight="1" x14ac:dyDescent="0.25">
      <c r="A37" s="104" t="s">
        <v>73</v>
      </c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</row>
    <row r="38" spans="1:37" s="104" customFormat="1" ht="11.1" customHeight="1" x14ac:dyDescent="0.25">
      <c r="A38" s="106" t="s">
        <v>74</v>
      </c>
      <c r="B38" s="106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</row>
    <row r="39" spans="1:37" s="104" customFormat="1" ht="5.0999999999999996" customHeight="1" x14ac:dyDescent="0.25"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</row>
    <row r="40" spans="1:37" s="104" customFormat="1" ht="11.1" customHeight="1" x14ac:dyDescent="0.25">
      <c r="A40" s="104" t="s">
        <v>106</v>
      </c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</row>
    <row r="41" spans="1:37" s="104" customFormat="1" ht="11.1" customHeight="1" x14ac:dyDescent="0.25">
      <c r="A41" s="106" t="s">
        <v>107</v>
      </c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</row>
    <row r="42" spans="1:37" ht="14.1" customHeight="1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</row>
    <row r="43" spans="1:37" ht="14.1" customHeight="1" x14ac:dyDescent="0.25">
      <c r="A43" s="402" t="s">
        <v>260</v>
      </c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</row>
    <row r="44" spans="1:37" ht="14.1" customHeight="1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</row>
    <row r="45" spans="1:37" ht="14.1" customHeight="1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</row>
    <row r="46" spans="1:37" ht="14.1" customHeight="1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37" ht="14.1" customHeight="1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8" spans="1:37" ht="14.1" customHeight="1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</row>
    <row r="49" spans="1:21" ht="14.1" customHeight="1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</row>
    <row r="50" spans="1:21" ht="14.1" customHeight="1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</row>
    <row r="51" spans="1:21" ht="14.1" customHeight="1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</row>
  </sheetData>
  <mergeCells count="80">
    <mergeCell ref="A43:U43"/>
    <mergeCell ref="B25:D25"/>
    <mergeCell ref="E25:I25"/>
    <mergeCell ref="J25:N25"/>
    <mergeCell ref="O25:S25"/>
    <mergeCell ref="B30:G30"/>
    <mergeCell ref="H30:H31"/>
    <mergeCell ref="I30:J31"/>
    <mergeCell ref="K30:L31"/>
    <mergeCell ref="B31:G31"/>
    <mergeCell ref="B26:D26"/>
    <mergeCell ref="E26:I26"/>
    <mergeCell ref="J26:N26"/>
    <mergeCell ref="O26:S26"/>
    <mergeCell ref="B27:D27"/>
    <mergeCell ref="E27:I27"/>
    <mergeCell ref="O23:S23"/>
    <mergeCell ref="O24:S24"/>
    <mergeCell ref="J24:N24"/>
    <mergeCell ref="J23:N23"/>
    <mergeCell ref="E23:I23"/>
    <mergeCell ref="E24:I24"/>
    <mergeCell ref="O20:S20"/>
    <mergeCell ref="E22:I22"/>
    <mergeCell ref="J20:N20"/>
    <mergeCell ref="J21:N21"/>
    <mergeCell ref="O21:S21"/>
    <mergeCell ref="O22:S22"/>
    <mergeCell ref="J22:N22"/>
    <mergeCell ref="E20:I20"/>
    <mergeCell ref="E21:I21"/>
    <mergeCell ref="E17:I17"/>
    <mergeCell ref="O17:S17"/>
    <mergeCell ref="E18:I18"/>
    <mergeCell ref="O18:S18"/>
    <mergeCell ref="E19:I19"/>
    <mergeCell ref="O19:S19"/>
    <mergeCell ref="J18:N18"/>
    <mergeCell ref="J19:N19"/>
    <mergeCell ref="J17:N17"/>
    <mergeCell ref="P10:U10"/>
    <mergeCell ref="A13:U13"/>
    <mergeCell ref="A14:U14"/>
    <mergeCell ref="A7:D7"/>
    <mergeCell ref="F7:O7"/>
    <mergeCell ref="A10:D10"/>
    <mergeCell ref="A11:D11"/>
    <mergeCell ref="F11:O12"/>
    <mergeCell ref="A6:D6"/>
    <mergeCell ref="F6:O6"/>
    <mergeCell ref="A5:D5"/>
    <mergeCell ref="A8:D8"/>
    <mergeCell ref="F8:U8"/>
    <mergeCell ref="F5:O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F3:N3"/>
    <mergeCell ref="O3:P3"/>
    <mergeCell ref="S3:T3"/>
    <mergeCell ref="B22:D22"/>
    <mergeCell ref="B23:D23"/>
    <mergeCell ref="B24:D24"/>
    <mergeCell ref="B17:D17"/>
    <mergeCell ref="B18:D18"/>
    <mergeCell ref="B19:D19"/>
    <mergeCell ref="B20:D20"/>
    <mergeCell ref="B21:D21"/>
    <mergeCell ref="J27:N27"/>
    <mergeCell ref="O27:S27"/>
    <mergeCell ref="B28:D28"/>
    <mergeCell ref="E28:I28"/>
    <mergeCell ref="J28:N28"/>
    <mergeCell ref="O28:S28"/>
  </mergeCells>
  <printOptions horizontalCentered="1"/>
  <pageMargins left="0.5" right="0.5" top="1.2" bottom="0.8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E9C24-CCF7-4EE2-B1ED-09A986617B6F}">
  <sheetPr codeName="Sheet10">
    <tabColor theme="5"/>
  </sheetPr>
  <dimension ref="A1:AK48"/>
  <sheetViews>
    <sheetView showGridLines="0" topLeftCell="A3" zoomScaleNormal="100" workbookViewId="0">
      <selection activeCell="Y24" sqref="Y24"/>
    </sheetView>
  </sheetViews>
  <sheetFormatPr defaultColWidth="3.5546875" defaultRowHeight="14.1" customHeight="1" x14ac:dyDescent="0.25"/>
  <cols>
    <col min="1" max="21" width="4.44140625" style="33" customWidth="1"/>
    <col min="22" max="16384" width="3.5546875" style="33"/>
  </cols>
  <sheetData>
    <row r="1" spans="1:27" ht="30" customHeight="1" x14ac:dyDescent="0.25">
      <c r="A1" s="366" t="s">
        <v>165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</row>
    <row r="2" spans="1:27" ht="14.1" customHeight="1" x14ac:dyDescent="0.25">
      <c r="A2" s="369" t="s">
        <v>46</v>
      </c>
      <c r="B2" s="369"/>
      <c r="C2" s="369"/>
      <c r="D2" s="369"/>
      <c r="E2" s="41" t="s">
        <v>8</v>
      </c>
      <c r="F2" s="367" t="str">
        <f>SERTIFIKAT!C2</f>
        <v>PAS-K25-76826</v>
      </c>
      <c r="G2" s="367"/>
      <c r="H2" s="367"/>
      <c r="I2" s="367"/>
      <c r="J2" s="367"/>
      <c r="K2" s="367"/>
      <c r="L2" s="367"/>
      <c r="M2" s="367"/>
      <c r="N2" s="367"/>
      <c r="O2" s="393" t="s">
        <v>69</v>
      </c>
      <c r="P2" s="393"/>
      <c r="Q2" s="368" t="s">
        <v>8</v>
      </c>
      <c r="R2" s="363">
        <v>2</v>
      </c>
      <c r="S2" s="368" t="s">
        <v>38</v>
      </c>
      <c r="T2" s="368"/>
      <c r="U2" s="363">
        <v>2</v>
      </c>
    </row>
    <row r="3" spans="1:27" ht="14.1" customHeight="1" x14ac:dyDescent="0.25">
      <c r="A3" s="369" t="s">
        <v>330</v>
      </c>
      <c r="B3" s="369"/>
      <c r="C3" s="369"/>
      <c r="D3" s="369"/>
      <c r="E3" s="41" t="s">
        <v>8</v>
      </c>
      <c r="F3" s="369" t="str">
        <f>IF('INPUT DATA'!E37="Lab. Kalibrasi Suhu PT Pananjung Anugrah Solution, Cikarang.",CONCATENATE('INPUT DATA'!E35," ",'INPUT DATA'!F35," ",'INPUT DATA'!H35), 'LAMPIRAN SIIX'!F10)</f>
        <v xml:space="preserve"> Desember 2025</v>
      </c>
      <c r="G3" s="369"/>
      <c r="H3" s="369"/>
      <c r="I3" s="369"/>
      <c r="J3" s="369"/>
      <c r="K3" s="369"/>
      <c r="L3" s="369"/>
      <c r="M3" s="369"/>
      <c r="N3" s="369"/>
      <c r="O3" s="394" t="s">
        <v>15</v>
      </c>
      <c r="P3" s="394"/>
      <c r="Q3" s="368"/>
      <c r="R3" s="363"/>
      <c r="S3" s="364" t="s">
        <v>37</v>
      </c>
      <c r="T3" s="364"/>
      <c r="U3" s="363"/>
    </row>
    <row r="4" spans="1:27" ht="8.1" hidden="1" customHeight="1" x14ac:dyDescent="0.25">
      <c r="A4" s="40"/>
      <c r="B4" s="40"/>
      <c r="C4" s="40"/>
      <c r="D4" s="40"/>
      <c r="E4" s="41"/>
      <c r="F4" s="40"/>
      <c r="G4" s="40"/>
      <c r="H4" s="40"/>
      <c r="I4" s="40"/>
      <c r="J4" s="40"/>
      <c r="K4" s="40"/>
      <c r="L4" s="40"/>
      <c r="M4" s="40"/>
      <c r="N4" s="37"/>
      <c r="O4" s="37"/>
      <c r="P4" s="37"/>
      <c r="Q4" s="42"/>
      <c r="R4" s="41"/>
      <c r="S4" s="43"/>
      <c r="T4" s="43"/>
      <c r="U4" s="41"/>
    </row>
    <row r="5" spans="1:27" ht="14.1" hidden="1" customHeight="1" x14ac:dyDescent="0.25">
      <c r="A5" s="369" t="s">
        <v>4</v>
      </c>
      <c r="B5" s="369"/>
      <c r="C5" s="369"/>
      <c r="D5" s="369"/>
      <c r="E5" s="41" t="s">
        <v>8</v>
      </c>
      <c r="F5" s="376" t="str">
        <f>SERTIFIKAT!C11</f>
        <v/>
      </c>
      <c r="G5" s="376"/>
      <c r="H5" s="376"/>
      <c r="I5" s="376"/>
      <c r="J5" s="376"/>
      <c r="K5" s="376"/>
      <c r="L5" s="376"/>
      <c r="M5" s="376"/>
      <c r="N5" s="376"/>
      <c r="O5" s="397"/>
    </row>
    <row r="6" spans="1:27" ht="14.1" hidden="1" customHeight="1" x14ac:dyDescent="0.25">
      <c r="A6" s="369" t="s">
        <v>80</v>
      </c>
      <c r="B6" s="369"/>
      <c r="C6" s="369"/>
      <c r="D6" s="369"/>
      <c r="E6" s="41" t="s">
        <v>8</v>
      </c>
      <c r="F6" s="369" t="str">
        <f>SERTIFIKAT!C14</f>
        <v/>
      </c>
      <c r="G6" s="369"/>
      <c r="H6" s="369"/>
      <c r="I6" s="369"/>
      <c r="J6" s="369"/>
      <c r="K6" s="369"/>
      <c r="L6" s="369"/>
      <c r="M6" s="369"/>
      <c r="N6" s="369"/>
      <c r="O6" s="369"/>
    </row>
    <row r="7" spans="1:27" ht="14.1" hidden="1" customHeight="1" x14ac:dyDescent="0.25">
      <c r="A7" s="369" t="s">
        <v>71</v>
      </c>
      <c r="B7" s="369"/>
      <c r="C7" s="369"/>
      <c r="D7" s="369"/>
      <c r="E7" s="41" t="s">
        <v>8</v>
      </c>
      <c r="F7" s="369" t="str">
        <f>SERTIFIKAT!C17</f>
        <v xml:space="preserve">    /   </v>
      </c>
      <c r="G7" s="369"/>
      <c r="H7" s="369"/>
      <c r="I7" s="369"/>
      <c r="J7" s="369"/>
      <c r="K7" s="369"/>
      <c r="L7" s="369"/>
      <c r="M7" s="369"/>
      <c r="N7" s="369"/>
      <c r="O7" s="369"/>
    </row>
    <row r="8" spans="1:27" s="144" customFormat="1" ht="14.1" hidden="1" customHeight="1" x14ac:dyDescent="0.25">
      <c r="A8" s="395" t="s">
        <v>245</v>
      </c>
      <c r="B8" s="395"/>
      <c r="C8" s="395"/>
      <c r="D8" s="395"/>
      <c r="E8" s="143" t="s">
        <v>8</v>
      </c>
      <c r="F8" s="396">
        <f>SERTIFIKAT!C20</f>
        <v>0</v>
      </c>
      <c r="G8" s="395"/>
      <c r="H8" s="395"/>
      <c r="I8" s="395"/>
      <c r="J8" s="395"/>
      <c r="K8" s="395"/>
      <c r="L8" s="395"/>
      <c r="M8" s="395"/>
      <c r="N8" s="395"/>
      <c r="O8" s="395"/>
      <c r="P8" s="395"/>
      <c r="Q8" s="395"/>
      <c r="R8" s="395"/>
      <c r="S8" s="395"/>
      <c r="T8" s="395"/>
      <c r="U8" s="395"/>
    </row>
    <row r="9" spans="1:27" ht="8.1" customHeight="1" x14ac:dyDescent="0.4">
      <c r="A9" s="40"/>
      <c r="B9" s="40"/>
      <c r="C9" s="40"/>
      <c r="D9" s="40"/>
      <c r="E9" s="41"/>
      <c r="F9" s="40"/>
      <c r="G9" s="40"/>
      <c r="H9" s="40"/>
      <c r="I9" s="40"/>
      <c r="J9" s="40"/>
      <c r="K9" s="40"/>
      <c r="L9" s="40"/>
      <c r="M9" s="40"/>
      <c r="N9" s="40"/>
      <c r="O9" s="52"/>
      <c r="P9" s="45"/>
      <c r="Q9" s="45"/>
      <c r="R9" s="45"/>
      <c r="S9" s="45"/>
      <c r="T9" s="45"/>
    </row>
    <row r="10" spans="1:27" ht="14.1" customHeight="1" x14ac:dyDescent="0.25">
      <c r="A10" s="369" t="s">
        <v>5</v>
      </c>
      <c r="B10" s="369"/>
      <c r="C10" s="369"/>
      <c r="D10" s="369"/>
      <c r="E10" s="41" t="s">
        <v>8</v>
      </c>
      <c r="F10" s="33" t="str">
        <f>CONCATENATE('INPUT DATA'!E36," ",'INPUT DATA'!F36," ",'INPUT DATA'!H36)</f>
        <v xml:space="preserve"> Desember 2025</v>
      </c>
      <c r="P10" s="398" t="s">
        <v>70</v>
      </c>
      <c r="Q10" s="399"/>
      <c r="R10" s="399"/>
      <c r="S10" s="399"/>
      <c r="T10" s="399"/>
      <c r="U10" s="400"/>
    </row>
    <row r="11" spans="1:27" ht="14.1" customHeight="1" x14ac:dyDescent="0.25">
      <c r="A11" s="369" t="s">
        <v>6</v>
      </c>
      <c r="B11" s="369"/>
      <c r="C11" s="369"/>
      <c r="D11" s="369"/>
      <c r="E11" s="41" t="s">
        <v>8</v>
      </c>
      <c r="F11" s="375" t="str">
        <f>'INPUT DATA'!E37</f>
        <v>Lab. Kalibrasi Suhu PT Pananjung Anugrah Solution, Cikarang.</v>
      </c>
      <c r="G11" s="375"/>
      <c r="H11" s="375"/>
      <c r="I11" s="375"/>
      <c r="J11" s="375"/>
      <c r="K11" s="375"/>
      <c r="L11" s="375"/>
      <c r="M11" s="375"/>
      <c r="N11" s="375"/>
      <c r="O11" s="375"/>
      <c r="P11" s="44" t="s">
        <v>169</v>
      </c>
      <c r="Q11" s="42" t="s">
        <v>8</v>
      </c>
      <c r="R11" s="45" t="str">
        <f ca="1">"("&amp;FIXED('INPUT DATA'!H40,1)</f>
        <v>(19.4</v>
      </c>
      <c r="S11" s="45" t="s">
        <v>12</v>
      </c>
      <c r="T11" s="46" t="str">
        <f>FIXED('INPUT DATA'!J40,1)&amp;")"</f>
        <v>0.6)</v>
      </c>
      <c r="U11" s="47" t="s">
        <v>170</v>
      </c>
    </row>
    <row r="12" spans="1:27" ht="15.75" customHeight="1" x14ac:dyDescent="0.25">
      <c r="A12" s="40"/>
      <c r="B12" s="40"/>
      <c r="C12" s="40"/>
      <c r="D12" s="40"/>
      <c r="E12" s="41"/>
      <c r="F12" s="375"/>
      <c r="G12" s="375"/>
      <c r="H12" s="375"/>
      <c r="I12" s="375"/>
      <c r="J12" s="375"/>
      <c r="K12" s="375"/>
      <c r="L12" s="375"/>
      <c r="M12" s="375"/>
      <c r="N12" s="375"/>
      <c r="O12" s="375"/>
      <c r="P12" s="48" t="s">
        <v>171</v>
      </c>
      <c r="Q12" s="49" t="s">
        <v>8</v>
      </c>
      <c r="R12" s="50" t="str">
        <f ca="1">"("&amp;FIXED('INPUT DATA'!H41,1)</f>
        <v>(47.8</v>
      </c>
      <c r="S12" s="50" t="s">
        <v>12</v>
      </c>
      <c r="T12" s="147" t="str">
        <f>FIXED('INPUT DATA'!J41,1)&amp;")"</f>
        <v>3.0)</v>
      </c>
      <c r="U12" s="51" t="s">
        <v>47</v>
      </c>
    </row>
    <row r="13" spans="1:27" ht="14.1" customHeight="1" x14ac:dyDescent="0.25">
      <c r="A13" s="370" t="s">
        <v>72</v>
      </c>
      <c r="B13" s="370"/>
      <c r="C13" s="370"/>
      <c r="D13" s="370"/>
      <c r="E13" s="370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0"/>
      <c r="R13" s="370"/>
      <c r="S13" s="370"/>
      <c r="T13" s="370"/>
      <c r="U13" s="370"/>
    </row>
    <row r="14" spans="1:27" ht="14.1" customHeight="1" x14ac:dyDescent="0.25">
      <c r="A14" s="401" t="s">
        <v>41</v>
      </c>
      <c r="B14" s="401"/>
      <c r="C14" s="401"/>
      <c r="D14" s="401"/>
      <c r="E14" s="401"/>
      <c r="F14" s="401"/>
      <c r="G14" s="401"/>
      <c r="H14" s="401"/>
      <c r="I14" s="401"/>
      <c r="J14" s="401"/>
      <c r="K14" s="401"/>
      <c r="L14" s="401"/>
      <c r="M14" s="401"/>
      <c r="N14" s="401"/>
      <c r="O14" s="401"/>
      <c r="P14" s="401"/>
      <c r="Q14" s="401"/>
      <c r="R14" s="401"/>
      <c r="S14" s="401"/>
      <c r="T14" s="401"/>
      <c r="U14" s="401"/>
      <c r="AA14" s="33" t="s">
        <v>383</v>
      </c>
    </row>
    <row r="15" spans="1:27" ht="14.1" customHeight="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</row>
    <row r="16" spans="1:27" ht="14.1" hidden="1" customHeight="1" x14ac:dyDescent="0.25">
      <c r="A16" s="53"/>
      <c r="B16" s="152" t="s">
        <v>257</v>
      </c>
      <c r="C16" s="53"/>
      <c r="D16" s="53"/>
      <c r="E16" s="53"/>
      <c r="F16" s="53"/>
      <c r="G16" s="158">
        <f>'INPUT DATA'!E25</f>
        <v>0</v>
      </c>
      <c r="H16" s="152" t="s">
        <v>1</v>
      </c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</row>
    <row r="17" spans="1:37" ht="15" customHeight="1" x14ac:dyDescent="0.35">
      <c r="A17" s="384" t="s">
        <v>240</v>
      </c>
      <c r="B17" s="385"/>
      <c r="C17" s="386"/>
      <c r="D17" s="384" t="s">
        <v>220</v>
      </c>
      <c r="E17" s="385"/>
      <c r="F17" s="385"/>
      <c r="G17" s="385"/>
      <c r="H17" s="386"/>
      <c r="I17" s="384" t="s">
        <v>210</v>
      </c>
      <c r="J17" s="385"/>
      <c r="K17" s="385"/>
      <c r="L17" s="385"/>
      <c r="M17" s="386"/>
      <c r="N17" s="384" t="s">
        <v>7</v>
      </c>
      <c r="O17" s="385"/>
      <c r="P17" s="385"/>
      <c r="Q17" s="385"/>
      <c r="R17" s="386"/>
      <c r="S17" s="384" t="s">
        <v>316</v>
      </c>
      <c r="T17" s="385"/>
      <c r="U17" s="386"/>
      <c r="V17" s="54"/>
      <c r="W17" s="54"/>
    </row>
    <row r="18" spans="1:37" s="56" customFormat="1" ht="14.1" customHeight="1" x14ac:dyDescent="0.35">
      <c r="A18" s="387" t="s">
        <v>241</v>
      </c>
      <c r="B18" s="388"/>
      <c r="C18" s="389"/>
      <c r="D18" s="387" t="s">
        <v>221</v>
      </c>
      <c r="E18" s="388"/>
      <c r="F18" s="388"/>
      <c r="G18" s="388"/>
      <c r="H18" s="389"/>
      <c r="I18" s="387" t="s">
        <v>211</v>
      </c>
      <c r="J18" s="388"/>
      <c r="K18" s="388"/>
      <c r="L18" s="388"/>
      <c r="M18" s="389"/>
      <c r="N18" s="387" t="s">
        <v>39</v>
      </c>
      <c r="O18" s="388"/>
      <c r="P18" s="388"/>
      <c r="Q18" s="388"/>
      <c r="R18" s="389"/>
      <c r="S18" s="412" t="s">
        <v>382</v>
      </c>
      <c r="T18" s="413"/>
      <c r="U18" s="414"/>
      <c r="V18" s="55"/>
      <c r="W18" s="55"/>
    </row>
    <row r="19" spans="1:37" s="36" customFormat="1" ht="15" customHeight="1" x14ac:dyDescent="0.35">
      <c r="A19" s="390" t="s">
        <v>242</v>
      </c>
      <c r="B19" s="391"/>
      <c r="C19" s="392"/>
      <c r="D19" s="390" t="s">
        <v>243</v>
      </c>
      <c r="E19" s="391"/>
      <c r="F19" s="391"/>
      <c r="G19" s="391"/>
      <c r="H19" s="392"/>
      <c r="I19" s="390" t="s">
        <v>243</v>
      </c>
      <c r="J19" s="391"/>
      <c r="K19" s="391"/>
      <c r="L19" s="391"/>
      <c r="M19" s="392"/>
      <c r="N19" s="390" t="s">
        <v>243</v>
      </c>
      <c r="O19" s="391"/>
      <c r="P19" s="391"/>
      <c r="Q19" s="391"/>
      <c r="R19" s="392"/>
      <c r="S19" s="390"/>
      <c r="T19" s="391"/>
      <c r="U19" s="392"/>
      <c r="V19" s="54"/>
      <c r="W19" s="54"/>
    </row>
    <row r="20" spans="1:37" s="43" customFormat="1" ht="18" customHeight="1" x14ac:dyDescent="0.35">
      <c r="A20" s="382">
        <f>'INPUT DATA'!H49</f>
        <v>0</v>
      </c>
      <c r="B20" s="382"/>
      <c r="C20" s="382"/>
      <c r="D20" s="383">
        <f>'INPUT DATA'!J49</f>
        <v>0</v>
      </c>
      <c r="E20" s="383"/>
      <c r="F20" s="383"/>
      <c r="G20" s="383"/>
      <c r="H20" s="383"/>
      <c r="I20" s="377">
        <f ca="1">'INPUT DATA'!Q49</f>
        <v>7.9000000000000001E-2</v>
      </c>
      <c r="J20" s="377"/>
      <c r="K20" s="377"/>
      <c r="L20" s="377"/>
      <c r="M20" s="378"/>
      <c r="N20" s="379">
        <f ca="1">I20-D20</f>
        <v>7.9000000000000001E-2</v>
      </c>
      <c r="O20" s="380"/>
      <c r="P20" s="380"/>
      <c r="Q20" s="380"/>
      <c r="R20" s="381"/>
      <c r="S20" s="409" t="str">
        <f ca="1">IF(N20&lt;2,"Pass","Fail")</f>
        <v>Pass</v>
      </c>
      <c r="T20" s="410"/>
      <c r="U20" s="411"/>
      <c r="V20" s="60"/>
      <c r="W20" s="60"/>
    </row>
    <row r="21" spans="1:37" s="43" customFormat="1" ht="18" customHeight="1" x14ac:dyDescent="0.35">
      <c r="A21" s="382">
        <f>'INPUT DATA'!H50</f>
        <v>0</v>
      </c>
      <c r="B21" s="382"/>
      <c r="C21" s="382"/>
      <c r="D21" s="383">
        <f>'INPUT DATA'!J50</f>
        <v>0</v>
      </c>
      <c r="E21" s="383"/>
      <c r="F21" s="383"/>
      <c r="G21" s="383"/>
      <c r="H21" s="383"/>
      <c r="I21" s="377">
        <f ca="1">'INPUT DATA'!Q50</f>
        <v>7.9000000000000001E-2</v>
      </c>
      <c r="J21" s="377"/>
      <c r="K21" s="377"/>
      <c r="L21" s="377"/>
      <c r="M21" s="378"/>
      <c r="N21" s="379">
        <f t="shared" ref="N21:N25" ca="1" si="0">I21-D21</f>
        <v>7.9000000000000001E-2</v>
      </c>
      <c r="O21" s="380"/>
      <c r="P21" s="380"/>
      <c r="Q21" s="380"/>
      <c r="R21" s="381"/>
      <c r="S21" s="409" t="str">
        <f t="shared" ref="S21:S25" ca="1" si="1">IF(N21&lt;2,"Pass","Fail")</f>
        <v>Pass</v>
      </c>
      <c r="T21" s="410"/>
      <c r="U21" s="411"/>
      <c r="V21" s="60"/>
      <c r="W21" s="60"/>
    </row>
    <row r="22" spans="1:37" s="43" customFormat="1" ht="18" customHeight="1" x14ac:dyDescent="0.35">
      <c r="A22" s="382">
        <f>'INPUT DATA'!H51</f>
        <v>0</v>
      </c>
      <c r="B22" s="382"/>
      <c r="C22" s="382"/>
      <c r="D22" s="383">
        <f>'INPUT DATA'!J51</f>
        <v>0</v>
      </c>
      <c r="E22" s="383"/>
      <c r="F22" s="383"/>
      <c r="G22" s="383"/>
      <c r="H22" s="383"/>
      <c r="I22" s="377">
        <f ca="1">'INPUT DATA'!Q51</f>
        <v>7.9000000000000001E-2</v>
      </c>
      <c r="J22" s="377"/>
      <c r="K22" s="377"/>
      <c r="L22" s="377"/>
      <c r="M22" s="378"/>
      <c r="N22" s="379">
        <f t="shared" ca="1" si="0"/>
        <v>7.9000000000000001E-2</v>
      </c>
      <c r="O22" s="380"/>
      <c r="P22" s="380"/>
      <c r="Q22" s="380"/>
      <c r="R22" s="381"/>
      <c r="S22" s="409" t="str">
        <f t="shared" ca="1" si="1"/>
        <v>Pass</v>
      </c>
      <c r="T22" s="410"/>
      <c r="U22" s="411"/>
      <c r="V22" s="60"/>
      <c r="W22" s="60"/>
    </row>
    <row r="23" spans="1:37" s="43" customFormat="1" ht="18" customHeight="1" x14ac:dyDescent="0.35">
      <c r="A23" s="382">
        <f>'INPUT DATA'!H52</f>
        <v>0</v>
      </c>
      <c r="B23" s="382"/>
      <c r="C23" s="382"/>
      <c r="D23" s="383">
        <f>'INPUT DATA'!J52</f>
        <v>0</v>
      </c>
      <c r="E23" s="383"/>
      <c r="F23" s="383"/>
      <c r="G23" s="383"/>
      <c r="H23" s="383"/>
      <c r="I23" s="377">
        <f ca="1">'INPUT DATA'!Q52</f>
        <v>7.9000000000000001E-2</v>
      </c>
      <c r="J23" s="377"/>
      <c r="K23" s="377"/>
      <c r="L23" s="377"/>
      <c r="M23" s="378"/>
      <c r="N23" s="379">
        <f t="shared" ca="1" si="0"/>
        <v>7.9000000000000001E-2</v>
      </c>
      <c r="O23" s="380"/>
      <c r="P23" s="380"/>
      <c r="Q23" s="380"/>
      <c r="R23" s="381"/>
      <c r="S23" s="409" t="str">
        <f t="shared" ca="1" si="1"/>
        <v>Pass</v>
      </c>
      <c r="T23" s="410"/>
      <c r="U23" s="411"/>
      <c r="V23" s="60"/>
      <c r="W23" s="60"/>
    </row>
    <row r="24" spans="1:37" s="43" customFormat="1" ht="18" customHeight="1" x14ac:dyDescent="0.35">
      <c r="A24" s="382">
        <f>'INPUT DATA'!H53</f>
        <v>0</v>
      </c>
      <c r="B24" s="382"/>
      <c r="C24" s="382"/>
      <c r="D24" s="383">
        <f>'INPUT DATA'!J53</f>
        <v>0</v>
      </c>
      <c r="E24" s="383"/>
      <c r="F24" s="383"/>
      <c r="G24" s="383"/>
      <c r="H24" s="383"/>
      <c r="I24" s="377">
        <f ca="1">'INPUT DATA'!Q53</f>
        <v>7.9000000000000001E-2</v>
      </c>
      <c r="J24" s="377"/>
      <c r="K24" s="377"/>
      <c r="L24" s="377"/>
      <c r="M24" s="378"/>
      <c r="N24" s="379">
        <f t="shared" ca="1" si="0"/>
        <v>7.9000000000000001E-2</v>
      </c>
      <c r="O24" s="380"/>
      <c r="P24" s="380"/>
      <c r="Q24" s="380"/>
      <c r="R24" s="381"/>
      <c r="S24" s="409" t="str">
        <f t="shared" ca="1" si="1"/>
        <v>Pass</v>
      </c>
      <c r="T24" s="410"/>
      <c r="U24" s="411"/>
      <c r="V24" s="60"/>
      <c r="W24" s="60"/>
    </row>
    <row r="25" spans="1:37" s="43" customFormat="1" ht="18" customHeight="1" x14ac:dyDescent="0.35">
      <c r="A25" s="382">
        <f>'INPUT DATA'!H54</f>
        <v>0</v>
      </c>
      <c r="B25" s="382"/>
      <c r="C25" s="382"/>
      <c r="D25" s="383">
        <f>'INPUT DATA'!J54</f>
        <v>0</v>
      </c>
      <c r="E25" s="383"/>
      <c r="F25" s="383"/>
      <c r="G25" s="383"/>
      <c r="H25" s="383"/>
      <c r="I25" s="377">
        <f ca="1">'INPUT DATA'!Q54</f>
        <v>7.9000000000000001E-2</v>
      </c>
      <c r="J25" s="377"/>
      <c r="K25" s="377"/>
      <c r="L25" s="377"/>
      <c r="M25" s="378"/>
      <c r="N25" s="379">
        <f t="shared" ca="1" si="0"/>
        <v>7.9000000000000001E-2</v>
      </c>
      <c r="O25" s="380"/>
      <c r="P25" s="380"/>
      <c r="Q25" s="380"/>
      <c r="R25" s="381"/>
      <c r="S25" s="409" t="str">
        <f t="shared" ca="1" si="1"/>
        <v>Pass</v>
      </c>
      <c r="T25" s="410"/>
      <c r="U25" s="411"/>
      <c r="V25" s="60"/>
      <c r="W25" s="60"/>
    </row>
    <row r="26" spans="1:37" s="43" customFormat="1" ht="7.5" customHeight="1" x14ac:dyDescent="0.25">
      <c r="A26" s="59"/>
      <c r="B26" s="59"/>
      <c r="C26" s="59"/>
      <c r="D26"/>
      <c r="E26"/>
      <c r="F26"/>
      <c r="G26"/>
      <c r="H26"/>
      <c r="I26"/>
      <c r="J26"/>
      <c r="K26" s="124"/>
      <c r="L26" s="124"/>
      <c r="M26" s="124"/>
      <c r="N26"/>
      <c r="O26"/>
      <c r="P26"/>
      <c r="Q26"/>
      <c r="R26"/>
      <c r="S26" s="59"/>
      <c r="T26" s="59"/>
      <c r="U26" s="59"/>
      <c r="V26" s="60"/>
      <c r="W26" s="60"/>
    </row>
    <row r="27" spans="1:37" s="36" customFormat="1" ht="14.1" customHeight="1" x14ac:dyDescent="0.35">
      <c r="A27" s="57"/>
      <c r="B27" s="403" t="s">
        <v>244</v>
      </c>
      <c r="C27" s="403"/>
      <c r="D27" s="403"/>
      <c r="E27" s="403"/>
      <c r="F27" s="403"/>
      <c r="G27" s="403"/>
      <c r="H27" s="404" t="s">
        <v>12</v>
      </c>
      <c r="I27" s="406">
        <f ca="1">KETIDAKPASTIAN!J34</f>
        <v>0.1457103980802826</v>
      </c>
      <c r="J27" s="406"/>
      <c r="K27" s="407" t="s">
        <v>255</v>
      </c>
      <c r="L27" s="407"/>
      <c r="M27" s="125"/>
      <c r="N27" s="57"/>
      <c r="O27" s="57"/>
      <c r="P27" s="57"/>
      <c r="Q27" s="57"/>
      <c r="R27" s="57"/>
      <c r="S27" s="57"/>
      <c r="T27" s="54"/>
      <c r="U27" s="54"/>
    </row>
    <row r="28" spans="1:37" s="120" customFormat="1" ht="15" customHeight="1" x14ac:dyDescent="0.35">
      <c r="A28" s="57"/>
      <c r="B28" s="408" t="s">
        <v>222</v>
      </c>
      <c r="C28" s="408"/>
      <c r="D28" s="408"/>
      <c r="E28" s="408"/>
      <c r="F28" s="408"/>
      <c r="G28" s="408"/>
      <c r="H28" s="405"/>
      <c r="I28" s="406"/>
      <c r="J28" s="406"/>
      <c r="K28" s="407"/>
      <c r="L28" s="407"/>
      <c r="M28" s="125"/>
      <c r="N28" s="57"/>
      <c r="O28" s="57"/>
      <c r="P28" s="57"/>
      <c r="Q28" s="57"/>
      <c r="R28" s="57"/>
      <c r="S28" s="57"/>
      <c r="T28" s="54"/>
      <c r="U28" s="54"/>
    </row>
    <row r="29" spans="1:37" s="56" customFormat="1" ht="8.4" customHeight="1" x14ac:dyDescent="0.35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5"/>
      <c r="W29" s="55"/>
    </row>
    <row r="30" spans="1:37" s="104" customFormat="1" ht="12.9" customHeight="1" x14ac:dyDescent="0.25">
      <c r="A30" s="102" t="s">
        <v>40</v>
      </c>
      <c r="B30" s="103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</row>
    <row r="31" spans="1:37" s="104" customFormat="1" ht="11.1" customHeight="1" x14ac:dyDescent="0.25">
      <c r="A31" s="104" t="s">
        <v>261</v>
      </c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5"/>
    </row>
    <row r="32" spans="1:37" s="104" customFormat="1" ht="11.1" customHeight="1" x14ac:dyDescent="0.25">
      <c r="A32" s="106" t="s">
        <v>262</v>
      </c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5"/>
    </row>
    <row r="33" spans="1:37" s="104" customFormat="1" ht="5.0999999999999996" customHeight="1" x14ac:dyDescent="0.25"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</row>
    <row r="34" spans="1:37" s="104" customFormat="1" ht="11.1" customHeight="1" x14ac:dyDescent="0.25">
      <c r="A34" s="104" t="s">
        <v>73</v>
      </c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</row>
    <row r="35" spans="1:37" s="104" customFormat="1" ht="11.1" customHeight="1" x14ac:dyDescent="0.25">
      <c r="A35" s="106" t="s">
        <v>74</v>
      </c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</row>
    <row r="36" spans="1:37" s="104" customFormat="1" ht="5.0999999999999996" customHeight="1" x14ac:dyDescent="0.25"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</row>
    <row r="37" spans="1:37" s="104" customFormat="1" ht="11.1" customHeight="1" x14ac:dyDescent="0.25">
      <c r="A37" s="104" t="s">
        <v>106</v>
      </c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</row>
    <row r="38" spans="1:37" s="104" customFormat="1" ht="11.1" customHeight="1" x14ac:dyDescent="0.25">
      <c r="A38" s="106" t="s">
        <v>107</v>
      </c>
      <c r="B38" s="106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</row>
    <row r="39" spans="1:37" ht="14.1" customHeight="1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</row>
    <row r="40" spans="1:37" ht="14.1" customHeight="1" x14ac:dyDescent="0.25">
      <c r="A40" s="402" t="s">
        <v>260</v>
      </c>
      <c r="B40" s="402"/>
      <c r="C40" s="402"/>
      <c r="D40" s="402"/>
      <c r="E40" s="402"/>
      <c r="F40" s="402"/>
      <c r="G40" s="402"/>
      <c r="H40" s="402"/>
      <c r="I40" s="402"/>
      <c r="J40" s="402"/>
      <c r="K40" s="402"/>
      <c r="L40" s="402"/>
      <c r="M40" s="402"/>
      <c r="N40" s="402"/>
      <c r="O40" s="402"/>
      <c r="P40" s="402"/>
      <c r="Q40" s="402"/>
      <c r="R40" s="402"/>
      <c r="S40" s="402"/>
      <c r="T40" s="402"/>
      <c r="U40" s="402"/>
    </row>
    <row r="41" spans="1:37" ht="14.1" customHeight="1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</row>
    <row r="42" spans="1:37" ht="14.1" customHeight="1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</row>
    <row r="43" spans="1:37" ht="14.1" customHeight="1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</row>
    <row r="44" spans="1:37" ht="14.1" customHeight="1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</row>
    <row r="45" spans="1:37" ht="14.1" customHeight="1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</row>
    <row r="46" spans="1:37" ht="14.1" customHeight="1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37" ht="14.1" customHeight="1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8" spans="1:37" ht="14.1" customHeight="1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</row>
  </sheetData>
  <mergeCells count="77">
    <mergeCell ref="S22:U22"/>
    <mergeCell ref="S23:U23"/>
    <mergeCell ref="S24:U24"/>
    <mergeCell ref="S17:U17"/>
    <mergeCell ref="S18:U18"/>
    <mergeCell ref="S19:U19"/>
    <mergeCell ref="S20:U20"/>
    <mergeCell ref="S21:U21"/>
    <mergeCell ref="A40:U40"/>
    <mergeCell ref="A24:C24"/>
    <mergeCell ref="D24:H24"/>
    <mergeCell ref="I24:M24"/>
    <mergeCell ref="N24:R24"/>
    <mergeCell ref="A25:C25"/>
    <mergeCell ref="D25:H25"/>
    <mergeCell ref="I25:M25"/>
    <mergeCell ref="N25:R25"/>
    <mergeCell ref="B27:G27"/>
    <mergeCell ref="H27:H28"/>
    <mergeCell ref="I27:J28"/>
    <mergeCell ref="K27:L28"/>
    <mergeCell ref="B28:G28"/>
    <mergeCell ref="S25:U25"/>
    <mergeCell ref="A22:C22"/>
    <mergeCell ref="D22:H22"/>
    <mergeCell ref="I22:M22"/>
    <mergeCell ref="N22:R22"/>
    <mergeCell ref="A23:C23"/>
    <mergeCell ref="D23:H23"/>
    <mergeCell ref="I23:M23"/>
    <mergeCell ref="N23:R23"/>
    <mergeCell ref="A20:C20"/>
    <mergeCell ref="D20:H20"/>
    <mergeCell ref="I20:M20"/>
    <mergeCell ref="N20:R20"/>
    <mergeCell ref="A21:C21"/>
    <mergeCell ref="D21:H21"/>
    <mergeCell ref="I21:M21"/>
    <mergeCell ref="N21:R21"/>
    <mergeCell ref="A18:C18"/>
    <mergeCell ref="D18:H18"/>
    <mergeCell ref="I18:M18"/>
    <mergeCell ref="N18:R18"/>
    <mergeCell ref="A19:C19"/>
    <mergeCell ref="D19:H19"/>
    <mergeCell ref="I19:M19"/>
    <mergeCell ref="N19:R19"/>
    <mergeCell ref="A13:U13"/>
    <mergeCell ref="A14:U14"/>
    <mergeCell ref="A17:C17"/>
    <mergeCell ref="D17:H17"/>
    <mergeCell ref="I17:M17"/>
    <mergeCell ref="N17:R17"/>
    <mergeCell ref="A8:D8"/>
    <mergeCell ref="F8:U8"/>
    <mergeCell ref="A10:D10"/>
    <mergeCell ref="P10:U10"/>
    <mergeCell ref="A11:D11"/>
    <mergeCell ref="F11:O12"/>
    <mergeCell ref="A5:D5"/>
    <mergeCell ref="F5:O5"/>
    <mergeCell ref="A6:D6"/>
    <mergeCell ref="F6:O6"/>
    <mergeCell ref="A7:D7"/>
    <mergeCell ref="F7:O7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F3:N3"/>
    <mergeCell ref="O3:P3"/>
    <mergeCell ref="S3:T3"/>
  </mergeCells>
  <printOptions horizontalCentered="1"/>
  <pageMargins left="0.5" right="0.5" top="1.2" bottom="0.8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workbookViewId="0">
      <selection activeCell="P19" sqref="P19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85121-E93C-4F47-A156-2F8CD4885F1C}">
  <sheetPr codeName="Sheet11"/>
  <dimension ref="A1:J321"/>
  <sheetViews>
    <sheetView view="pageBreakPreview" topLeftCell="A307" zoomScale="80" zoomScaleNormal="80" zoomScaleSheetLayoutView="80" workbookViewId="0">
      <selection activeCell="D318" sqref="D318"/>
    </sheetView>
  </sheetViews>
  <sheetFormatPr defaultColWidth="9.33203125" defaultRowHeight="16.2" customHeight="1" x14ac:dyDescent="0.25"/>
  <cols>
    <col min="1" max="1" width="4.5546875" style="68" customWidth="1"/>
    <col min="2" max="2" width="16" style="68" customWidth="1"/>
    <col min="3" max="3" width="15.44140625" style="68" customWidth="1"/>
    <col min="4" max="4" width="13.5546875" style="68" customWidth="1"/>
    <col min="5" max="5" width="9.6640625" style="68" customWidth="1"/>
    <col min="6" max="6" width="5" style="68" customWidth="1"/>
    <col min="7" max="8" width="13.5546875" style="68" customWidth="1"/>
    <col min="9" max="9" width="18.44140625" style="68" customWidth="1"/>
    <col min="10" max="10" width="9.5546875" style="68" customWidth="1"/>
    <col min="11" max="16384" width="9.33203125" style="68"/>
  </cols>
  <sheetData>
    <row r="1" spans="1:10" s="61" customFormat="1" ht="16.2" customHeight="1" x14ac:dyDescent="0.25">
      <c r="B1" s="61" t="s">
        <v>172</v>
      </c>
    </row>
    <row r="3" spans="1:10" s="63" customFormat="1" ht="16.2" customHeight="1" x14ac:dyDescent="0.25">
      <c r="B3" s="62" t="s">
        <v>85</v>
      </c>
      <c r="C3" s="419" t="s">
        <v>230</v>
      </c>
      <c r="D3" s="420"/>
      <c r="G3" s="64" t="s">
        <v>86</v>
      </c>
      <c r="H3" s="65"/>
      <c r="I3" s="421" t="s">
        <v>412</v>
      </c>
      <c r="J3" s="422"/>
    </row>
    <row r="4" spans="1:10" s="63" customFormat="1" ht="16.2" customHeight="1" x14ac:dyDescent="0.25">
      <c r="B4" s="62" t="s">
        <v>173</v>
      </c>
      <c r="C4" s="420" t="s">
        <v>231</v>
      </c>
      <c r="D4" s="420"/>
      <c r="G4" s="64" t="s">
        <v>87</v>
      </c>
      <c r="H4" s="65"/>
      <c r="I4" s="67" t="s">
        <v>250</v>
      </c>
      <c r="J4" s="66"/>
    </row>
    <row r="5" spans="1:10" s="63" customFormat="1" ht="16.2" customHeight="1" x14ac:dyDescent="0.25">
      <c r="B5" s="62" t="s">
        <v>174</v>
      </c>
      <c r="C5" s="423" t="s">
        <v>232</v>
      </c>
      <c r="D5" s="423"/>
    </row>
    <row r="6" spans="1:10" ht="15.6" customHeight="1" x14ac:dyDescent="0.25"/>
    <row r="7" spans="1:10" s="63" customFormat="1" ht="16.2" customHeight="1" x14ac:dyDescent="0.25">
      <c r="B7" s="424" t="s">
        <v>175</v>
      </c>
      <c r="C7" s="425"/>
      <c r="D7" s="426"/>
      <c r="G7" s="424" t="s">
        <v>176</v>
      </c>
      <c r="H7" s="425"/>
      <c r="I7" s="426"/>
    </row>
    <row r="8" spans="1:10" s="70" customFormat="1" ht="27" customHeight="1" x14ac:dyDescent="0.25">
      <c r="B8" s="69" t="s">
        <v>177</v>
      </c>
      <c r="C8" s="69" t="s">
        <v>88</v>
      </c>
      <c r="D8" s="69" t="s">
        <v>178</v>
      </c>
      <c r="G8" s="69" t="s">
        <v>177</v>
      </c>
      <c r="H8" s="69" t="s">
        <v>88</v>
      </c>
      <c r="I8" s="69" t="s">
        <v>178</v>
      </c>
    </row>
    <row r="9" spans="1:10" s="70" customFormat="1" ht="16.2" customHeight="1" x14ac:dyDescent="0.25">
      <c r="B9" s="69" t="s">
        <v>179</v>
      </c>
      <c r="C9" s="69" t="s">
        <v>179</v>
      </c>
      <c r="D9" s="69" t="s">
        <v>179</v>
      </c>
      <c r="G9" s="69" t="s">
        <v>47</v>
      </c>
      <c r="H9" s="69" t="s">
        <v>47</v>
      </c>
      <c r="I9" s="69" t="s">
        <v>47</v>
      </c>
    </row>
    <row r="10" spans="1:10" s="72" customFormat="1" ht="16.2" customHeight="1" x14ac:dyDescent="0.25">
      <c r="A10" s="72">
        <v>15</v>
      </c>
      <c r="B10" s="212">
        <v>15.8</v>
      </c>
      <c r="C10" s="212">
        <v>0.8</v>
      </c>
      <c r="D10" s="415">
        <v>0.57999999999999996</v>
      </c>
      <c r="F10" s="72">
        <v>30</v>
      </c>
      <c r="G10" s="212">
        <v>26</v>
      </c>
      <c r="H10" s="212">
        <v>-1</v>
      </c>
      <c r="I10" s="418">
        <v>3</v>
      </c>
    </row>
    <row r="11" spans="1:10" s="72" customFormat="1" ht="16.2" customHeight="1" x14ac:dyDescent="0.25">
      <c r="A11" s="72">
        <v>20</v>
      </c>
      <c r="B11" s="71">
        <v>25.1</v>
      </c>
      <c r="C11" s="71">
        <v>0.3</v>
      </c>
      <c r="D11" s="416"/>
      <c r="F11" s="72">
        <v>40</v>
      </c>
      <c r="G11" s="71">
        <v>47</v>
      </c>
      <c r="H11" s="71">
        <v>1</v>
      </c>
      <c r="I11" s="418"/>
    </row>
    <row r="12" spans="1:10" s="72" customFormat="1" ht="16.2" customHeight="1" x14ac:dyDescent="0.25">
      <c r="A12" s="72">
        <v>25</v>
      </c>
      <c r="B12" s="71">
        <v>30.2</v>
      </c>
      <c r="C12" s="71">
        <v>0.3</v>
      </c>
      <c r="D12" s="416"/>
      <c r="F12" s="72">
        <v>50</v>
      </c>
      <c r="G12" s="71">
        <v>56</v>
      </c>
      <c r="H12" s="71">
        <v>2</v>
      </c>
      <c r="I12" s="418"/>
    </row>
    <row r="13" spans="1:10" s="72" customFormat="1" ht="16.2" customHeight="1" x14ac:dyDescent="0.25">
      <c r="B13" s="71">
        <v>40.4</v>
      </c>
      <c r="C13" s="71">
        <v>0.2</v>
      </c>
      <c r="D13" s="416"/>
      <c r="G13" s="71">
        <v>84</v>
      </c>
      <c r="H13" s="71">
        <v>2</v>
      </c>
      <c r="I13" s="418"/>
    </row>
    <row r="14" spans="1:10" ht="16.2" customHeight="1" x14ac:dyDescent="0.25">
      <c r="B14" s="159"/>
      <c r="C14" s="159"/>
      <c r="D14" s="416"/>
      <c r="E14" s="72"/>
      <c r="F14" s="72"/>
      <c r="G14" s="71"/>
      <c r="H14" s="71"/>
      <c r="I14" s="418"/>
    </row>
    <row r="15" spans="1:10" ht="16.2" customHeight="1" x14ac:dyDescent="0.25">
      <c r="B15" s="127">
        <f>B312</f>
        <v>20</v>
      </c>
      <c r="C15" s="73">
        <f ca="1">FORECAST(B15,OFFSET($C$10:$C$13,MATCH(B15,$B$10:$B$13,1)-1,0,2),OFFSET($B$10:$B$13,MATCH(B15,$B$10:$B$13,1)-1,0,2))</f>
        <v>0.57419354838709702</v>
      </c>
      <c r="D15" s="417"/>
      <c r="G15" s="73">
        <f>G312</f>
        <v>50</v>
      </c>
      <c r="H15" s="73">
        <f ca="1">FORECAST(G15,OFFSET($H$10:$H$13,MATCH(G15,$G$10:$G$13,1)-1,0,2),OFFSET($G$10:$G$13,MATCH(G15,$G$10:$G$13,1)-1,0,2))</f>
        <v>1.333333333333333</v>
      </c>
      <c r="I15" s="418"/>
    </row>
    <row r="16" spans="1:10" ht="16.2" customHeight="1" x14ac:dyDescent="0.25">
      <c r="B16" s="72"/>
      <c r="C16" s="72"/>
      <c r="D16" s="72"/>
      <c r="E16" s="72"/>
      <c r="F16" s="72"/>
      <c r="G16" s="72"/>
      <c r="H16" s="72"/>
    </row>
    <row r="18" spans="1:10" s="63" customFormat="1" ht="16.2" customHeight="1" x14ac:dyDescent="0.25">
      <c r="B18" s="62" t="s">
        <v>85</v>
      </c>
      <c r="C18" s="419" t="s">
        <v>230</v>
      </c>
      <c r="D18" s="420"/>
      <c r="G18" s="64" t="s">
        <v>86</v>
      </c>
      <c r="H18" s="65"/>
      <c r="I18" s="421" t="s">
        <v>413</v>
      </c>
      <c r="J18" s="422"/>
    </row>
    <row r="19" spans="1:10" s="63" customFormat="1" ht="16.2" customHeight="1" x14ac:dyDescent="0.25">
      <c r="B19" s="62" t="s">
        <v>173</v>
      </c>
      <c r="C19" s="420" t="s">
        <v>231</v>
      </c>
      <c r="D19" s="420"/>
      <c r="G19" s="64" t="s">
        <v>87</v>
      </c>
      <c r="H19" s="65"/>
      <c r="I19" s="67" t="s">
        <v>250</v>
      </c>
      <c r="J19" s="66"/>
    </row>
    <row r="20" spans="1:10" s="63" customFormat="1" ht="16.2" customHeight="1" x14ac:dyDescent="0.25">
      <c r="B20" s="62" t="s">
        <v>174</v>
      </c>
      <c r="C20" s="423" t="s">
        <v>233</v>
      </c>
      <c r="D20" s="423"/>
    </row>
    <row r="21" spans="1:10" ht="15.6" customHeight="1" x14ac:dyDescent="0.25"/>
    <row r="22" spans="1:10" s="63" customFormat="1" ht="16.2" customHeight="1" x14ac:dyDescent="0.25">
      <c r="B22" s="424" t="s">
        <v>175</v>
      </c>
      <c r="C22" s="425"/>
      <c r="D22" s="426"/>
      <c r="G22" s="424" t="s">
        <v>176</v>
      </c>
      <c r="H22" s="425"/>
      <c r="I22" s="426"/>
    </row>
    <row r="23" spans="1:10" s="70" customFormat="1" ht="27" customHeight="1" x14ac:dyDescent="0.25">
      <c r="B23" s="69" t="s">
        <v>177</v>
      </c>
      <c r="C23" s="69" t="s">
        <v>88</v>
      </c>
      <c r="D23" s="69" t="s">
        <v>178</v>
      </c>
      <c r="G23" s="69" t="s">
        <v>177</v>
      </c>
      <c r="H23" s="69" t="s">
        <v>88</v>
      </c>
      <c r="I23" s="69" t="s">
        <v>178</v>
      </c>
    </row>
    <row r="24" spans="1:10" s="70" customFormat="1" ht="16.2" customHeight="1" x14ac:dyDescent="0.25">
      <c r="B24" s="69" t="s">
        <v>179</v>
      </c>
      <c r="C24" s="69" t="s">
        <v>179</v>
      </c>
      <c r="D24" s="69" t="s">
        <v>179</v>
      </c>
      <c r="G24" s="69" t="s">
        <v>47</v>
      </c>
      <c r="H24" s="69" t="s">
        <v>47</v>
      </c>
      <c r="I24" s="69" t="s">
        <v>47</v>
      </c>
    </row>
    <row r="25" spans="1:10" s="72" customFormat="1" ht="16.2" customHeight="1" x14ac:dyDescent="0.25">
      <c r="A25" s="211">
        <v>15</v>
      </c>
      <c r="B25" s="212">
        <f>FORECAST(A25,B26:B29,A26:A29)</f>
        <v>15.028571428571425</v>
      </c>
      <c r="C25" s="212">
        <f>FORECAST(A25,C26:C27,A26:A27)</f>
        <v>-0.2</v>
      </c>
      <c r="D25" s="427">
        <v>0.57999999999999996</v>
      </c>
      <c r="F25" s="72">
        <v>30</v>
      </c>
      <c r="G25" s="212">
        <f>FORECAST(F25,G26:G27,F26:F27)</f>
        <v>31</v>
      </c>
      <c r="H25" s="212">
        <f>FORECAST(F25,H26:H27,F26:F27)</f>
        <v>-3</v>
      </c>
      <c r="I25" s="418">
        <v>3</v>
      </c>
    </row>
    <row r="26" spans="1:10" s="72" customFormat="1" ht="16.2" customHeight="1" x14ac:dyDescent="0.25">
      <c r="A26" s="213">
        <v>20</v>
      </c>
      <c r="B26" s="71">
        <v>20</v>
      </c>
      <c r="C26" s="71">
        <v>-0.1</v>
      </c>
      <c r="D26" s="427"/>
      <c r="F26" s="72">
        <v>40</v>
      </c>
      <c r="G26" s="71">
        <v>40</v>
      </c>
      <c r="H26" s="198">
        <v>-2</v>
      </c>
      <c r="I26" s="418"/>
    </row>
    <row r="27" spans="1:10" s="72" customFormat="1" ht="16.2" customHeight="1" x14ac:dyDescent="0.25">
      <c r="A27" s="213">
        <v>25</v>
      </c>
      <c r="B27" s="71">
        <v>24.8</v>
      </c>
      <c r="C27" s="71">
        <v>0</v>
      </c>
      <c r="D27" s="427"/>
      <c r="F27" s="72">
        <v>50</v>
      </c>
      <c r="G27" s="71">
        <v>49</v>
      </c>
      <c r="H27" s="198">
        <v>-1</v>
      </c>
      <c r="I27" s="418"/>
    </row>
    <row r="28" spans="1:10" s="72" customFormat="1" ht="16.2" customHeight="1" x14ac:dyDescent="0.25">
      <c r="A28" s="213">
        <v>30</v>
      </c>
      <c r="B28" s="71">
        <v>29.4</v>
      </c>
      <c r="C28" s="71">
        <v>0.3</v>
      </c>
      <c r="D28" s="427"/>
      <c r="F28" s="72">
        <v>60</v>
      </c>
      <c r="G28" s="71">
        <v>60</v>
      </c>
      <c r="H28" s="198">
        <v>-3</v>
      </c>
      <c r="I28" s="418"/>
    </row>
    <row r="29" spans="1:10" s="72" customFormat="1" ht="16.2" customHeight="1" x14ac:dyDescent="0.25">
      <c r="A29" s="213">
        <v>40</v>
      </c>
      <c r="B29" s="71">
        <v>39.5</v>
      </c>
      <c r="C29" s="162">
        <v>1</v>
      </c>
      <c r="D29" s="427"/>
      <c r="F29" s="72">
        <v>70</v>
      </c>
      <c r="G29" s="71">
        <v>69</v>
      </c>
      <c r="H29" s="198">
        <v>-3</v>
      </c>
      <c r="I29" s="418"/>
    </row>
    <row r="30" spans="1:10" ht="16.2" customHeight="1" x14ac:dyDescent="0.25">
      <c r="A30" s="211">
        <v>50</v>
      </c>
      <c r="B30" s="212">
        <f>FORECAST(A30,B28:B29,A28:A29)</f>
        <v>49.600000000000009</v>
      </c>
      <c r="C30" s="212">
        <f>FORECAST(A30,C28:C29,A28:A29)</f>
        <v>1.7000000000000002</v>
      </c>
      <c r="D30" s="427"/>
      <c r="E30" s="72"/>
      <c r="F30" s="72">
        <v>80</v>
      </c>
      <c r="G30" s="212">
        <f>FORECAST(F30,G28:G29,F28:F29)</f>
        <v>78</v>
      </c>
      <c r="H30" s="212">
        <f>FORECAST(F30,H28:H29,F28:F29)</f>
        <v>-3</v>
      </c>
      <c r="I30" s="418"/>
    </row>
    <row r="31" spans="1:10" ht="16.2" customHeight="1" x14ac:dyDescent="0.25">
      <c r="B31" s="128">
        <f>B312</f>
        <v>20</v>
      </c>
      <c r="C31" s="73">
        <f ca="1">FORECAST(B31,OFFSET($C$25:$C$30,MATCH(B31,$B$25:$B$30,1)-1,0,2),OFFSET($B$25:$B$30,MATCH(B31,$B$25:$B$30,1)-1,0,2))</f>
        <v>-9.9999999999999978E-2</v>
      </c>
      <c r="D31" s="427"/>
      <c r="G31" s="73">
        <f>G312</f>
        <v>50</v>
      </c>
      <c r="H31" s="200">
        <f ca="1">FORECAST(G31,OFFSET($H$25:$H$30,MATCH(G31,$G$25:$G$30,1)-1,0,2),OFFSET($G$25:$G$30,MATCH(G31,$G$25:$G$30,1)-1,0,2))</f>
        <v>-1.1818181818181817</v>
      </c>
      <c r="I31" s="418"/>
    </row>
    <row r="32" spans="1:10" ht="16.2" customHeight="1" x14ac:dyDescent="0.25">
      <c r="B32" s="72"/>
      <c r="C32" s="72"/>
      <c r="D32" s="72"/>
      <c r="E32" s="72"/>
      <c r="F32" s="72"/>
      <c r="G32" s="72"/>
      <c r="H32" s="72"/>
    </row>
    <row r="34" spans="1:10" s="63" customFormat="1" ht="16.2" customHeight="1" x14ac:dyDescent="0.25">
      <c r="B34" s="62" t="s">
        <v>85</v>
      </c>
      <c r="C34" s="419" t="s">
        <v>230</v>
      </c>
      <c r="D34" s="420"/>
      <c r="G34" s="64" t="s">
        <v>86</v>
      </c>
      <c r="H34" s="65"/>
      <c r="I34" s="421" t="s">
        <v>412</v>
      </c>
      <c r="J34" s="422"/>
    </row>
    <row r="35" spans="1:10" s="63" customFormat="1" ht="16.2" customHeight="1" x14ac:dyDescent="0.25">
      <c r="B35" s="62" t="s">
        <v>173</v>
      </c>
      <c r="C35" s="420" t="s">
        <v>231</v>
      </c>
      <c r="D35" s="420"/>
      <c r="G35" s="64" t="s">
        <v>87</v>
      </c>
      <c r="H35" s="65"/>
      <c r="I35" s="67" t="s">
        <v>250</v>
      </c>
      <c r="J35" s="66"/>
    </row>
    <row r="36" spans="1:10" s="63" customFormat="1" ht="16.2" customHeight="1" x14ac:dyDescent="0.25">
      <c r="B36" s="62" t="s">
        <v>174</v>
      </c>
      <c r="C36" s="423" t="s">
        <v>234</v>
      </c>
      <c r="D36" s="423"/>
    </row>
    <row r="37" spans="1:10" ht="15.6" customHeight="1" x14ac:dyDescent="0.25"/>
    <row r="38" spans="1:10" s="63" customFormat="1" ht="16.2" customHeight="1" x14ac:dyDescent="0.25">
      <c r="B38" s="424" t="s">
        <v>175</v>
      </c>
      <c r="C38" s="425"/>
      <c r="D38" s="426"/>
      <c r="G38" s="424" t="s">
        <v>176</v>
      </c>
      <c r="H38" s="425"/>
      <c r="I38" s="426"/>
    </row>
    <row r="39" spans="1:10" s="70" customFormat="1" ht="27" customHeight="1" x14ac:dyDescent="0.25">
      <c r="B39" s="69" t="s">
        <v>177</v>
      </c>
      <c r="C39" s="69" t="s">
        <v>88</v>
      </c>
      <c r="D39" s="69" t="s">
        <v>178</v>
      </c>
      <c r="G39" s="69" t="s">
        <v>177</v>
      </c>
      <c r="H39" s="69" t="s">
        <v>88</v>
      </c>
      <c r="I39" s="69" t="s">
        <v>178</v>
      </c>
    </row>
    <row r="40" spans="1:10" s="70" customFormat="1" ht="16.2" customHeight="1" x14ac:dyDescent="0.25">
      <c r="B40" s="69" t="s">
        <v>179</v>
      </c>
      <c r="C40" s="69" t="s">
        <v>179</v>
      </c>
      <c r="D40" s="69" t="s">
        <v>179</v>
      </c>
      <c r="G40" s="69" t="s">
        <v>47</v>
      </c>
      <c r="H40" s="69" t="s">
        <v>47</v>
      </c>
      <c r="I40" s="69" t="s">
        <v>47</v>
      </c>
    </row>
    <row r="41" spans="1:10" s="72" customFormat="1" ht="16.2" customHeight="1" x14ac:dyDescent="0.25">
      <c r="A41" s="72">
        <v>15</v>
      </c>
      <c r="B41" s="212">
        <v>15.9</v>
      </c>
      <c r="C41" s="212">
        <v>0.7</v>
      </c>
      <c r="D41" s="415">
        <v>0.57999999999999996</v>
      </c>
      <c r="F41" s="72">
        <v>30</v>
      </c>
      <c r="G41" s="212">
        <v>26</v>
      </c>
      <c r="H41" s="212">
        <v>-1</v>
      </c>
      <c r="I41" s="418">
        <v>3</v>
      </c>
    </row>
    <row r="42" spans="1:10" s="72" customFormat="1" ht="16.2" customHeight="1" x14ac:dyDescent="0.25">
      <c r="A42" s="72">
        <v>20</v>
      </c>
      <c r="B42" s="71">
        <v>25.2</v>
      </c>
      <c r="C42" s="71">
        <v>0.2</v>
      </c>
      <c r="D42" s="416"/>
      <c r="F42" s="72">
        <v>40</v>
      </c>
      <c r="G42" s="71">
        <v>45</v>
      </c>
      <c r="H42" s="71">
        <v>3</v>
      </c>
      <c r="I42" s="418"/>
    </row>
    <row r="43" spans="1:10" s="72" customFormat="1" ht="16.2" customHeight="1" x14ac:dyDescent="0.25">
      <c r="A43" s="72">
        <v>25</v>
      </c>
      <c r="B43" s="71">
        <v>30.3</v>
      </c>
      <c r="C43" s="71">
        <v>0.2</v>
      </c>
      <c r="D43" s="416"/>
      <c r="F43" s="72">
        <v>50</v>
      </c>
      <c r="G43" s="71">
        <v>56</v>
      </c>
      <c r="H43" s="71">
        <v>2</v>
      </c>
      <c r="I43" s="418"/>
    </row>
    <row r="44" spans="1:10" s="72" customFormat="1" ht="16.2" customHeight="1" x14ac:dyDescent="0.25">
      <c r="A44" s="72">
        <v>30</v>
      </c>
      <c r="B44" s="71">
        <v>40.4</v>
      </c>
      <c r="C44" s="71">
        <v>0.2</v>
      </c>
      <c r="D44" s="416"/>
      <c r="G44" s="71">
        <v>84</v>
      </c>
      <c r="H44" s="71">
        <v>2</v>
      </c>
      <c r="I44" s="418"/>
    </row>
    <row r="45" spans="1:10" ht="16.2" customHeight="1" x14ac:dyDescent="0.25">
      <c r="A45" s="84">
        <v>40</v>
      </c>
      <c r="B45" s="159"/>
      <c r="C45" s="159"/>
      <c r="D45" s="416"/>
      <c r="E45" s="72"/>
      <c r="F45" s="72"/>
      <c r="G45" s="71"/>
      <c r="H45" s="71"/>
      <c r="I45" s="418"/>
    </row>
    <row r="46" spans="1:10" ht="16.2" customHeight="1" x14ac:dyDescent="0.25">
      <c r="B46" s="129">
        <f>B312</f>
        <v>20</v>
      </c>
      <c r="C46" s="73">
        <f ca="1">FORECAST(B46,OFFSET($C$41:$C$44,MATCH(B46,$B$41:$B$44,1)-1,0,2),OFFSET($B$41:$B$44,MATCH(B46,$B$41:$B$44,1)-1,0,2))</f>
        <v>0.47956989247311821</v>
      </c>
      <c r="D46" s="417"/>
      <c r="G46" s="73">
        <f>G312</f>
        <v>50</v>
      </c>
      <c r="H46" s="73">
        <f ca="1">FORECAST(G46,OFFSET($H$41:$H$44,MATCH(G46,$G$41:$G$44,1)-1,0,2),OFFSET($G$41:$G$44,MATCH(G46,$G$41:$G$44,1)-1,0,2))</f>
        <v>2.545454545454545</v>
      </c>
      <c r="I46" s="418"/>
    </row>
    <row r="47" spans="1:10" ht="16.2" customHeight="1" x14ac:dyDescent="0.25">
      <c r="B47" s="72"/>
      <c r="C47" s="72"/>
      <c r="D47" s="72"/>
      <c r="E47" s="72"/>
      <c r="F47" s="72"/>
      <c r="G47" s="72"/>
      <c r="H47" s="72"/>
    </row>
    <row r="49" spans="1:10" s="63" customFormat="1" ht="16.2" customHeight="1" x14ac:dyDescent="0.25">
      <c r="B49" s="62" t="s">
        <v>85</v>
      </c>
      <c r="C49" s="419" t="s">
        <v>230</v>
      </c>
      <c r="D49" s="420"/>
      <c r="G49" s="64" t="s">
        <v>86</v>
      </c>
      <c r="H49" s="65"/>
      <c r="I49" s="421">
        <v>45792</v>
      </c>
      <c r="J49" s="422"/>
    </row>
    <row r="50" spans="1:10" s="63" customFormat="1" ht="16.2" customHeight="1" x14ac:dyDescent="0.25">
      <c r="B50" s="62" t="s">
        <v>173</v>
      </c>
      <c r="C50" s="420" t="s">
        <v>231</v>
      </c>
      <c r="D50" s="420"/>
      <c r="G50" s="64" t="s">
        <v>87</v>
      </c>
      <c r="H50" s="65"/>
      <c r="I50" s="67" t="s">
        <v>250</v>
      </c>
      <c r="J50" s="66"/>
    </row>
    <row r="51" spans="1:10" s="63" customFormat="1" ht="16.2" customHeight="1" x14ac:dyDescent="0.25">
      <c r="B51" s="62" t="s">
        <v>174</v>
      </c>
      <c r="C51" s="428" t="s">
        <v>235</v>
      </c>
      <c r="D51" s="428"/>
    </row>
    <row r="52" spans="1:10" ht="15.6" customHeight="1" x14ac:dyDescent="0.25"/>
    <row r="53" spans="1:10" s="63" customFormat="1" ht="16.2" customHeight="1" x14ac:dyDescent="0.25">
      <c r="B53" s="424" t="s">
        <v>175</v>
      </c>
      <c r="C53" s="425"/>
      <c r="D53" s="426"/>
      <c r="G53" s="424" t="s">
        <v>176</v>
      </c>
      <c r="H53" s="425"/>
      <c r="I53" s="426"/>
    </row>
    <row r="54" spans="1:10" s="70" customFormat="1" ht="27" customHeight="1" x14ac:dyDescent="0.25">
      <c r="B54" s="69" t="s">
        <v>177</v>
      </c>
      <c r="C54" s="69" t="s">
        <v>88</v>
      </c>
      <c r="D54" s="69" t="s">
        <v>178</v>
      </c>
      <c r="G54" s="69" t="s">
        <v>177</v>
      </c>
      <c r="H54" s="69" t="s">
        <v>88</v>
      </c>
      <c r="I54" s="69" t="s">
        <v>178</v>
      </c>
    </row>
    <row r="55" spans="1:10" s="70" customFormat="1" ht="16.2" customHeight="1" x14ac:dyDescent="0.25">
      <c r="B55" s="69" t="s">
        <v>179</v>
      </c>
      <c r="C55" s="69" t="s">
        <v>179</v>
      </c>
      <c r="D55" s="69" t="s">
        <v>179</v>
      </c>
      <c r="G55" s="69" t="s">
        <v>47</v>
      </c>
      <c r="H55" s="69" t="s">
        <v>47</v>
      </c>
      <c r="I55" s="69" t="s">
        <v>47</v>
      </c>
    </row>
    <row r="56" spans="1:10" s="72" customFormat="1" ht="16.2" customHeight="1" x14ac:dyDescent="0.25">
      <c r="A56" s="72">
        <v>15</v>
      </c>
      <c r="B56" s="212">
        <f>FORECAST(A56,B57:B58,A57:A58)</f>
        <v>17.100000000000001</v>
      </c>
      <c r="C56" s="212">
        <f>FORECAST(A56,C57:C58,A57:A58)</f>
        <v>-1.2999999999999996</v>
      </c>
      <c r="D56" s="427">
        <v>0.57999999999999996</v>
      </c>
      <c r="F56" s="72">
        <v>30</v>
      </c>
      <c r="G56" s="212">
        <f>FORECAST(F56,G57:G58,F57:F58)</f>
        <v>28.999999999999993</v>
      </c>
      <c r="H56" s="212">
        <f>FORECAST(F56,H57:H58,F57:F58)</f>
        <v>-3</v>
      </c>
      <c r="I56" s="418">
        <v>3</v>
      </c>
    </row>
    <row r="57" spans="1:10" s="72" customFormat="1" ht="16.2" customHeight="1" x14ac:dyDescent="0.25">
      <c r="A57" s="72">
        <v>20</v>
      </c>
      <c r="B57" s="71">
        <v>21.8</v>
      </c>
      <c r="C57" s="71">
        <v>-1.2</v>
      </c>
      <c r="D57" s="427"/>
      <c r="F57" s="72">
        <v>40</v>
      </c>
      <c r="G57" s="71">
        <v>40</v>
      </c>
      <c r="H57" s="71">
        <v>-2</v>
      </c>
      <c r="I57" s="418"/>
    </row>
    <row r="58" spans="1:10" s="72" customFormat="1" ht="16.2" customHeight="1" x14ac:dyDescent="0.25">
      <c r="A58" s="72">
        <v>25</v>
      </c>
      <c r="B58" s="71">
        <v>26.5</v>
      </c>
      <c r="C58" s="71">
        <v>-1.1000000000000001</v>
      </c>
      <c r="D58" s="427"/>
      <c r="F58" s="72">
        <v>50</v>
      </c>
      <c r="G58" s="71">
        <v>51</v>
      </c>
      <c r="H58" s="71">
        <v>-1</v>
      </c>
      <c r="I58" s="418"/>
    </row>
    <row r="59" spans="1:10" s="72" customFormat="1" ht="16.2" customHeight="1" x14ac:dyDescent="0.25">
      <c r="A59" s="72">
        <v>30</v>
      </c>
      <c r="B59" s="71">
        <v>30.5</v>
      </c>
      <c r="C59" s="71">
        <v>0.3</v>
      </c>
      <c r="D59" s="427"/>
      <c r="G59" s="71">
        <v>64</v>
      </c>
      <c r="H59" s="71">
        <v>-4</v>
      </c>
      <c r="I59" s="418"/>
    </row>
    <row r="60" spans="1:10" s="72" customFormat="1" ht="16.2" customHeight="1" x14ac:dyDescent="0.25">
      <c r="A60" s="214">
        <v>40</v>
      </c>
      <c r="B60" s="71">
        <v>40</v>
      </c>
      <c r="C60" s="71">
        <v>0.6</v>
      </c>
      <c r="D60" s="427"/>
      <c r="G60" s="71">
        <v>75</v>
      </c>
      <c r="H60" s="71">
        <v>-6</v>
      </c>
      <c r="I60" s="418"/>
    </row>
    <row r="61" spans="1:10" ht="16.2" customHeight="1" x14ac:dyDescent="0.25">
      <c r="B61" s="130">
        <f>B312</f>
        <v>20</v>
      </c>
      <c r="C61" s="73">
        <f ca="1">FORECAST(B61,OFFSET($C$56:$C$60,MATCH(B61,$B$56:$B$60,1)-1,0,2),OFFSET($B$56:$B$60,MATCH(B61,$B$56:$B$60,1)-1,0,2))</f>
        <v>-1.2382978723404254</v>
      </c>
      <c r="D61" s="427"/>
      <c r="E61" s="72"/>
      <c r="F61" s="72"/>
      <c r="G61" s="73">
        <f>G312</f>
        <v>50</v>
      </c>
      <c r="H61" s="73">
        <f ca="1">FORECAST(G61,OFFSET($H$56:$H$60,MATCH(G61,$G$56:$G$60,1)-1,0,2),OFFSET($G$56:$G$60,MATCH(G61,$G$56:$G$60,1)-1,0,2))</f>
        <v>-1.0909090909090908</v>
      </c>
      <c r="I61" s="418"/>
    </row>
    <row r="62" spans="1:10" ht="16.2" customHeight="1" x14ac:dyDescent="0.25">
      <c r="D62" s="163"/>
      <c r="I62" s="161"/>
    </row>
    <row r="63" spans="1:10" ht="16.2" customHeight="1" x14ac:dyDescent="0.25">
      <c r="B63" s="72"/>
      <c r="C63" s="72"/>
      <c r="D63" s="72"/>
      <c r="E63" s="72"/>
      <c r="F63" s="72"/>
      <c r="G63" s="72"/>
      <c r="H63" s="72"/>
    </row>
    <row r="65" spans="1:10" s="63" customFormat="1" ht="16.2" customHeight="1" x14ac:dyDescent="0.25">
      <c r="B65" s="62" t="s">
        <v>85</v>
      </c>
      <c r="C65" s="419" t="s">
        <v>230</v>
      </c>
      <c r="D65" s="420"/>
      <c r="G65" s="64" t="s">
        <v>86</v>
      </c>
      <c r="H65" s="65"/>
      <c r="I65" s="421" t="s">
        <v>412</v>
      </c>
      <c r="J65" s="422"/>
    </row>
    <row r="66" spans="1:10" s="63" customFormat="1" ht="16.2" customHeight="1" x14ac:dyDescent="0.25">
      <c r="B66" s="62" t="s">
        <v>173</v>
      </c>
      <c r="C66" s="420" t="s">
        <v>231</v>
      </c>
      <c r="D66" s="420"/>
      <c r="G66" s="64" t="s">
        <v>87</v>
      </c>
      <c r="H66" s="65"/>
      <c r="I66" s="67" t="s">
        <v>250</v>
      </c>
      <c r="J66" s="66"/>
    </row>
    <row r="67" spans="1:10" s="63" customFormat="1" ht="16.2" customHeight="1" x14ac:dyDescent="0.25">
      <c r="B67" s="62" t="s">
        <v>174</v>
      </c>
      <c r="C67" s="423" t="s">
        <v>236</v>
      </c>
      <c r="D67" s="423"/>
    </row>
    <row r="68" spans="1:10" ht="15.6" customHeight="1" x14ac:dyDescent="0.25"/>
    <row r="69" spans="1:10" s="63" customFormat="1" ht="16.2" customHeight="1" x14ac:dyDescent="0.25">
      <c r="B69" s="424" t="s">
        <v>175</v>
      </c>
      <c r="C69" s="425"/>
      <c r="D69" s="426"/>
      <c r="G69" s="424" t="s">
        <v>176</v>
      </c>
      <c r="H69" s="425"/>
      <c r="I69" s="426"/>
    </row>
    <row r="70" spans="1:10" s="70" customFormat="1" ht="27" customHeight="1" x14ac:dyDescent="0.25">
      <c r="B70" s="69" t="s">
        <v>177</v>
      </c>
      <c r="C70" s="69" t="s">
        <v>88</v>
      </c>
      <c r="D70" s="69" t="s">
        <v>178</v>
      </c>
      <c r="G70" s="69" t="s">
        <v>177</v>
      </c>
      <c r="H70" s="69" t="s">
        <v>88</v>
      </c>
      <c r="I70" s="69" t="s">
        <v>178</v>
      </c>
    </row>
    <row r="71" spans="1:10" s="70" customFormat="1" ht="16.2" customHeight="1" x14ac:dyDescent="0.25">
      <c r="B71" s="69" t="s">
        <v>179</v>
      </c>
      <c r="C71" s="69" t="s">
        <v>179</v>
      </c>
      <c r="D71" s="69" t="s">
        <v>179</v>
      </c>
      <c r="G71" s="69" t="s">
        <v>47</v>
      </c>
      <c r="H71" s="69" t="s">
        <v>47</v>
      </c>
      <c r="I71" s="69" t="s">
        <v>47</v>
      </c>
    </row>
    <row r="72" spans="1:10" s="72" customFormat="1" ht="16.2" customHeight="1" x14ac:dyDescent="0.25">
      <c r="A72" s="72">
        <v>15</v>
      </c>
      <c r="B72" s="71">
        <v>15.6</v>
      </c>
      <c r="C72" s="71">
        <v>1</v>
      </c>
      <c r="D72" s="415">
        <v>0.57999999999999996</v>
      </c>
      <c r="F72" s="72">
        <v>30</v>
      </c>
      <c r="G72" s="71">
        <v>21</v>
      </c>
      <c r="H72" s="71">
        <v>4</v>
      </c>
      <c r="I72" s="418">
        <v>3</v>
      </c>
    </row>
    <row r="73" spans="1:10" s="72" customFormat="1" ht="16.2" customHeight="1" x14ac:dyDescent="0.25">
      <c r="A73" s="72">
        <v>20</v>
      </c>
      <c r="B73" s="71">
        <v>25.2</v>
      </c>
      <c r="C73" s="71">
        <v>0.2</v>
      </c>
      <c r="D73" s="416"/>
      <c r="F73" s="72">
        <v>40</v>
      </c>
      <c r="G73" s="71">
        <v>40</v>
      </c>
      <c r="H73" s="71">
        <v>8</v>
      </c>
      <c r="I73" s="418"/>
    </row>
    <row r="74" spans="1:10" s="72" customFormat="1" ht="16.2" customHeight="1" x14ac:dyDescent="0.25">
      <c r="A74" s="72">
        <v>25</v>
      </c>
      <c r="B74" s="71">
        <v>30.3</v>
      </c>
      <c r="C74" s="71">
        <v>0.2</v>
      </c>
      <c r="D74" s="416"/>
      <c r="F74" s="72">
        <v>50</v>
      </c>
      <c r="G74" s="71">
        <v>51</v>
      </c>
      <c r="H74" s="71">
        <v>7</v>
      </c>
      <c r="I74" s="418"/>
    </row>
    <row r="75" spans="1:10" s="72" customFormat="1" ht="16.2" customHeight="1" x14ac:dyDescent="0.25">
      <c r="A75" s="72">
        <v>30</v>
      </c>
      <c r="B75" s="71">
        <v>40.4</v>
      </c>
      <c r="C75" s="71">
        <v>0.2</v>
      </c>
      <c r="D75" s="416"/>
      <c r="G75" s="71">
        <v>82</v>
      </c>
      <c r="H75" s="71">
        <v>4</v>
      </c>
      <c r="I75" s="418"/>
    </row>
    <row r="76" spans="1:10" ht="16.2" customHeight="1" x14ac:dyDescent="0.25">
      <c r="A76" s="214">
        <v>40</v>
      </c>
      <c r="B76" s="212"/>
      <c r="C76" s="212"/>
      <c r="D76" s="416"/>
      <c r="E76" s="72"/>
      <c r="F76" s="72"/>
      <c r="G76" s="71"/>
      <c r="H76" s="71"/>
      <c r="I76" s="418"/>
    </row>
    <row r="77" spans="1:10" ht="16.2" customHeight="1" x14ac:dyDescent="0.25">
      <c r="B77" s="73">
        <f>B312</f>
        <v>20</v>
      </c>
      <c r="C77" s="73">
        <f ca="1">FORECAST(B77,OFFSET($C$72:$C$75,MATCH(B77,$B$72:$B$75,1)-1,0,2),OFFSET($B$72:$B$75,MATCH(B77,$B$72:$B$75,1)-1,0,2))</f>
        <v>0.6333333333333333</v>
      </c>
      <c r="D77" s="417"/>
      <c r="G77" s="73">
        <f>G312</f>
        <v>50</v>
      </c>
      <c r="H77" s="73">
        <f ca="1">FORECAST(G77,OFFSET($H$72:$H$75,MATCH(G77,$G$72:$G$75,1)-1,0,2),OFFSET($G$72:$G$75,MATCH(G77,$G$72:$G$75,1)-1,0,2))</f>
        <v>7.0909090909090908</v>
      </c>
      <c r="I77" s="418"/>
    </row>
    <row r="78" spans="1:10" ht="16.2" customHeight="1" x14ac:dyDescent="0.25">
      <c r="B78" s="131"/>
      <c r="C78" s="131"/>
      <c r="D78" s="132"/>
      <c r="G78" s="131"/>
      <c r="H78" s="131"/>
      <c r="I78" s="132"/>
    </row>
    <row r="79" spans="1:10" ht="16.2" customHeight="1" x14ac:dyDescent="0.25">
      <c r="B79" s="131"/>
      <c r="C79" s="131"/>
      <c r="D79" s="132"/>
      <c r="G79" s="131"/>
      <c r="H79" s="131"/>
      <c r="I79" s="132"/>
    </row>
    <row r="80" spans="1:10" s="63" customFormat="1" ht="16.2" customHeight="1" x14ac:dyDescent="0.25">
      <c r="B80" s="62" t="s">
        <v>85</v>
      </c>
      <c r="C80" s="419" t="s">
        <v>230</v>
      </c>
      <c r="D80" s="420"/>
      <c r="G80" s="64" t="s">
        <v>86</v>
      </c>
      <c r="H80" s="65"/>
      <c r="I80" s="421" t="s">
        <v>385</v>
      </c>
      <c r="J80" s="422"/>
    </row>
    <row r="81" spans="1:10" s="63" customFormat="1" ht="16.2" customHeight="1" x14ac:dyDescent="0.25">
      <c r="B81" s="62" t="s">
        <v>173</v>
      </c>
      <c r="C81" s="420" t="s">
        <v>231</v>
      </c>
      <c r="D81" s="420"/>
      <c r="G81" s="64" t="s">
        <v>87</v>
      </c>
      <c r="H81" s="65"/>
      <c r="I81" s="67" t="s">
        <v>250</v>
      </c>
      <c r="J81" s="66"/>
    </row>
    <row r="82" spans="1:10" s="63" customFormat="1" ht="16.2" customHeight="1" x14ac:dyDescent="0.25">
      <c r="B82" s="62" t="s">
        <v>174</v>
      </c>
      <c r="C82" s="423" t="s">
        <v>237</v>
      </c>
      <c r="D82" s="423"/>
    </row>
    <row r="83" spans="1:10" ht="15.6" customHeight="1" x14ac:dyDescent="0.25"/>
    <row r="84" spans="1:10" s="63" customFormat="1" ht="16.2" customHeight="1" x14ac:dyDescent="0.25">
      <c r="B84" s="424" t="s">
        <v>175</v>
      </c>
      <c r="C84" s="425"/>
      <c r="D84" s="426"/>
      <c r="G84" s="424" t="s">
        <v>176</v>
      </c>
      <c r="H84" s="425"/>
      <c r="I84" s="426"/>
    </row>
    <row r="85" spans="1:10" s="70" customFormat="1" ht="27" customHeight="1" x14ac:dyDescent="0.25">
      <c r="B85" s="69" t="s">
        <v>177</v>
      </c>
      <c r="C85" s="69" t="s">
        <v>88</v>
      </c>
      <c r="D85" s="69" t="s">
        <v>178</v>
      </c>
      <c r="G85" s="69" t="s">
        <v>177</v>
      </c>
      <c r="H85" s="69" t="s">
        <v>88</v>
      </c>
      <c r="I85" s="69" t="s">
        <v>178</v>
      </c>
    </row>
    <row r="86" spans="1:10" s="70" customFormat="1" ht="16.2" customHeight="1" x14ac:dyDescent="0.25">
      <c r="B86" s="69" t="s">
        <v>179</v>
      </c>
      <c r="C86" s="69" t="s">
        <v>179</v>
      </c>
      <c r="D86" s="69" t="s">
        <v>179</v>
      </c>
      <c r="G86" s="69" t="s">
        <v>47</v>
      </c>
      <c r="H86" s="69" t="s">
        <v>47</v>
      </c>
      <c r="I86" s="69" t="s">
        <v>47</v>
      </c>
    </row>
    <row r="87" spans="1:10" s="72" customFormat="1" ht="16.2" customHeight="1" x14ac:dyDescent="0.25">
      <c r="A87" s="72">
        <v>15</v>
      </c>
      <c r="B87" s="212">
        <f>FORECAST(A87,B88:B89,A88:A89)</f>
        <v>16</v>
      </c>
      <c r="C87" s="212">
        <f>FORECAST(A87,C88:C89,A88:A89)</f>
        <v>-0.19999999999999996</v>
      </c>
      <c r="D87" s="415">
        <v>0.57999999999999996</v>
      </c>
      <c r="F87" s="72">
        <v>30</v>
      </c>
      <c r="G87" s="212">
        <f>FORECAST(F87,G88:G89,F88:F89)</f>
        <v>27.999999999999993</v>
      </c>
      <c r="H87" s="212">
        <f>FORECAST(F87,H88:H89,F88:F89)</f>
        <v>-2</v>
      </c>
      <c r="I87" s="429">
        <v>3</v>
      </c>
    </row>
    <row r="88" spans="1:10" s="72" customFormat="1" ht="16.2" customHeight="1" x14ac:dyDescent="0.25">
      <c r="A88" s="72">
        <v>20</v>
      </c>
      <c r="B88" s="71">
        <v>21.2</v>
      </c>
      <c r="C88" s="71">
        <v>-0.6</v>
      </c>
      <c r="D88" s="416"/>
      <c r="F88" s="72">
        <v>40</v>
      </c>
      <c r="G88" s="71">
        <v>39</v>
      </c>
      <c r="H88" s="71">
        <v>-1</v>
      </c>
      <c r="I88" s="430"/>
    </row>
    <row r="89" spans="1:10" s="72" customFormat="1" ht="16.2" customHeight="1" x14ac:dyDescent="0.25">
      <c r="A89" s="72">
        <v>25</v>
      </c>
      <c r="B89" s="71">
        <v>26.4</v>
      </c>
      <c r="C89" s="71">
        <v>-1</v>
      </c>
      <c r="D89" s="416"/>
      <c r="F89" s="72">
        <v>50</v>
      </c>
      <c r="G89" s="71">
        <v>50</v>
      </c>
      <c r="H89" s="71">
        <v>0</v>
      </c>
      <c r="I89" s="430"/>
    </row>
    <row r="90" spans="1:10" s="72" customFormat="1" ht="16.2" customHeight="1" x14ac:dyDescent="0.25">
      <c r="A90" s="72">
        <v>30</v>
      </c>
      <c r="B90" s="71">
        <v>30.8</v>
      </c>
      <c r="C90" s="71">
        <v>0</v>
      </c>
      <c r="D90" s="416"/>
      <c r="G90" s="71">
        <v>62</v>
      </c>
      <c r="H90" s="71">
        <v>-2</v>
      </c>
      <c r="I90" s="430"/>
    </row>
    <row r="91" spans="1:10" s="72" customFormat="1" ht="16.2" customHeight="1" x14ac:dyDescent="0.25">
      <c r="A91" s="214">
        <v>40</v>
      </c>
      <c r="B91" s="212">
        <v>40.200000000000003</v>
      </c>
      <c r="C91" s="212">
        <v>0.4</v>
      </c>
      <c r="D91" s="416"/>
      <c r="G91" s="71">
        <v>74</v>
      </c>
      <c r="H91" s="71">
        <v>-5</v>
      </c>
      <c r="I91" s="430"/>
    </row>
    <row r="92" spans="1:10" ht="16.2" customHeight="1" x14ac:dyDescent="0.25">
      <c r="B92" s="127">
        <f>B312</f>
        <v>20</v>
      </c>
      <c r="C92" s="73">
        <f ca="1">FORECAST(B92,OFFSET($C$87:$C$91,MATCH(B92,$B$87:$B$91,1)-1,0,2),OFFSET($B$87:$B$91,MATCH(B92,$B$87:$B$91,1)-1,0,2))</f>
        <v>-0.50769230769230766</v>
      </c>
      <c r="D92" s="416"/>
      <c r="E92" s="72"/>
      <c r="F92" s="72"/>
      <c r="G92" s="73">
        <f>G312</f>
        <v>50</v>
      </c>
      <c r="H92" s="73">
        <f ca="1">FORECAST(G92,OFFSET($H$87:$H$91,MATCH(G92,$G$87:$G$91,1)-1,0,2),OFFSET($G$87:$G$91,MATCH(G92,$G$87:$G$91,1)-1,0,2))</f>
        <v>0</v>
      </c>
      <c r="I92" s="430"/>
    </row>
    <row r="93" spans="1:10" ht="16.2" customHeight="1" x14ac:dyDescent="0.25">
      <c r="D93" s="164"/>
      <c r="I93" s="161"/>
    </row>
    <row r="94" spans="1:10" ht="16.2" customHeight="1" x14ac:dyDescent="0.25">
      <c r="B94" s="72"/>
      <c r="C94" s="72"/>
      <c r="D94" s="72"/>
      <c r="E94" s="72"/>
      <c r="F94" s="72"/>
      <c r="G94" s="72"/>
      <c r="H94" s="72"/>
    </row>
    <row r="96" spans="1:10" s="63" customFormat="1" ht="16.2" customHeight="1" x14ac:dyDescent="0.25">
      <c r="B96" s="62" t="s">
        <v>85</v>
      </c>
      <c r="C96" s="419" t="s">
        <v>230</v>
      </c>
      <c r="D96" s="420"/>
      <c r="G96" s="64" t="s">
        <v>86</v>
      </c>
      <c r="H96" s="65"/>
      <c r="I96" s="421" t="s">
        <v>412</v>
      </c>
      <c r="J96" s="422"/>
    </row>
    <row r="97" spans="2:10" s="63" customFormat="1" ht="16.2" customHeight="1" x14ac:dyDescent="0.25">
      <c r="B97" s="62" t="s">
        <v>173</v>
      </c>
      <c r="C97" s="420" t="s">
        <v>231</v>
      </c>
      <c r="D97" s="420"/>
      <c r="G97" s="64" t="s">
        <v>87</v>
      </c>
      <c r="H97" s="65"/>
      <c r="I97" s="67" t="s">
        <v>250</v>
      </c>
      <c r="J97" s="66"/>
    </row>
    <row r="98" spans="2:10" s="63" customFormat="1" ht="16.2" customHeight="1" x14ac:dyDescent="0.25">
      <c r="B98" s="62" t="s">
        <v>174</v>
      </c>
      <c r="C98" s="423" t="s">
        <v>238</v>
      </c>
      <c r="D98" s="423"/>
    </row>
    <row r="99" spans="2:10" ht="15.6" customHeight="1" x14ac:dyDescent="0.25"/>
    <row r="100" spans="2:10" s="63" customFormat="1" ht="16.2" customHeight="1" x14ac:dyDescent="0.25">
      <c r="B100" s="424" t="s">
        <v>175</v>
      </c>
      <c r="C100" s="425"/>
      <c r="D100" s="426"/>
      <c r="G100" s="424" t="s">
        <v>176</v>
      </c>
      <c r="H100" s="425"/>
      <c r="I100" s="426"/>
    </row>
    <row r="101" spans="2:10" s="70" customFormat="1" ht="27" customHeight="1" x14ac:dyDescent="0.25">
      <c r="B101" s="69" t="s">
        <v>177</v>
      </c>
      <c r="C101" s="69" t="s">
        <v>88</v>
      </c>
      <c r="D101" s="69" t="s">
        <v>178</v>
      </c>
      <c r="G101" s="69" t="s">
        <v>177</v>
      </c>
      <c r="H101" s="69" t="s">
        <v>88</v>
      </c>
      <c r="I101" s="69" t="s">
        <v>178</v>
      </c>
    </row>
    <row r="102" spans="2:10" s="70" customFormat="1" ht="16.2" customHeight="1" x14ac:dyDescent="0.25">
      <c r="B102" s="69" t="s">
        <v>179</v>
      </c>
      <c r="C102" s="69" t="s">
        <v>179</v>
      </c>
      <c r="D102" s="69" t="s">
        <v>179</v>
      </c>
      <c r="G102" s="69" t="s">
        <v>47</v>
      </c>
      <c r="H102" s="69" t="s">
        <v>47</v>
      </c>
      <c r="I102" s="69" t="s">
        <v>47</v>
      </c>
    </row>
    <row r="103" spans="2:10" s="72" customFormat="1" ht="16.2" customHeight="1" x14ac:dyDescent="0.25">
      <c r="B103" s="71">
        <v>15.7</v>
      </c>
      <c r="C103" s="71">
        <v>0.9</v>
      </c>
      <c r="D103" s="415">
        <v>0.57999999999999996</v>
      </c>
      <c r="G103" s="71">
        <v>30</v>
      </c>
      <c r="H103" s="71">
        <v>-5</v>
      </c>
      <c r="I103" s="418">
        <v>3</v>
      </c>
    </row>
    <row r="104" spans="2:10" s="72" customFormat="1" ht="16.2" customHeight="1" x14ac:dyDescent="0.25">
      <c r="B104" s="71">
        <v>24.7</v>
      </c>
      <c r="C104" s="71">
        <v>0.7</v>
      </c>
      <c r="D104" s="416"/>
      <c r="G104" s="71">
        <v>52</v>
      </c>
      <c r="H104" s="71">
        <v>-4</v>
      </c>
      <c r="I104" s="418"/>
    </row>
    <row r="105" spans="2:10" s="72" customFormat="1" ht="16.2" customHeight="1" x14ac:dyDescent="0.25">
      <c r="B105" s="71">
        <v>29.5</v>
      </c>
      <c r="C105" s="71">
        <v>1</v>
      </c>
      <c r="D105" s="416"/>
      <c r="G105" s="71">
        <v>61</v>
      </c>
      <c r="H105" s="71">
        <v>-3</v>
      </c>
      <c r="I105" s="418"/>
    </row>
    <row r="106" spans="2:10" s="72" customFormat="1" ht="16.2" customHeight="1" x14ac:dyDescent="0.25">
      <c r="B106" s="71">
        <v>39.799999999999997</v>
      </c>
      <c r="C106" s="71">
        <v>0.8</v>
      </c>
      <c r="D106" s="416"/>
      <c r="G106" s="71">
        <v>89</v>
      </c>
      <c r="H106" s="71">
        <v>-3</v>
      </c>
      <c r="I106" s="418"/>
    </row>
    <row r="107" spans="2:10" ht="16.2" customHeight="1" x14ac:dyDescent="0.25">
      <c r="B107" s="159"/>
      <c r="C107" s="159"/>
      <c r="D107" s="416"/>
      <c r="E107" s="72"/>
      <c r="F107" s="72"/>
      <c r="G107" s="71"/>
      <c r="H107" s="71"/>
      <c r="I107" s="418"/>
    </row>
    <row r="108" spans="2:10" ht="16.2" customHeight="1" x14ac:dyDescent="0.25">
      <c r="B108" s="128">
        <f>B312</f>
        <v>20</v>
      </c>
      <c r="C108" s="73">
        <f ca="1">FORECAST(B108,OFFSET($C$103:$C$106,MATCH(B108,$B$103:$B$106,1)-1,0,2),OFFSET($B$103:$B$106,MATCH(B108,$B$103:$B$106,1)-1,0,2))</f>
        <v>0.80444444444444452</v>
      </c>
      <c r="D108" s="417"/>
      <c r="G108" s="73">
        <f>G312</f>
        <v>50</v>
      </c>
      <c r="H108" s="73">
        <f ca="1">FORECAST(G108,OFFSET($H$103:$H$106,MATCH(G108,$G$103:$G$106,1)-1,0,2),OFFSET($G$103:$G$106,MATCH(G108,$G$103:$G$106,1)-1,0,2))</f>
        <v>-4.0909090909090899</v>
      </c>
      <c r="I108" s="418"/>
    </row>
    <row r="109" spans="2:10" ht="16.2" customHeight="1" x14ac:dyDescent="0.25">
      <c r="B109" s="72"/>
      <c r="C109" s="72"/>
      <c r="D109" s="72"/>
      <c r="E109" s="72"/>
      <c r="F109" s="72"/>
      <c r="G109" s="72"/>
      <c r="H109" s="72"/>
    </row>
    <row r="111" spans="2:10" s="63" customFormat="1" ht="16.2" customHeight="1" x14ac:dyDescent="0.25">
      <c r="B111" s="62" t="s">
        <v>85</v>
      </c>
      <c r="C111" s="419" t="s">
        <v>230</v>
      </c>
      <c r="D111" s="420"/>
      <c r="G111" s="64" t="s">
        <v>86</v>
      </c>
      <c r="H111" s="65"/>
      <c r="I111" s="421" t="s">
        <v>386</v>
      </c>
      <c r="J111" s="422"/>
    </row>
    <row r="112" spans="2:10" s="63" customFormat="1" ht="16.2" customHeight="1" x14ac:dyDescent="0.25">
      <c r="B112" s="62" t="s">
        <v>173</v>
      </c>
      <c r="C112" s="420" t="s">
        <v>231</v>
      </c>
      <c r="D112" s="420"/>
      <c r="G112" s="64" t="s">
        <v>87</v>
      </c>
      <c r="H112" s="65"/>
      <c r="I112" s="67" t="s">
        <v>250</v>
      </c>
      <c r="J112" s="66"/>
    </row>
    <row r="113" spans="1:10" s="63" customFormat="1" ht="16.2" customHeight="1" x14ac:dyDescent="0.25">
      <c r="B113" s="62" t="s">
        <v>174</v>
      </c>
      <c r="C113" s="423" t="s">
        <v>239</v>
      </c>
      <c r="D113" s="423"/>
    </row>
    <row r="114" spans="1:10" ht="15.6" customHeight="1" x14ac:dyDescent="0.25"/>
    <row r="115" spans="1:10" s="63" customFormat="1" ht="16.2" customHeight="1" x14ac:dyDescent="0.25">
      <c r="B115" s="424" t="s">
        <v>175</v>
      </c>
      <c r="C115" s="425"/>
      <c r="D115" s="426"/>
      <c r="G115" s="424" t="s">
        <v>176</v>
      </c>
      <c r="H115" s="425"/>
      <c r="I115" s="426"/>
    </row>
    <row r="116" spans="1:10" s="70" customFormat="1" ht="27" customHeight="1" x14ac:dyDescent="0.25">
      <c r="B116" s="69" t="s">
        <v>177</v>
      </c>
      <c r="C116" s="69" t="s">
        <v>88</v>
      </c>
      <c r="D116" s="69" t="s">
        <v>178</v>
      </c>
      <c r="G116" s="69" t="s">
        <v>177</v>
      </c>
      <c r="H116" s="69" t="s">
        <v>88</v>
      </c>
      <c r="I116" s="69" t="s">
        <v>178</v>
      </c>
    </row>
    <row r="117" spans="1:10" s="70" customFormat="1" ht="16.2" customHeight="1" x14ac:dyDescent="0.25">
      <c r="B117" s="69" t="s">
        <v>179</v>
      </c>
      <c r="C117" s="69" t="s">
        <v>179</v>
      </c>
      <c r="D117" s="69" t="s">
        <v>179</v>
      </c>
      <c r="G117" s="69" t="s">
        <v>47</v>
      </c>
      <c r="H117" s="69" t="s">
        <v>47</v>
      </c>
      <c r="I117" s="69" t="s">
        <v>47</v>
      </c>
    </row>
    <row r="118" spans="1:10" s="72" customFormat="1" ht="16.2" customHeight="1" x14ac:dyDescent="0.25">
      <c r="A118" s="72">
        <v>15</v>
      </c>
      <c r="B118" s="71">
        <v>15.4</v>
      </c>
      <c r="C118" s="71">
        <v>0.6</v>
      </c>
      <c r="D118" s="415">
        <v>0.57999999999999996</v>
      </c>
      <c r="G118" s="71">
        <v>19</v>
      </c>
      <c r="H118" s="71">
        <v>-1</v>
      </c>
      <c r="I118" s="429">
        <v>3</v>
      </c>
    </row>
    <row r="119" spans="1:10" s="72" customFormat="1" ht="16.2" customHeight="1" x14ac:dyDescent="0.25">
      <c r="A119" s="72">
        <v>25</v>
      </c>
      <c r="B119" s="71">
        <v>20.7</v>
      </c>
      <c r="C119" s="71">
        <v>-0.2</v>
      </c>
      <c r="D119" s="416"/>
      <c r="G119" s="71">
        <v>38</v>
      </c>
      <c r="H119" s="71">
        <v>-1</v>
      </c>
      <c r="I119" s="430"/>
    </row>
    <row r="120" spans="1:10" s="72" customFormat="1" ht="16.2" customHeight="1" x14ac:dyDescent="0.25">
      <c r="A120" s="72">
        <v>28</v>
      </c>
      <c r="B120" s="71">
        <v>25.5</v>
      </c>
      <c r="C120" s="71">
        <v>0.2</v>
      </c>
      <c r="D120" s="416"/>
      <c r="G120" s="71">
        <v>54</v>
      </c>
      <c r="H120" s="71">
        <v>-3</v>
      </c>
      <c r="I120" s="430"/>
    </row>
    <row r="121" spans="1:10" s="72" customFormat="1" ht="16.2" customHeight="1" x14ac:dyDescent="0.25">
      <c r="A121" s="72">
        <v>30</v>
      </c>
      <c r="B121" s="71">
        <v>30.5</v>
      </c>
      <c r="C121" s="71">
        <v>0.5</v>
      </c>
      <c r="D121" s="416"/>
      <c r="G121" s="71">
        <v>73</v>
      </c>
      <c r="H121" s="71">
        <v>-5</v>
      </c>
      <c r="I121" s="430"/>
    </row>
    <row r="122" spans="1:10" s="72" customFormat="1" ht="16.2" customHeight="1" x14ac:dyDescent="0.25">
      <c r="A122" s="214">
        <v>40</v>
      </c>
      <c r="B122" s="245">
        <v>40.4</v>
      </c>
      <c r="C122" s="245">
        <v>0.6</v>
      </c>
      <c r="D122" s="416"/>
      <c r="G122" s="71">
        <v>83</v>
      </c>
      <c r="H122" s="71">
        <v>-5</v>
      </c>
      <c r="I122" s="430"/>
    </row>
    <row r="123" spans="1:10" ht="16.2" customHeight="1" x14ac:dyDescent="0.25">
      <c r="B123" s="129">
        <f>B312</f>
        <v>20</v>
      </c>
      <c r="C123" s="73">
        <f ca="1">FORECAST(B123,OFFSET($C$118:$C$122,MATCH(B123,$B$118:$B$122,1)-1,0,2),OFFSET($B$118:$B$122,MATCH(B123,$B$118:$B$122,1)-1,0,2))</f>
        <v>-9.4339622641509191E-2</v>
      </c>
      <c r="D123" s="417"/>
      <c r="E123" s="72"/>
      <c r="F123" s="72"/>
      <c r="G123" s="73">
        <f>G312</f>
        <v>50</v>
      </c>
      <c r="H123" s="73">
        <f ca="1">FORECAST(G123,OFFSET($H$118:$H$122,MATCH(G123,$G$118:$G$122,1)-1,0,2),OFFSET($G$118:$G$122,MATCH(G123,$G$118:$G$122,1)-1,0,2))</f>
        <v>-2.5</v>
      </c>
      <c r="I123" s="431"/>
    </row>
    <row r="124" spans="1:10" ht="16.2" customHeight="1" x14ac:dyDescent="0.25">
      <c r="B124" s="72"/>
      <c r="C124" s="72"/>
      <c r="D124" s="72"/>
      <c r="E124" s="72"/>
      <c r="F124" s="72"/>
      <c r="G124" s="72"/>
      <c r="H124" s="72"/>
    </row>
    <row r="126" spans="1:10" s="63" customFormat="1" ht="16.2" customHeight="1" x14ac:dyDescent="0.25">
      <c r="B126" s="62" t="s">
        <v>85</v>
      </c>
      <c r="C126" s="419" t="s">
        <v>414</v>
      </c>
      <c r="D126" s="420"/>
      <c r="G126" s="64" t="s">
        <v>86</v>
      </c>
      <c r="H126" s="65"/>
      <c r="I126" s="421">
        <v>45870</v>
      </c>
      <c r="J126" s="422"/>
    </row>
    <row r="127" spans="1:10" s="63" customFormat="1" ht="16.2" customHeight="1" x14ac:dyDescent="0.25">
      <c r="B127" s="62" t="s">
        <v>173</v>
      </c>
      <c r="C127" s="420" t="s">
        <v>334</v>
      </c>
      <c r="D127" s="420"/>
      <c r="G127" s="64" t="s">
        <v>87</v>
      </c>
      <c r="H127" s="65"/>
      <c r="I127" s="67" t="s">
        <v>250</v>
      </c>
      <c r="J127" s="66"/>
    </row>
    <row r="128" spans="1:10" s="63" customFormat="1" ht="16.2" customHeight="1" x14ac:dyDescent="0.25">
      <c r="B128" s="62" t="s">
        <v>174</v>
      </c>
      <c r="C128" s="428" t="s">
        <v>415</v>
      </c>
      <c r="D128" s="428"/>
    </row>
    <row r="129" spans="1:10" ht="15.6" customHeight="1" x14ac:dyDescent="0.25"/>
    <row r="130" spans="1:10" s="63" customFormat="1" ht="16.2" customHeight="1" x14ac:dyDescent="0.25">
      <c r="B130" s="424" t="s">
        <v>175</v>
      </c>
      <c r="C130" s="425"/>
      <c r="D130" s="426"/>
      <c r="G130" s="424" t="s">
        <v>176</v>
      </c>
      <c r="H130" s="425"/>
      <c r="I130" s="426"/>
    </row>
    <row r="131" spans="1:10" s="70" customFormat="1" ht="27" customHeight="1" x14ac:dyDescent="0.25">
      <c r="B131" s="69" t="s">
        <v>177</v>
      </c>
      <c r="C131" s="69" t="s">
        <v>88</v>
      </c>
      <c r="D131" s="69" t="s">
        <v>178</v>
      </c>
      <c r="G131" s="69" t="s">
        <v>177</v>
      </c>
      <c r="H131" s="69" t="s">
        <v>88</v>
      </c>
      <c r="I131" s="69" t="s">
        <v>178</v>
      </c>
    </row>
    <row r="132" spans="1:10" s="70" customFormat="1" ht="16.2" customHeight="1" x14ac:dyDescent="0.25">
      <c r="B132" s="69" t="s">
        <v>179</v>
      </c>
      <c r="C132" s="69" t="s">
        <v>179</v>
      </c>
      <c r="D132" s="69" t="s">
        <v>179</v>
      </c>
      <c r="G132" s="69" t="s">
        <v>47</v>
      </c>
      <c r="H132" s="69" t="s">
        <v>47</v>
      </c>
      <c r="I132" s="69" t="s">
        <v>47</v>
      </c>
    </row>
    <row r="133" spans="1:10" s="72" customFormat="1" ht="16.2" customHeight="1" x14ac:dyDescent="0.25">
      <c r="A133" s="211">
        <v>15</v>
      </c>
      <c r="B133" s="212">
        <f>FORECAST(A133,B134:B137,A134:A137)</f>
        <v>14.977142857142857</v>
      </c>
      <c r="C133" s="212">
        <f>FORECAST(A133,C134:C135,A134:A135)</f>
        <v>-0.3000000000000001</v>
      </c>
      <c r="D133" s="415">
        <v>0.57999999999999996</v>
      </c>
      <c r="F133" s="72">
        <v>30</v>
      </c>
      <c r="G133" s="212">
        <f>FORECAST(F133,G134:G137,F134:F137)</f>
        <v>33.5</v>
      </c>
      <c r="H133" s="212">
        <f>FORECAST(F133,H134:H135,F134:F135)</f>
        <v>-9</v>
      </c>
      <c r="I133" s="418">
        <v>3</v>
      </c>
    </row>
    <row r="134" spans="1:10" s="72" customFormat="1" ht="16.2" customHeight="1" x14ac:dyDescent="0.25">
      <c r="A134" s="72">
        <v>20</v>
      </c>
      <c r="B134" s="71">
        <v>20.100000000000001</v>
      </c>
      <c r="C134" s="71">
        <v>-0.2</v>
      </c>
      <c r="D134" s="416"/>
      <c r="F134" s="72">
        <v>40</v>
      </c>
      <c r="G134" s="71">
        <v>42</v>
      </c>
      <c r="H134" s="198">
        <v>-6</v>
      </c>
      <c r="I134" s="418"/>
    </row>
    <row r="135" spans="1:10" s="72" customFormat="1" ht="16.2" customHeight="1" x14ac:dyDescent="0.25">
      <c r="A135" s="72">
        <v>25</v>
      </c>
      <c r="B135" s="71">
        <v>24.8</v>
      </c>
      <c r="C135" s="71">
        <v>-0.1</v>
      </c>
      <c r="D135" s="416"/>
      <c r="F135" s="72">
        <v>50</v>
      </c>
      <c r="G135" s="71">
        <v>52</v>
      </c>
      <c r="H135" s="198">
        <v>-3</v>
      </c>
      <c r="I135" s="418"/>
    </row>
    <row r="136" spans="1:10" s="72" customFormat="1" ht="16.2" customHeight="1" x14ac:dyDescent="0.25">
      <c r="A136" s="72">
        <v>30</v>
      </c>
      <c r="B136" s="71">
        <v>29.7</v>
      </c>
      <c r="C136" s="71">
        <v>0</v>
      </c>
      <c r="D136" s="416"/>
      <c r="F136" s="72">
        <v>60</v>
      </c>
      <c r="G136" s="71">
        <v>61</v>
      </c>
      <c r="H136" s="198">
        <v>-3</v>
      </c>
      <c r="I136" s="418"/>
    </row>
    <row r="137" spans="1:10" s="72" customFormat="1" ht="16.2" customHeight="1" x14ac:dyDescent="0.25">
      <c r="A137" s="72">
        <v>40</v>
      </c>
      <c r="B137" s="71">
        <v>39.9</v>
      </c>
      <c r="C137" s="71">
        <v>0.3</v>
      </c>
      <c r="D137" s="416"/>
      <c r="F137" s="72">
        <v>70</v>
      </c>
      <c r="G137" s="71">
        <v>69</v>
      </c>
      <c r="H137" s="198">
        <v>0</v>
      </c>
      <c r="I137" s="418"/>
    </row>
    <row r="138" spans="1:10" s="72" customFormat="1" ht="16.2" customHeight="1" x14ac:dyDescent="0.25">
      <c r="A138" s="211">
        <v>50</v>
      </c>
      <c r="B138" s="212">
        <f>FORECAST(A138,B136:B137,A136:A137)</f>
        <v>50.099999999999994</v>
      </c>
      <c r="C138" s="212">
        <f>FORECAST(A138,C136:C137,A136:A137)</f>
        <v>0.6</v>
      </c>
      <c r="D138" s="416"/>
      <c r="F138" s="72">
        <v>80</v>
      </c>
      <c r="G138" s="212">
        <f>FORECAST(F138,G136:G137,F136:F137)</f>
        <v>77</v>
      </c>
      <c r="H138" s="212">
        <f>FORECAST(F138,H136:H137,F136:F137)</f>
        <v>3</v>
      </c>
      <c r="I138" s="418"/>
    </row>
    <row r="139" spans="1:10" ht="16.2" customHeight="1" x14ac:dyDescent="0.25">
      <c r="B139" s="129">
        <f>B312</f>
        <v>20</v>
      </c>
      <c r="C139" s="73">
        <f ca="1">FORECAST(B139,OFFSET($C$133:$C$137,MATCH(B139,$B$133:$B$137,1)-1,0,2),OFFSET($B$133:$B$137,MATCH(B139,$B$133:$B$137,1)-1,0,2))</f>
        <v>-0.20195203569436709</v>
      </c>
      <c r="D139" s="417"/>
      <c r="E139" s="72"/>
      <c r="F139" s="72"/>
      <c r="G139" s="73">
        <f>G312</f>
        <v>50</v>
      </c>
      <c r="H139" s="200">
        <f ca="1">FORECAST(G139,OFFSET($H$133:$H$138,MATCH(G139,$G$133:$G$138,1)-1,0,2),OFFSET($G$133:$G$138,MATCH(G139,$G$133:$G$138,1)-1,0,2))</f>
        <v>-3.6000000000000014</v>
      </c>
      <c r="I139" s="418"/>
    </row>
    <row r="140" spans="1:10" ht="16.2" customHeight="1" x14ac:dyDescent="0.25">
      <c r="B140" s="72"/>
      <c r="C140" s="72"/>
      <c r="D140" s="72"/>
      <c r="E140" s="72"/>
      <c r="F140" s="72"/>
      <c r="G140" s="72"/>
      <c r="H140" s="72"/>
    </row>
    <row r="142" spans="1:10" s="63" customFormat="1" ht="16.2" customHeight="1" x14ac:dyDescent="0.25">
      <c r="B142" s="62" t="s">
        <v>85</v>
      </c>
      <c r="C142" s="419" t="s">
        <v>414</v>
      </c>
      <c r="D142" s="420"/>
      <c r="G142" s="64" t="s">
        <v>86</v>
      </c>
      <c r="H142" s="65"/>
      <c r="I142" s="421">
        <v>45870</v>
      </c>
      <c r="J142" s="422"/>
    </row>
    <row r="143" spans="1:10" s="63" customFormat="1" ht="16.2" customHeight="1" x14ac:dyDescent="0.25">
      <c r="B143" s="62" t="s">
        <v>173</v>
      </c>
      <c r="C143" s="420" t="s">
        <v>334</v>
      </c>
      <c r="D143" s="420"/>
      <c r="G143" s="64" t="s">
        <v>87</v>
      </c>
      <c r="H143" s="65"/>
      <c r="I143" s="67" t="s">
        <v>250</v>
      </c>
      <c r="J143" s="66"/>
    </row>
    <row r="144" spans="1:10" s="63" customFormat="1" ht="16.2" customHeight="1" x14ac:dyDescent="0.25">
      <c r="B144" s="62" t="s">
        <v>174</v>
      </c>
      <c r="C144" s="428" t="s">
        <v>416</v>
      </c>
      <c r="D144" s="428"/>
    </row>
    <row r="145" spans="1:10" ht="15.6" customHeight="1" x14ac:dyDescent="0.25"/>
    <row r="146" spans="1:10" s="63" customFormat="1" ht="16.2" customHeight="1" x14ac:dyDescent="0.25">
      <c r="B146" s="424" t="s">
        <v>175</v>
      </c>
      <c r="C146" s="425"/>
      <c r="D146" s="426"/>
      <c r="G146" s="424" t="s">
        <v>176</v>
      </c>
      <c r="H146" s="425"/>
      <c r="I146" s="426"/>
    </row>
    <row r="147" spans="1:10" s="70" customFormat="1" ht="27" customHeight="1" x14ac:dyDescent="0.25">
      <c r="B147" s="69" t="s">
        <v>177</v>
      </c>
      <c r="C147" s="69" t="s">
        <v>88</v>
      </c>
      <c r="D147" s="69" t="s">
        <v>178</v>
      </c>
      <c r="G147" s="69" t="s">
        <v>177</v>
      </c>
      <c r="H147" s="69" t="s">
        <v>88</v>
      </c>
      <c r="I147" s="69" t="s">
        <v>178</v>
      </c>
    </row>
    <row r="148" spans="1:10" s="70" customFormat="1" ht="16.2" customHeight="1" x14ac:dyDescent="0.25">
      <c r="B148" s="69" t="s">
        <v>179</v>
      </c>
      <c r="C148" s="69" t="s">
        <v>179</v>
      </c>
      <c r="D148" s="69" t="s">
        <v>179</v>
      </c>
      <c r="G148" s="69" t="s">
        <v>47</v>
      </c>
      <c r="H148" s="69" t="s">
        <v>47</v>
      </c>
      <c r="I148" s="69" t="s">
        <v>47</v>
      </c>
    </row>
    <row r="149" spans="1:10" s="72" customFormat="1" ht="16.2" customHeight="1" x14ac:dyDescent="0.25">
      <c r="A149" s="211">
        <v>15</v>
      </c>
      <c r="B149" s="212">
        <f>FORECAST(A149,B150:B153,A150:A153)</f>
        <v>15.1</v>
      </c>
      <c r="C149" s="212">
        <f>FORECAST(A149,C150:C151,A150:A151)</f>
        <v>-1.2000000000000002</v>
      </c>
      <c r="D149" s="415">
        <v>0.57999999999999996</v>
      </c>
      <c r="F149" s="72">
        <v>20</v>
      </c>
      <c r="G149" s="212">
        <f>FORECAST(F149,G150:G153,F150:F153)</f>
        <v>21.31428571428571</v>
      </c>
      <c r="H149" s="212">
        <f>FORECAST(F149,H150:H151,F150:F151)</f>
        <v>6.5</v>
      </c>
      <c r="I149" s="429">
        <v>3</v>
      </c>
    </row>
    <row r="150" spans="1:10" s="72" customFormat="1" ht="16.2" customHeight="1" x14ac:dyDescent="0.25">
      <c r="A150" s="72">
        <v>20</v>
      </c>
      <c r="B150" s="71">
        <v>20.399999999999999</v>
      </c>
      <c r="C150" s="71">
        <v>-0.5</v>
      </c>
      <c r="D150" s="416"/>
      <c r="F150" s="72">
        <v>30</v>
      </c>
      <c r="G150" s="71">
        <v>32</v>
      </c>
      <c r="H150" s="71">
        <v>4</v>
      </c>
      <c r="I150" s="430"/>
    </row>
    <row r="151" spans="1:10" s="72" customFormat="1" ht="16.2" customHeight="1" x14ac:dyDescent="0.25">
      <c r="A151" s="72">
        <v>25</v>
      </c>
      <c r="B151" s="71">
        <v>24.5</v>
      </c>
      <c r="C151" s="71">
        <v>0.2</v>
      </c>
      <c r="D151" s="416"/>
      <c r="F151" s="72">
        <v>50</v>
      </c>
      <c r="G151" s="71">
        <v>50</v>
      </c>
      <c r="H151" s="71">
        <v>-1</v>
      </c>
      <c r="I151" s="430"/>
    </row>
    <row r="152" spans="1:10" s="72" customFormat="1" ht="16.2" customHeight="1" x14ac:dyDescent="0.25">
      <c r="A152" s="72">
        <v>30</v>
      </c>
      <c r="B152" s="71">
        <v>29.6</v>
      </c>
      <c r="C152" s="71">
        <v>0.1</v>
      </c>
      <c r="D152" s="416"/>
      <c r="F152" s="72">
        <v>60</v>
      </c>
      <c r="G152" s="71">
        <v>62</v>
      </c>
      <c r="H152" s="71">
        <v>-4</v>
      </c>
      <c r="I152" s="430"/>
    </row>
    <row r="153" spans="1:10" s="72" customFormat="1" ht="16.2" customHeight="1" x14ac:dyDescent="0.25">
      <c r="A153" s="72">
        <v>40</v>
      </c>
      <c r="B153" s="71">
        <v>39.799999999999997</v>
      </c>
      <c r="C153" s="71">
        <v>0.4</v>
      </c>
      <c r="D153" s="416"/>
      <c r="F153" s="72">
        <v>70</v>
      </c>
      <c r="G153" s="71">
        <v>72</v>
      </c>
      <c r="H153" s="71">
        <v>-3</v>
      </c>
      <c r="I153" s="430"/>
    </row>
    <row r="154" spans="1:10" s="72" customFormat="1" ht="16.2" customHeight="1" x14ac:dyDescent="0.25">
      <c r="A154" s="211">
        <v>50</v>
      </c>
      <c r="B154" s="212">
        <f>FORECAST(A154,B152:B153,A152:A153)</f>
        <v>49.999999999999993</v>
      </c>
      <c r="C154" s="212">
        <f>FORECAST(A154,C152:C153,A152:A153)</f>
        <v>0.7</v>
      </c>
      <c r="D154" s="416"/>
      <c r="F154" s="72">
        <v>80</v>
      </c>
      <c r="G154" s="212">
        <f>FORECAST(F154,G152:G153,F152:F153)</f>
        <v>82</v>
      </c>
      <c r="H154" s="212">
        <f>FORECAST(F154,H152:H153,F152:F153)</f>
        <v>-2</v>
      </c>
      <c r="I154" s="430"/>
    </row>
    <row r="155" spans="1:10" ht="16.2" customHeight="1" x14ac:dyDescent="0.25">
      <c r="B155" s="129">
        <f>B312</f>
        <v>20</v>
      </c>
      <c r="C155" s="73">
        <f ca="1">FORECAST(B155,OFFSET($C$149:$C$154,MATCH(B155,$B$149:$B$154,1)-1,0,2),OFFSET($B$149:$B$154,MATCH(B155,$B$149:$B$154,1)-1,0,2))</f>
        <v>-0.55283018867924527</v>
      </c>
      <c r="D155" s="416"/>
      <c r="E155" s="72"/>
      <c r="F155" s="72"/>
      <c r="G155" s="73">
        <f>G312</f>
        <v>50</v>
      </c>
      <c r="H155" s="73">
        <f ca="1">FORECAST(G155,OFFSET($H$149:$H$154,MATCH(G155,$G$149:$G$154,1)-1,0,2),OFFSET($G$149:$G$154,MATCH(G155,$G$149:$G$154,1)-1,0,2))</f>
        <v>-1</v>
      </c>
      <c r="I155" s="430"/>
    </row>
    <row r="156" spans="1:10" ht="16.2" customHeight="1" x14ac:dyDescent="0.25">
      <c r="D156" s="164"/>
      <c r="I156" s="161"/>
    </row>
    <row r="158" spans="1:10" s="63" customFormat="1" ht="16.2" customHeight="1" x14ac:dyDescent="0.25">
      <c r="B158" s="62" t="s">
        <v>85</v>
      </c>
      <c r="C158" s="419" t="s">
        <v>230</v>
      </c>
      <c r="D158" s="420"/>
      <c r="G158" s="64" t="s">
        <v>86</v>
      </c>
      <c r="H158" s="65"/>
      <c r="I158" s="421" t="s">
        <v>417</v>
      </c>
      <c r="J158" s="422"/>
    </row>
    <row r="159" spans="1:10" s="63" customFormat="1" ht="16.2" customHeight="1" x14ac:dyDescent="0.25">
      <c r="B159" s="62" t="s">
        <v>173</v>
      </c>
      <c r="C159" s="420" t="s">
        <v>231</v>
      </c>
      <c r="D159" s="420"/>
      <c r="G159" s="64" t="s">
        <v>87</v>
      </c>
      <c r="H159" s="65"/>
      <c r="I159" s="67" t="s">
        <v>250</v>
      </c>
      <c r="J159" s="66"/>
    </row>
    <row r="160" spans="1:10" s="63" customFormat="1" ht="16.2" customHeight="1" x14ac:dyDescent="0.25">
      <c r="B160" s="62" t="s">
        <v>174</v>
      </c>
      <c r="C160" s="428" t="s">
        <v>313</v>
      </c>
      <c r="D160" s="428"/>
    </row>
    <row r="161" spans="1:10" ht="15.6" customHeight="1" x14ac:dyDescent="0.25"/>
    <row r="162" spans="1:10" s="63" customFormat="1" ht="16.2" customHeight="1" x14ac:dyDescent="0.25">
      <c r="B162" s="424" t="s">
        <v>175</v>
      </c>
      <c r="C162" s="425"/>
      <c r="D162" s="426"/>
      <c r="G162" s="424" t="s">
        <v>176</v>
      </c>
      <c r="H162" s="425"/>
      <c r="I162" s="426"/>
    </row>
    <row r="163" spans="1:10" s="70" customFormat="1" ht="27" customHeight="1" x14ac:dyDescent="0.25">
      <c r="B163" s="69" t="s">
        <v>177</v>
      </c>
      <c r="C163" s="69" t="s">
        <v>88</v>
      </c>
      <c r="D163" s="69" t="s">
        <v>178</v>
      </c>
      <c r="G163" s="69" t="s">
        <v>177</v>
      </c>
      <c r="H163" s="69" t="s">
        <v>88</v>
      </c>
      <c r="I163" s="69" t="s">
        <v>178</v>
      </c>
    </row>
    <row r="164" spans="1:10" s="70" customFormat="1" ht="16.2" customHeight="1" x14ac:dyDescent="0.25">
      <c r="B164" s="69" t="s">
        <v>179</v>
      </c>
      <c r="C164" s="69" t="s">
        <v>179</v>
      </c>
      <c r="D164" s="69" t="s">
        <v>179</v>
      </c>
      <c r="G164" s="69" t="s">
        <v>47</v>
      </c>
      <c r="H164" s="69" t="s">
        <v>47</v>
      </c>
      <c r="I164" s="69" t="s">
        <v>47</v>
      </c>
    </row>
    <row r="165" spans="1:10" s="72" customFormat="1" ht="16.2" customHeight="1" x14ac:dyDescent="0.25">
      <c r="A165" s="211">
        <v>15</v>
      </c>
      <c r="B165" s="212">
        <f>FORECAST(A165,B166:B169,A166:A169)</f>
        <v>14.428571428571432</v>
      </c>
      <c r="C165" s="212">
        <f>FORECAST(A165,C166:C169,A166:A169)</f>
        <v>1.5542857142857143</v>
      </c>
      <c r="D165" s="415">
        <v>0.57999999999999996</v>
      </c>
      <c r="F165" s="72">
        <v>30</v>
      </c>
      <c r="G165" s="212">
        <f>FORECAST(F165,G166:G169,F166:F169)</f>
        <v>30.5</v>
      </c>
      <c r="H165" s="212">
        <f>FORECAST(F165,H166:H169,F166:F169)</f>
        <v>-1.5</v>
      </c>
      <c r="I165" s="418">
        <v>3</v>
      </c>
    </row>
    <row r="166" spans="1:10" s="72" customFormat="1" ht="16.2" customHeight="1" x14ac:dyDescent="0.25">
      <c r="A166" s="72">
        <v>20</v>
      </c>
      <c r="B166" s="71">
        <v>19.8</v>
      </c>
      <c r="C166" s="71">
        <v>1.2</v>
      </c>
      <c r="D166" s="416"/>
      <c r="F166" s="72">
        <v>40</v>
      </c>
      <c r="G166" s="71">
        <v>41</v>
      </c>
      <c r="H166" s="71">
        <v>-2</v>
      </c>
      <c r="I166" s="418"/>
    </row>
    <row r="167" spans="1:10" s="72" customFormat="1" ht="16.2" customHeight="1" x14ac:dyDescent="0.25">
      <c r="A167" s="72">
        <v>25</v>
      </c>
      <c r="B167" s="71">
        <v>24.8</v>
      </c>
      <c r="C167" s="71">
        <v>0.8</v>
      </c>
      <c r="D167" s="416"/>
      <c r="F167" s="72">
        <v>50</v>
      </c>
      <c r="G167" s="71">
        <v>52</v>
      </c>
      <c r="H167" s="71">
        <v>-4</v>
      </c>
      <c r="I167" s="418"/>
    </row>
    <row r="168" spans="1:10" s="72" customFormat="1" ht="16.2" customHeight="1" x14ac:dyDescent="0.25">
      <c r="A168" s="72">
        <v>30</v>
      </c>
      <c r="B168" s="71">
        <v>30.3</v>
      </c>
      <c r="C168" s="71">
        <v>0.4</v>
      </c>
      <c r="D168" s="416"/>
      <c r="F168" s="72">
        <v>60</v>
      </c>
      <c r="G168" s="71">
        <v>63</v>
      </c>
      <c r="H168" s="71">
        <v>-5</v>
      </c>
      <c r="I168" s="418"/>
    </row>
    <row r="169" spans="1:10" s="72" customFormat="1" ht="16.2" customHeight="1" x14ac:dyDescent="0.25">
      <c r="A169" s="72">
        <v>40</v>
      </c>
      <c r="B169" s="71">
        <v>40.799999999999997</v>
      </c>
      <c r="C169" s="71">
        <v>-0.3</v>
      </c>
      <c r="D169" s="416"/>
      <c r="F169" s="72">
        <v>70</v>
      </c>
      <c r="G169" s="71">
        <v>73</v>
      </c>
      <c r="H169" s="71">
        <v>-5</v>
      </c>
      <c r="I169" s="418"/>
    </row>
    <row r="170" spans="1:10" s="72" customFormat="1" ht="16.2" customHeight="1" x14ac:dyDescent="0.25">
      <c r="A170" s="211">
        <v>50</v>
      </c>
      <c r="B170" s="212">
        <f>FORECAST(A170,B168:B169,A168:A169)</f>
        <v>51.3</v>
      </c>
      <c r="C170" s="212">
        <f>FORECAST(A170,C168:C169,A168:A169)</f>
        <v>-1.0000000000000004</v>
      </c>
      <c r="D170" s="416"/>
      <c r="F170" s="72">
        <v>80</v>
      </c>
      <c r="G170" s="212">
        <f>FORECAST(F170,G168:G169,F168:F169)</f>
        <v>83</v>
      </c>
      <c r="H170" s="212">
        <f>FORECAST(F170,H168:H169,F168:F169)</f>
        <v>-5</v>
      </c>
      <c r="I170" s="418"/>
    </row>
    <row r="171" spans="1:10" ht="16.2" customHeight="1" x14ac:dyDescent="0.25">
      <c r="B171" s="129">
        <f>B312</f>
        <v>20</v>
      </c>
      <c r="C171" s="73">
        <f ca="1">FORECAST(B171,OFFSET($C$165:$C$170,MATCH(B171,$B$165:$B$170,1)-1,0,2),OFFSET($B$165:$B$170,MATCH(B171,$B$165:$B$170,1)-1,0,2))</f>
        <v>1.1840000000000002</v>
      </c>
      <c r="D171" s="417"/>
      <c r="E171" s="72"/>
      <c r="F171" s="72"/>
      <c r="G171" s="73">
        <f>G312</f>
        <v>50</v>
      </c>
      <c r="H171" s="73">
        <f ca="1">FORECAST(G171,OFFSET($H$165:$H$170,MATCH(G171,$G$165:$G$170,1)-1,0,2),OFFSET($G$165:$G$170,MATCH(G171,$G$165:$G$170,1)-1,0,2))</f>
        <v>-3.6363636363636367</v>
      </c>
      <c r="I171" s="418"/>
    </row>
    <row r="172" spans="1:10" ht="16.2" customHeight="1" x14ac:dyDescent="0.25">
      <c r="B172" s="72"/>
      <c r="C172" s="72"/>
      <c r="D172" s="72"/>
      <c r="E172" s="72"/>
      <c r="F172" s="72"/>
      <c r="G172" s="72"/>
      <c r="H172" s="72"/>
    </row>
    <row r="174" spans="1:10" s="63" customFormat="1" ht="16.2" customHeight="1" x14ac:dyDescent="0.25">
      <c r="B174" s="62" t="s">
        <v>85</v>
      </c>
      <c r="C174" s="419" t="s">
        <v>414</v>
      </c>
      <c r="D174" s="420"/>
      <c r="G174" s="64" t="s">
        <v>86</v>
      </c>
      <c r="H174" s="65"/>
      <c r="I174" s="421">
        <v>45870</v>
      </c>
      <c r="J174" s="422"/>
    </row>
    <row r="175" spans="1:10" s="63" customFormat="1" ht="16.2" customHeight="1" x14ac:dyDescent="0.25">
      <c r="B175" s="62" t="s">
        <v>173</v>
      </c>
      <c r="C175" s="420" t="s">
        <v>334</v>
      </c>
      <c r="D175" s="420"/>
      <c r="G175" s="64" t="s">
        <v>87</v>
      </c>
      <c r="H175" s="65"/>
      <c r="I175" s="67" t="s">
        <v>250</v>
      </c>
      <c r="J175" s="66"/>
    </row>
    <row r="176" spans="1:10" s="63" customFormat="1" ht="16.2" customHeight="1" x14ac:dyDescent="0.25">
      <c r="B176" s="62" t="s">
        <v>174</v>
      </c>
      <c r="C176" s="428" t="s">
        <v>418</v>
      </c>
      <c r="D176" s="428"/>
    </row>
    <row r="177" spans="1:10" ht="15.6" customHeight="1" x14ac:dyDescent="0.25"/>
    <row r="178" spans="1:10" s="63" customFormat="1" ht="16.2" customHeight="1" x14ac:dyDescent="0.25">
      <c r="B178" s="424" t="s">
        <v>175</v>
      </c>
      <c r="C178" s="425"/>
      <c r="D178" s="426"/>
      <c r="G178" s="424" t="s">
        <v>176</v>
      </c>
      <c r="H178" s="425"/>
      <c r="I178" s="426"/>
    </row>
    <row r="179" spans="1:10" s="70" customFormat="1" ht="27" customHeight="1" x14ac:dyDescent="0.25">
      <c r="B179" s="69" t="s">
        <v>177</v>
      </c>
      <c r="C179" s="69" t="s">
        <v>88</v>
      </c>
      <c r="D179" s="69" t="s">
        <v>178</v>
      </c>
      <c r="G179" s="69" t="s">
        <v>177</v>
      </c>
      <c r="H179" s="69" t="s">
        <v>88</v>
      </c>
      <c r="I179" s="69" t="s">
        <v>178</v>
      </c>
    </row>
    <row r="180" spans="1:10" s="70" customFormat="1" ht="16.2" customHeight="1" x14ac:dyDescent="0.25">
      <c r="B180" s="69" t="s">
        <v>179</v>
      </c>
      <c r="C180" s="69" t="s">
        <v>179</v>
      </c>
      <c r="D180" s="69" t="s">
        <v>179</v>
      </c>
      <c r="G180" s="69" t="s">
        <v>47</v>
      </c>
      <c r="H180" s="69" t="s">
        <v>47</v>
      </c>
      <c r="I180" s="69" t="s">
        <v>47</v>
      </c>
    </row>
    <row r="181" spans="1:10" s="72" customFormat="1" ht="16.2" customHeight="1" x14ac:dyDescent="0.25">
      <c r="A181" s="211">
        <v>15</v>
      </c>
      <c r="B181" s="212">
        <f>FORECAST(A181,B182:B185,A182:A185)</f>
        <v>15.548571428571428</v>
      </c>
      <c r="C181" s="212">
        <f>FORECAST(A181,C182:C183,A182:A183)</f>
        <v>-0.7</v>
      </c>
      <c r="D181" s="415">
        <v>0.57999999999999996</v>
      </c>
      <c r="F181" s="72">
        <v>33</v>
      </c>
      <c r="G181" s="212">
        <f>FORECAST(F181,G182:G183,F182:F183)</f>
        <v>33</v>
      </c>
      <c r="H181" s="212">
        <f>FORECAST(F181,H182:H183,F182:F183)</f>
        <v>-9.9999999999999982</v>
      </c>
      <c r="I181" s="418">
        <v>3</v>
      </c>
    </row>
    <row r="182" spans="1:10" s="72" customFormat="1" ht="16.2" customHeight="1" x14ac:dyDescent="0.25">
      <c r="A182" s="72">
        <v>20</v>
      </c>
      <c r="B182" s="71">
        <v>20.3</v>
      </c>
      <c r="C182" s="71">
        <v>-0.4</v>
      </c>
      <c r="D182" s="416"/>
      <c r="F182" s="72">
        <v>43</v>
      </c>
      <c r="G182" s="71">
        <v>43</v>
      </c>
      <c r="H182" s="71">
        <v>-7</v>
      </c>
      <c r="I182" s="418"/>
    </row>
    <row r="183" spans="1:10" s="72" customFormat="1" ht="16.2" customHeight="1" x14ac:dyDescent="0.25">
      <c r="A183" s="72">
        <v>25</v>
      </c>
      <c r="B183" s="71">
        <v>24.8</v>
      </c>
      <c r="C183" s="71">
        <v>-0.1</v>
      </c>
      <c r="D183" s="416"/>
      <c r="F183" s="72">
        <v>53</v>
      </c>
      <c r="G183" s="71">
        <v>53</v>
      </c>
      <c r="H183" s="71">
        <v>-4</v>
      </c>
      <c r="I183" s="418"/>
    </row>
    <row r="184" spans="1:10" s="72" customFormat="1" ht="16.2" customHeight="1" x14ac:dyDescent="0.25">
      <c r="A184" s="72">
        <v>30</v>
      </c>
      <c r="B184" s="71">
        <v>29.7</v>
      </c>
      <c r="C184" s="71">
        <v>0</v>
      </c>
      <c r="D184" s="416"/>
      <c r="F184" s="72">
        <v>61</v>
      </c>
      <c r="G184" s="71">
        <v>61</v>
      </c>
      <c r="H184" s="71">
        <v>-3</v>
      </c>
      <c r="I184" s="418"/>
    </row>
    <row r="185" spans="1:10" s="72" customFormat="1" ht="16.2" customHeight="1" x14ac:dyDescent="0.25">
      <c r="A185" s="72">
        <v>40</v>
      </c>
      <c r="B185" s="71">
        <v>39</v>
      </c>
      <c r="C185" s="71">
        <v>1.2</v>
      </c>
      <c r="D185" s="416"/>
      <c r="F185" s="72">
        <v>67</v>
      </c>
      <c r="G185" s="71">
        <v>67</v>
      </c>
      <c r="H185" s="71">
        <v>2</v>
      </c>
      <c r="I185" s="418"/>
    </row>
    <row r="186" spans="1:10" s="72" customFormat="1" ht="16.2" customHeight="1" x14ac:dyDescent="0.25">
      <c r="A186" s="211">
        <v>50</v>
      </c>
      <c r="B186" s="212">
        <f>FORECAST(A186,B184:B185,A184:A185)</f>
        <v>48.3</v>
      </c>
      <c r="C186" s="212">
        <f>FORECAST(A186,C184:C185,A184:A185)</f>
        <v>2.4</v>
      </c>
      <c r="D186" s="416"/>
      <c r="F186" s="72">
        <v>80</v>
      </c>
      <c r="G186" s="212">
        <f>FORECAST(F186,G184:G185,F184:F185)</f>
        <v>80</v>
      </c>
      <c r="H186" s="212">
        <f>FORECAST(F186,H184:H185,F184:F185)</f>
        <v>12.833333333333336</v>
      </c>
      <c r="I186" s="418"/>
    </row>
    <row r="187" spans="1:10" ht="16.2" customHeight="1" x14ac:dyDescent="0.25">
      <c r="B187" s="129">
        <f>B312</f>
        <v>20</v>
      </c>
      <c r="C187" s="73">
        <f ca="1">FORECAST(B187,OFFSET($C$181:$C$185,MATCH(B187,$B$181:$B$185,1)-1,0,2),OFFSET($B$181:$B$185,MATCH(B187,$B$181:$B$185,1)-1,0,2))</f>
        <v>-0.41894167167769103</v>
      </c>
      <c r="D187" s="417"/>
      <c r="E187" s="72"/>
      <c r="F187" s="72"/>
      <c r="G187" s="73">
        <f>G312</f>
        <v>50</v>
      </c>
      <c r="H187" s="73">
        <f ca="1">FORECAST(G187,OFFSET($H$181:$H$186,MATCH(G187,$G$181:$G$186,1)-1,0,2),OFFSET($G$181:$G$186,MATCH(G187,$G$181:$G$186,1)-1,0,2))</f>
        <v>-4.8999999999999986</v>
      </c>
      <c r="I187" s="418"/>
    </row>
    <row r="188" spans="1:10" ht="16.2" customHeight="1" x14ac:dyDescent="0.25">
      <c r="B188" s="72"/>
      <c r="C188" s="72"/>
      <c r="D188" s="72"/>
      <c r="E188" s="72"/>
      <c r="F188" s="72"/>
      <c r="G188" s="72"/>
      <c r="H188" s="72"/>
    </row>
    <row r="190" spans="1:10" s="63" customFormat="1" ht="16.2" customHeight="1" x14ac:dyDescent="0.25">
      <c r="B190" s="62" t="s">
        <v>85</v>
      </c>
      <c r="C190" s="419" t="s">
        <v>230</v>
      </c>
      <c r="D190" s="420"/>
      <c r="G190" s="64" t="s">
        <v>86</v>
      </c>
      <c r="H190" s="65"/>
      <c r="I190" s="421" t="s">
        <v>413</v>
      </c>
      <c r="J190" s="422"/>
    </row>
    <row r="191" spans="1:10" s="63" customFormat="1" ht="16.2" customHeight="1" x14ac:dyDescent="0.25">
      <c r="B191" s="62" t="s">
        <v>173</v>
      </c>
      <c r="C191" s="420" t="s">
        <v>231</v>
      </c>
      <c r="D191" s="420"/>
      <c r="G191" s="64" t="s">
        <v>87</v>
      </c>
      <c r="H191" s="65"/>
      <c r="I191" s="67" t="s">
        <v>250</v>
      </c>
      <c r="J191" s="66"/>
    </row>
    <row r="192" spans="1:10" s="63" customFormat="1" ht="16.2" customHeight="1" x14ac:dyDescent="0.25">
      <c r="B192" s="62" t="s">
        <v>174</v>
      </c>
      <c r="C192" s="428" t="s">
        <v>314</v>
      </c>
      <c r="D192" s="428"/>
    </row>
    <row r="193" spans="1:10" ht="15.6" customHeight="1" x14ac:dyDescent="0.25"/>
    <row r="194" spans="1:10" s="63" customFormat="1" ht="16.2" customHeight="1" x14ac:dyDescent="0.25">
      <c r="B194" s="424" t="s">
        <v>175</v>
      </c>
      <c r="C194" s="425"/>
      <c r="D194" s="426"/>
      <c r="G194" s="424" t="s">
        <v>176</v>
      </c>
      <c r="H194" s="425"/>
      <c r="I194" s="426"/>
    </row>
    <row r="195" spans="1:10" s="70" customFormat="1" ht="27" customHeight="1" x14ac:dyDescent="0.25">
      <c r="B195" s="69" t="s">
        <v>177</v>
      </c>
      <c r="C195" s="69" t="s">
        <v>88</v>
      </c>
      <c r="D195" s="69" t="s">
        <v>178</v>
      </c>
      <c r="G195" s="69" t="s">
        <v>177</v>
      </c>
      <c r="H195" s="69" t="s">
        <v>88</v>
      </c>
      <c r="I195" s="69" t="s">
        <v>178</v>
      </c>
    </row>
    <row r="196" spans="1:10" s="70" customFormat="1" ht="16.2" customHeight="1" x14ac:dyDescent="0.25">
      <c r="B196" s="69" t="s">
        <v>179</v>
      </c>
      <c r="C196" s="69" t="s">
        <v>179</v>
      </c>
      <c r="D196" s="69" t="s">
        <v>179</v>
      </c>
      <c r="G196" s="69" t="s">
        <v>47</v>
      </c>
      <c r="H196" s="69" t="s">
        <v>47</v>
      </c>
      <c r="I196" s="69" t="s">
        <v>47</v>
      </c>
    </row>
    <row r="197" spans="1:10" s="72" customFormat="1" ht="16.2" customHeight="1" x14ac:dyDescent="0.25">
      <c r="A197" s="211">
        <v>15</v>
      </c>
      <c r="B197" s="212">
        <f>FORECAST(A197,B198:B201,A198:A201)</f>
        <v>14.917142857142855</v>
      </c>
      <c r="C197" s="212">
        <f>FORECAST(A197,C198:C199,A198:A199)</f>
        <v>-0.3000000000000001</v>
      </c>
      <c r="D197" s="415">
        <v>0.57999999999999996</v>
      </c>
      <c r="F197" s="72">
        <v>30</v>
      </c>
      <c r="G197" s="212">
        <f>FORECAST(F197,G198:G201,F198:F201)</f>
        <v>28.500000000000004</v>
      </c>
      <c r="H197" s="212">
        <f>FORECAST(F197,H198:H199,F198:F199)</f>
        <v>-2</v>
      </c>
      <c r="I197" s="418">
        <v>2.2000000000000002</v>
      </c>
    </row>
    <row r="198" spans="1:10" s="72" customFormat="1" ht="16.2" customHeight="1" x14ac:dyDescent="0.25">
      <c r="A198" s="72">
        <v>20</v>
      </c>
      <c r="B198" s="71">
        <v>20.100000000000001</v>
      </c>
      <c r="C198" s="71">
        <v>-0.2</v>
      </c>
      <c r="D198" s="416"/>
      <c r="F198" s="72">
        <v>40</v>
      </c>
      <c r="G198" s="71">
        <v>39</v>
      </c>
      <c r="H198" s="71">
        <v>-1</v>
      </c>
      <c r="I198" s="418"/>
    </row>
    <row r="199" spans="1:10" s="72" customFormat="1" ht="16.2" customHeight="1" x14ac:dyDescent="0.25">
      <c r="A199" s="72">
        <v>25</v>
      </c>
      <c r="B199" s="71">
        <v>24.9</v>
      </c>
      <c r="C199" s="71">
        <v>-0.1</v>
      </c>
      <c r="D199" s="416"/>
      <c r="F199" s="72">
        <v>50</v>
      </c>
      <c r="G199" s="71">
        <v>48</v>
      </c>
      <c r="H199" s="71">
        <v>0</v>
      </c>
      <c r="I199" s="418"/>
    </row>
    <row r="200" spans="1:10" s="72" customFormat="1" ht="16.2" customHeight="1" x14ac:dyDescent="0.25">
      <c r="A200" s="72">
        <v>30</v>
      </c>
      <c r="B200" s="71">
        <v>29.6</v>
      </c>
      <c r="C200" s="71">
        <v>0.1</v>
      </c>
      <c r="D200" s="416"/>
      <c r="F200" s="72">
        <v>60</v>
      </c>
      <c r="G200" s="71">
        <v>59</v>
      </c>
      <c r="H200" s="71">
        <v>-2</v>
      </c>
      <c r="I200" s="418"/>
    </row>
    <row r="201" spans="1:10" s="72" customFormat="1" ht="16.2" customHeight="1" x14ac:dyDescent="0.25">
      <c r="A201" s="72">
        <v>40</v>
      </c>
      <c r="B201" s="71">
        <v>40.1</v>
      </c>
      <c r="C201" s="71">
        <v>0.4</v>
      </c>
      <c r="D201" s="416"/>
      <c r="F201" s="72">
        <v>70</v>
      </c>
      <c r="G201" s="71">
        <v>69</v>
      </c>
      <c r="H201" s="71">
        <v>-3</v>
      </c>
      <c r="I201" s="418"/>
    </row>
    <row r="202" spans="1:10" s="72" customFormat="1" ht="16.2" customHeight="1" x14ac:dyDescent="0.25">
      <c r="A202" s="211">
        <v>50</v>
      </c>
      <c r="B202" s="212">
        <f>FORECAST(A202,B200:B201,A200:A201)</f>
        <v>50.6</v>
      </c>
      <c r="C202" s="212">
        <f>FORECAST(A202,C200:C201,A200:A201)</f>
        <v>0.7</v>
      </c>
      <c r="D202" s="416"/>
      <c r="F202" s="72">
        <v>80</v>
      </c>
      <c r="G202" s="212">
        <f>FORECAST(F202,G200:G201,F200:F201)</f>
        <v>79</v>
      </c>
      <c r="H202" s="212">
        <f>FORECAST(F202,H200:H201,F200:F201)</f>
        <v>-4</v>
      </c>
      <c r="I202" s="418"/>
    </row>
    <row r="203" spans="1:10" ht="16.2" customHeight="1" x14ac:dyDescent="0.25">
      <c r="B203" s="129">
        <f>B$312</f>
        <v>20</v>
      </c>
      <c r="C203" s="73">
        <f ca="1">FORECAST(B203,OFFSET($C$197:$C$202,MATCH(B203,$B$197:$B$202,1)-1,0,2),OFFSET($B$197:$B$202,MATCH(B203,$B$197:$B$202,1)-1,0,2))</f>
        <v>-0.20192943770672556</v>
      </c>
      <c r="D203" s="417"/>
      <c r="E203" s="72"/>
      <c r="F203" s="72"/>
      <c r="G203" s="73">
        <f>G$312</f>
        <v>50</v>
      </c>
      <c r="H203" s="73">
        <f ca="1">FORECAST(G203,OFFSET($H$197:$H$202,MATCH(G203,$G$197:$G$202,1)-1,0,2),OFFSET($G$197:$G$202,MATCH(G203,$G$197:$G$202,1)-1,0,2))</f>
        <v>-0.36363636363636331</v>
      </c>
      <c r="I203" s="418"/>
    </row>
    <row r="204" spans="1:10" ht="16.2" customHeight="1" x14ac:dyDescent="0.25">
      <c r="B204" s="131"/>
      <c r="C204" s="131"/>
      <c r="D204" s="132"/>
      <c r="G204" s="131"/>
      <c r="H204" s="131"/>
      <c r="I204" s="132"/>
    </row>
    <row r="206" spans="1:10" s="63" customFormat="1" ht="16.2" customHeight="1" x14ac:dyDescent="0.25">
      <c r="B206" s="62" t="s">
        <v>85</v>
      </c>
      <c r="C206" s="419" t="s">
        <v>414</v>
      </c>
      <c r="D206" s="420"/>
      <c r="G206" s="64" t="s">
        <v>86</v>
      </c>
      <c r="H206" s="65"/>
      <c r="I206" s="421">
        <v>45931</v>
      </c>
      <c r="J206" s="422"/>
    </row>
    <row r="207" spans="1:10" s="63" customFormat="1" ht="16.2" customHeight="1" x14ac:dyDescent="0.25">
      <c r="B207" s="62" t="s">
        <v>173</v>
      </c>
      <c r="C207" s="420" t="s">
        <v>334</v>
      </c>
      <c r="D207" s="420"/>
      <c r="G207" s="64" t="s">
        <v>87</v>
      </c>
      <c r="H207" s="65"/>
      <c r="I207" s="67" t="s">
        <v>250</v>
      </c>
      <c r="J207" s="66"/>
    </row>
    <row r="208" spans="1:10" s="63" customFormat="1" ht="16.2" customHeight="1" x14ac:dyDescent="0.25">
      <c r="B208" s="62" t="s">
        <v>174</v>
      </c>
      <c r="C208" s="428" t="s">
        <v>419</v>
      </c>
      <c r="D208" s="428"/>
    </row>
    <row r="209" spans="1:10" ht="15.6" customHeight="1" x14ac:dyDescent="0.25"/>
    <row r="210" spans="1:10" s="63" customFormat="1" ht="16.2" customHeight="1" x14ac:dyDescent="0.25">
      <c r="B210" s="424" t="s">
        <v>175</v>
      </c>
      <c r="C210" s="425"/>
      <c r="D210" s="426"/>
      <c r="G210" s="424" t="s">
        <v>176</v>
      </c>
      <c r="H210" s="425"/>
      <c r="I210" s="426"/>
    </row>
    <row r="211" spans="1:10" s="70" customFormat="1" ht="27" customHeight="1" x14ac:dyDescent="0.25">
      <c r="B211" s="69" t="s">
        <v>177</v>
      </c>
      <c r="C211" s="69" t="s">
        <v>88</v>
      </c>
      <c r="D211" s="69" t="s">
        <v>178</v>
      </c>
      <c r="G211" s="69" t="s">
        <v>177</v>
      </c>
      <c r="H211" s="69" t="s">
        <v>88</v>
      </c>
      <c r="I211" s="69" t="s">
        <v>178</v>
      </c>
    </row>
    <row r="212" spans="1:10" s="70" customFormat="1" ht="16.2" customHeight="1" x14ac:dyDescent="0.25">
      <c r="B212" s="69" t="s">
        <v>179</v>
      </c>
      <c r="C212" s="69" t="s">
        <v>179</v>
      </c>
      <c r="D212" s="69" t="s">
        <v>179</v>
      </c>
      <c r="G212" s="69" t="s">
        <v>47</v>
      </c>
      <c r="H212" s="69" t="s">
        <v>47</v>
      </c>
      <c r="I212" s="69" t="s">
        <v>47</v>
      </c>
    </row>
    <row r="213" spans="1:10" s="72" customFormat="1" ht="16.2" customHeight="1" x14ac:dyDescent="0.25">
      <c r="A213" s="211">
        <v>15</v>
      </c>
      <c r="B213" s="212">
        <f>FORECAST(A213,B214:B217,A214:A217)</f>
        <v>15.345714285714287</v>
      </c>
      <c r="C213" s="212">
        <f>FORECAST(A213,C214:C215,A214:A215)</f>
        <v>-0.8</v>
      </c>
      <c r="D213" s="415">
        <v>0.57999999999999996</v>
      </c>
      <c r="F213" s="72">
        <v>34</v>
      </c>
      <c r="G213" s="212">
        <f>FORECAST(F213,G214:G215,F214:F215)</f>
        <v>36</v>
      </c>
      <c r="H213" s="212">
        <f>FORECAST(F213,H214:H215,F214:F215)</f>
        <v>-13</v>
      </c>
      <c r="I213" s="418">
        <v>3</v>
      </c>
    </row>
    <row r="214" spans="1:10" s="72" customFormat="1" ht="16.2" customHeight="1" x14ac:dyDescent="0.25">
      <c r="A214" s="72">
        <v>20</v>
      </c>
      <c r="B214" s="71">
        <v>20.3</v>
      </c>
      <c r="C214" s="71">
        <v>-0.4</v>
      </c>
      <c r="D214" s="416"/>
      <c r="F214" s="72">
        <v>44</v>
      </c>
      <c r="G214" s="71">
        <v>44</v>
      </c>
      <c r="H214" s="71">
        <v>-8</v>
      </c>
      <c r="I214" s="418"/>
    </row>
    <row r="215" spans="1:10" s="72" customFormat="1" ht="16.2" customHeight="1" x14ac:dyDescent="0.25">
      <c r="A215" s="72">
        <v>25</v>
      </c>
      <c r="B215" s="71">
        <v>24.7</v>
      </c>
      <c r="C215" s="71">
        <v>0</v>
      </c>
      <c r="D215" s="416"/>
      <c r="F215" s="72">
        <v>54</v>
      </c>
      <c r="G215" s="71">
        <v>52</v>
      </c>
      <c r="H215" s="71">
        <v>-3</v>
      </c>
      <c r="I215" s="418"/>
    </row>
    <row r="216" spans="1:10" s="72" customFormat="1" ht="16.2" customHeight="1" x14ac:dyDescent="0.25">
      <c r="A216" s="72">
        <v>30</v>
      </c>
      <c r="B216" s="71">
        <v>29.6</v>
      </c>
      <c r="C216" s="71">
        <v>0.1</v>
      </c>
      <c r="D216" s="416"/>
      <c r="F216" s="72">
        <v>60</v>
      </c>
      <c r="G216" s="71">
        <v>61</v>
      </c>
      <c r="H216" s="71">
        <v>-3</v>
      </c>
      <c r="I216" s="418"/>
    </row>
    <row r="217" spans="1:10" s="72" customFormat="1" ht="16.2" customHeight="1" x14ac:dyDescent="0.25">
      <c r="A217" s="72">
        <v>40</v>
      </c>
      <c r="B217" s="71">
        <v>39.299999999999997</v>
      </c>
      <c r="C217" s="71">
        <v>0.9</v>
      </c>
      <c r="D217" s="416"/>
      <c r="F217" s="72">
        <v>70</v>
      </c>
      <c r="G217" s="71">
        <v>67</v>
      </c>
      <c r="H217" s="71">
        <v>2</v>
      </c>
      <c r="I217" s="418"/>
    </row>
    <row r="218" spans="1:10" s="72" customFormat="1" ht="16.2" customHeight="1" x14ac:dyDescent="0.25">
      <c r="A218" s="211">
        <v>50</v>
      </c>
      <c r="B218" s="212">
        <f>FORECAST(A218,B216:B217,A216:A217)</f>
        <v>49</v>
      </c>
      <c r="C218" s="212">
        <f>FORECAST(A218,C216:C217,A216:A217)</f>
        <v>1.6999999999999997</v>
      </c>
      <c r="D218" s="416"/>
      <c r="F218" s="72">
        <v>80</v>
      </c>
      <c r="G218" s="212">
        <f>FORECAST(F218,G216:G217,F216:F217)</f>
        <v>73</v>
      </c>
      <c r="H218" s="212">
        <f>FORECAST(F218,H216:H217,F216:F217)</f>
        <v>7</v>
      </c>
      <c r="I218" s="418"/>
    </row>
    <row r="219" spans="1:10" ht="16.2" customHeight="1" x14ac:dyDescent="0.25">
      <c r="B219" s="129">
        <f>B$312</f>
        <v>20</v>
      </c>
      <c r="C219" s="73">
        <f ca="1">FORECAST(B219,OFFSET($C$213:$C$218,MATCH(B219,$B$213:$B$218,1)-1,0,2),OFFSET($B$213:$B$218,MATCH(B219,$B$213:$B$218,1)-1,0,2))</f>
        <v>-0.42422145328719729</v>
      </c>
      <c r="D219" s="417"/>
      <c r="E219" s="72"/>
      <c r="F219" s="72"/>
      <c r="G219" s="73">
        <f>G$312</f>
        <v>50</v>
      </c>
      <c r="H219" s="73">
        <f ca="1">FORECAST(G219,OFFSET($H$213:$H$218,MATCH(G219,$G$213:$G$218,1)-1,0,2),OFFSET($G$213:$G$218,MATCH(G219,$G$213:$G$218,1)-1,0,2))</f>
        <v>-4.25</v>
      </c>
      <c r="I219" s="418"/>
    </row>
    <row r="220" spans="1:10" ht="16.2" customHeight="1" x14ac:dyDescent="0.25">
      <c r="B220" s="131"/>
      <c r="C220" s="131"/>
      <c r="D220" s="132"/>
      <c r="G220" s="131"/>
      <c r="H220" s="131"/>
      <c r="I220" s="132"/>
    </row>
    <row r="222" spans="1:10" s="63" customFormat="1" ht="16.2" customHeight="1" x14ac:dyDescent="0.25">
      <c r="B222" s="62" t="s">
        <v>85</v>
      </c>
      <c r="C222" s="419" t="s">
        <v>230</v>
      </c>
      <c r="D222" s="420"/>
      <c r="G222" s="64" t="s">
        <v>86</v>
      </c>
      <c r="H222" s="65"/>
      <c r="I222" s="421" t="s">
        <v>417</v>
      </c>
      <c r="J222" s="422"/>
    </row>
    <row r="223" spans="1:10" s="63" customFormat="1" ht="16.2" customHeight="1" x14ac:dyDescent="0.25">
      <c r="B223" s="62" t="s">
        <v>173</v>
      </c>
      <c r="C223" s="420" t="s">
        <v>231</v>
      </c>
      <c r="D223" s="420"/>
      <c r="G223" s="64" t="s">
        <v>87</v>
      </c>
      <c r="H223" s="65"/>
      <c r="I223" s="67" t="s">
        <v>250</v>
      </c>
      <c r="J223" s="66"/>
    </row>
    <row r="224" spans="1:10" s="63" customFormat="1" ht="16.2" customHeight="1" x14ac:dyDescent="0.25">
      <c r="B224" s="62" t="s">
        <v>174</v>
      </c>
      <c r="C224" s="428" t="s">
        <v>327</v>
      </c>
      <c r="D224" s="428"/>
    </row>
    <row r="225" spans="1:10" ht="15.6" customHeight="1" x14ac:dyDescent="0.25"/>
    <row r="226" spans="1:10" s="63" customFormat="1" ht="16.2" customHeight="1" x14ac:dyDescent="0.25">
      <c r="B226" s="424" t="s">
        <v>175</v>
      </c>
      <c r="C226" s="425"/>
      <c r="D226" s="426"/>
      <c r="G226" s="424" t="s">
        <v>176</v>
      </c>
      <c r="H226" s="425"/>
      <c r="I226" s="426"/>
    </row>
    <row r="227" spans="1:10" s="70" customFormat="1" ht="27" customHeight="1" x14ac:dyDescent="0.25">
      <c r="B227" s="69" t="s">
        <v>177</v>
      </c>
      <c r="C227" s="69" t="s">
        <v>88</v>
      </c>
      <c r="D227" s="69" t="s">
        <v>178</v>
      </c>
      <c r="G227" s="69" t="s">
        <v>177</v>
      </c>
      <c r="H227" s="69" t="s">
        <v>88</v>
      </c>
      <c r="I227" s="69" t="s">
        <v>178</v>
      </c>
    </row>
    <row r="228" spans="1:10" s="70" customFormat="1" ht="16.2" customHeight="1" x14ac:dyDescent="0.25">
      <c r="B228" s="69" t="s">
        <v>179</v>
      </c>
      <c r="C228" s="69" t="s">
        <v>179</v>
      </c>
      <c r="D228" s="69" t="s">
        <v>179</v>
      </c>
      <c r="G228" s="69" t="s">
        <v>47</v>
      </c>
      <c r="H228" s="69" t="s">
        <v>47</v>
      </c>
      <c r="I228" s="69" t="s">
        <v>47</v>
      </c>
    </row>
    <row r="229" spans="1:10" s="72" customFormat="1" ht="16.2" customHeight="1" x14ac:dyDescent="0.25">
      <c r="A229" s="211">
        <v>15</v>
      </c>
      <c r="B229" s="212">
        <f>FORECAST(A229,B230:B233,A230:A233)</f>
        <v>14.822857142857144</v>
      </c>
      <c r="C229" s="212">
        <f>FORECAST(A229,C230:C231,A230:A231)</f>
        <v>1.4000000000000001</v>
      </c>
      <c r="D229" s="415">
        <v>0.57999999999999996</v>
      </c>
      <c r="F229" s="72">
        <v>30</v>
      </c>
      <c r="G229" s="212">
        <f>FORECAST(F229,G230:G233,F230:F233)</f>
        <v>30</v>
      </c>
      <c r="H229" s="212">
        <f>FORECAST(F229,H230:H231,F230:F231)</f>
        <v>0</v>
      </c>
      <c r="I229" s="418">
        <v>3</v>
      </c>
    </row>
    <row r="230" spans="1:10" s="72" customFormat="1" ht="16.2" customHeight="1" x14ac:dyDescent="0.25">
      <c r="A230" s="72">
        <v>20</v>
      </c>
      <c r="B230" s="71">
        <v>20</v>
      </c>
      <c r="C230" s="71">
        <v>1</v>
      </c>
      <c r="D230" s="416"/>
      <c r="F230" s="72">
        <v>40</v>
      </c>
      <c r="G230" s="71">
        <v>40</v>
      </c>
      <c r="H230" s="71">
        <v>-1</v>
      </c>
      <c r="I230" s="418"/>
    </row>
    <row r="231" spans="1:10" s="72" customFormat="1" ht="16.2" customHeight="1" x14ac:dyDescent="0.25">
      <c r="A231" s="72">
        <v>25</v>
      </c>
      <c r="B231" s="71">
        <v>25</v>
      </c>
      <c r="C231" s="71">
        <v>0.6</v>
      </c>
      <c r="D231" s="416"/>
      <c r="F231" s="72">
        <v>50</v>
      </c>
      <c r="G231" s="71">
        <v>50</v>
      </c>
      <c r="H231" s="71">
        <v>-2</v>
      </c>
      <c r="I231" s="418"/>
    </row>
    <row r="232" spans="1:10" s="72" customFormat="1" ht="16.2" customHeight="1" x14ac:dyDescent="0.25">
      <c r="A232" s="72">
        <v>30</v>
      </c>
      <c r="B232" s="71">
        <v>30.3</v>
      </c>
      <c r="C232" s="71">
        <v>0.4</v>
      </c>
      <c r="D232" s="416"/>
      <c r="F232" s="72">
        <v>60</v>
      </c>
      <c r="G232" s="71">
        <v>60</v>
      </c>
      <c r="H232" s="71">
        <v>-2</v>
      </c>
      <c r="I232" s="418"/>
    </row>
    <row r="233" spans="1:10" s="72" customFormat="1" ht="16.2" customHeight="1" x14ac:dyDescent="0.25">
      <c r="A233" s="72">
        <v>40</v>
      </c>
      <c r="B233" s="71">
        <v>40.5</v>
      </c>
      <c r="C233" s="71">
        <v>0</v>
      </c>
      <c r="D233" s="416"/>
      <c r="F233" s="72">
        <v>70</v>
      </c>
      <c r="G233" s="71">
        <v>70</v>
      </c>
      <c r="H233" s="71">
        <v>-2</v>
      </c>
      <c r="I233" s="418"/>
    </row>
    <row r="234" spans="1:10" s="72" customFormat="1" ht="16.2" customHeight="1" x14ac:dyDescent="0.25">
      <c r="A234" s="211">
        <v>50</v>
      </c>
      <c r="B234" s="212">
        <f>FORECAST(A234,B232:B233,A232:A233)</f>
        <v>50.699999999999996</v>
      </c>
      <c r="C234" s="212">
        <f>FORECAST(A234,C232:C233,A232:A233)</f>
        <v>-0.39999999999999991</v>
      </c>
      <c r="D234" s="416"/>
      <c r="F234" s="72">
        <v>80</v>
      </c>
      <c r="G234" s="212">
        <f>FORECAST(F234,G232:G233,F232:F233)</f>
        <v>80</v>
      </c>
      <c r="H234" s="212">
        <f>FORECAST(F234,H232:H233,F232:F233)</f>
        <v>-2</v>
      </c>
      <c r="I234" s="418"/>
    </row>
    <row r="235" spans="1:10" ht="16.2" customHeight="1" x14ac:dyDescent="0.25">
      <c r="B235" s="129">
        <f>B$312</f>
        <v>20</v>
      </c>
      <c r="C235" s="73">
        <f ca="1">FORECAST(B235,OFFSET($C$229:$C$234,MATCH(B235,$B$229:$B$234,1)-1,0,2),OFFSET($B$229:$B$234,MATCH(B235,$B$229:$B$234,1)-1,0,2))</f>
        <v>1</v>
      </c>
      <c r="D235" s="417"/>
      <c r="E235" s="72"/>
      <c r="F235" s="72"/>
      <c r="G235" s="73">
        <f>G$312</f>
        <v>50</v>
      </c>
      <c r="H235" s="73">
        <f ca="1">FORECAST(G235,OFFSET($H$229:$H$234,MATCH(G235,$G$229:$G$234,1)-1,0,2),OFFSET($G$229:$G$234,MATCH(G235,$G$229:$G$234,1)-1,0,2))</f>
        <v>-2</v>
      </c>
      <c r="I235" s="418"/>
    </row>
    <row r="236" spans="1:10" ht="16.2" customHeight="1" x14ac:dyDescent="0.25">
      <c r="B236" s="131"/>
      <c r="C236" s="131"/>
      <c r="D236" s="132"/>
      <c r="G236" s="131"/>
      <c r="H236" s="131"/>
      <c r="I236" s="132"/>
    </row>
    <row r="238" spans="1:10" s="63" customFormat="1" ht="16.2" customHeight="1" x14ac:dyDescent="0.25">
      <c r="B238" s="62" t="s">
        <v>85</v>
      </c>
      <c r="C238" s="419" t="s">
        <v>414</v>
      </c>
      <c r="D238" s="420"/>
      <c r="G238" s="64" t="s">
        <v>86</v>
      </c>
      <c r="H238" s="65"/>
      <c r="I238" s="421">
        <v>45870</v>
      </c>
      <c r="J238" s="422"/>
    </row>
    <row r="239" spans="1:10" s="63" customFormat="1" ht="16.2" customHeight="1" x14ac:dyDescent="0.25">
      <c r="B239" s="62" t="s">
        <v>173</v>
      </c>
      <c r="C239" s="420" t="s">
        <v>334</v>
      </c>
      <c r="D239" s="420"/>
      <c r="G239" s="64" t="s">
        <v>87</v>
      </c>
      <c r="H239" s="65"/>
      <c r="I239" s="67" t="s">
        <v>250</v>
      </c>
      <c r="J239" s="66"/>
    </row>
    <row r="240" spans="1:10" s="63" customFormat="1" ht="16.2" customHeight="1" x14ac:dyDescent="0.25">
      <c r="B240" s="62" t="s">
        <v>174</v>
      </c>
      <c r="C240" s="428" t="s">
        <v>420</v>
      </c>
      <c r="D240" s="428"/>
    </row>
    <row r="241" spans="1:10" ht="15.6" customHeight="1" x14ac:dyDescent="0.25"/>
    <row r="242" spans="1:10" s="63" customFormat="1" ht="16.2" customHeight="1" x14ac:dyDescent="0.25">
      <c r="B242" s="424" t="s">
        <v>175</v>
      </c>
      <c r="C242" s="425"/>
      <c r="D242" s="426"/>
      <c r="G242" s="424" t="s">
        <v>176</v>
      </c>
      <c r="H242" s="425"/>
      <c r="I242" s="426"/>
    </row>
    <row r="243" spans="1:10" s="70" customFormat="1" ht="27" customHeight="1" x14ac:dyDescent="0.25">
      <c r="B243" s="69" t="s">
        <v>177</v>
      </c>
      <c r="C243" s="69" t="s">
        <v>88</v>
      </c>
      <c r="D243" s="69" t="s">
        <v>178</v>
      </c>
      <c r="G243" s="69" t="s">
        <v>177</v>
      </c>
      <c r="H243" s="69" t="s">
        <v>88</v>
      </c>
      <c r="I243" s="69" t="s">
        <v>178</v>
      </c>
    </row>
    <row r="244" spans="1:10" s="70" customFormat="1" ht="16.2" customHeight="1" x14ac:dyDescent="0.25">
      <c r="B244" s="69" t="s">
        <v>179</v>
      </c>
      <c r="C244" s="69" t="s">
        <v>179</v>
      </c>
      <c r="D244" s="69" t="s">
        <v>179</v>
      </c>
      <c r="G244" s="69" t="s">
        <v>47</v>
      </c>
      <c r="H244" s="69" t="s">
        <v>47</v>
      </c>
      <c r="I244" s="69" t="s">
        <v>47</v>
      </c>
    </row>
    <row r="245" spans="1:10" s="72" customFormat="1" ht="16.2" customHeight="1" x14ac:dyDescent="0.25">
      <c r="A245" s="211">
        <v>15</v>
      </c>
      <c r="B245" s="212">
        <f>FORECAST(A245,B246:B249,A246:A249)</f>
        <v>14.911428571428575</v>
      </c>
      <c r="C245" s="212">
        <f>FORECAST(A245,C246:C247,A246:A247)</f>
        <v>0.20000000000000007</v>
      </c>
      <c r="D245" s="415">
        <v>0.57999999999999996</v>
      </c>
      <c r="F245" s="72">
        <v>33</v>
      </c>
      <c r="G245" s="212">
        <f>FORECAST(F245,G246:G248,F246:F248)</f>
        <v>33</v>
      </c>
      <c r="H245" s="212">
        <f>FORECAST(F245,H246:H248,F246:F248)</f>
        <v>-9.3333333333333321</v>
      </c>
      <c r="I245" s="418">
        <v>3</v>
      </c>
    </row>
    <row r="246" spans="1:10" s="72" customFormat="1" ht="16.2" customHeight="1" x14ac:dyDescent="0.25">
      <c r="A246" s="72">
        <v>20</v>
      </c>
      <c r="B246" s="71">
        <v>19.899999999999999</v>
      </c>
      <c r="C246" s="71">
        <v>0</v>
      </c>
      <c r="D246" s="416"/>
      <c r="F246" s="72">
        <v>43</v>
      </c>
      <c r="G246" s="71">
        <v>43</v>
      </c>
      <c r="H246" s="71">
        <v>-7</v>
      </c>
      <c r="I246" s="418"/>
    </row>
    <row r="247" spans="1:10" s="72" customFormat="1" ht="16.2" customHeight="1" x14ac:dyDescent="0.25">
      <c r="A247" s="72">
        <v>25</v>
      </c>
      <c r="B247" s="71">
        <v>24.9</v>
      </c>
      <c r="C247" s="71">
        <v>-0.2</v>
      </c>
      <c r="D247" s="416"/>
      <c r="F247" s="72">
        <v>53</v>
      </c>
      <c r="G247" s="71">
        <v>53</v>
      </c>
      <c r="H247" s="71">
        <v>-4</v>
      </c>
      <c r="I247" s="418"/>
    </row>
    <row r="248" spans="1:10" s="72" customFormat="1" ht="16.2" customHeight="1" x14ac:dyDescent="0.25">
      <c r="A248" s="72">
        <v>30</v>
      </c>
      <c r="B248" s="71">
        <v>29.7</v>
      </c>
      <c r="C248" s="71">
        <v>0</v>
      </c>
      <c r="D248" s="416"/>
      <c r="F248" s="72">
        <v>63</v>
      </c>
      <c r="G248" s="71">
        <v>63</v>
      </c>
      <c r="H248" s="71">
        <v>-2</v>
      </c>
      <c r="I248" s="418"/>
    </row>
    <row r="249" spans="1:10" s="72" customFormat="1" ht="16.2" customHeight="1" x14ac:dyDescent="0.25">
      <c r="A249" s="72">
        <v>40</v>
      </c>
      <c r="B249" s="71">
        <v>39.799999999999997</v>
      </c>
      <c r="C249" s="71">
        <v>0.4</v>
      </c>
      <c r="D249" s="416"/>
      <c r="F249" s="72">
        <v>66</v>
      </c>
      <c r="G249" s="71">
        <v>66</v>
      </c>
      <c r="H249" s="71">
        <v>3</v>
      </c>
      <c r="I249" s="418"/>
    </row>
    <row r="250" spans="1:10" s="72" customFormat="1" ht="16.2" customHeight="1" x14ac:dyDescent="0.25">
      <c r="A250" s="211">
        <v>50</v>
      </c>
      <c r="B250" s="212">
        <f>FORECAST(A250,B248:B249,A248:A249)</f>
        <v>49.899999999999991</v>
      </c>
      <c r="C250" s="212">
        <f>FORECAST(A250,C248:C249,A248:A249)</f>
        <v>0.79999999999999982</v>
      </c>
      <c r="D250" s="416"/>
      <c r="F250" s="72">
        <v>70</v>
      </c>
      <c r="G250" s="212">
        <f>FORECAST(F250,G248:G249,F248:F249)</f>
        <v>70</v>
      </c>
      <c r="H250" s="212">
        <f>FORECAST(F250,H248:H249,F248:F249)</f>
        <v>9.6666666666666714</v>
      </c>
      <c r="I250" s="418"/>
    </row>
    <row r="251" spans="1:10" ht="16.2" customHeight="1" x14ac:dyDescent="0.25">
      <c r="B251" s="129">
        <f>B$312</f>
        <v>20</v>
      </c>
      <c r="C251" s="73">
        <f ca="1">FORECAST(B251,OFFSET($C$245:$C$250,MATCH(B251,$B$245:$B$250,1)-1,0,2),OFFSET($B$245:$B$250,MATCH(B251,$B$245:$B$250,1)-1,0,2))</f>
        <v>-4.0000000000001146E-3</v>
      </c>
      <c r="D251" s="417"/>
      <c r="E251" s="72"/>
      <c r="F251" s="72"/>
      <c r="G251" s="73">
        <f>G$312</f>
        <v>50</v>
      </c>
      <c r="H251" s="73">
        <f ca="1">FORECAST(G251,OFFSET($H$245:$H$250,MATCH(G251,$G$245:$G$250,1)-1,0,2),OFFSET($G$245:$G$250,MATCH(G251,$G$245:$G$250,1)-1,0,2))</f>
        <v>-4.8999999999999986</v>
      </c>
      <c r="I251" s="418"/>
    </row>
    <row r="252" spans="1:10" ht="16.2" customHeight="1" x14ac:dyDescent="0.25">
      <c r="B252" s="131"/>
      <c r="C252" s="131"/>
      <c r="D252" s="132"/>
      <c r="G252" s="131"/>
      <c r="H252" s="131"/>
      <c r="I252" s="132"/>
    </row>
    <row r="254" spans="1:10" s="63" customFormat="1" ht="16.2" customHeight="1" x14ac:dyDescent="0.25">
      <c r="B254" s="62" t="s">
        <v>85</v>
      </c>
      <c r="C254" s="419" t="s">
        <v>414</v>
      </c>
      <c r="D254" s="420"/>
      <c r="G254" s="64" t="s">
        <v>86</v>
      </c>
      <c r="H254" s="65"/>
      <c r="I254" s="421">
        <v>45870</v>
      </c>
      <c r="J254" s="422"/>
    </row>
    <row r="255" spans="1:10" s="63" customFormat="1" ht="16.2" customHeight="1" x14ac:dyDescent="0.25">
      <c r="B255" s="62" t="s">
        <v>173</v>
      </c>
      <c r="C255" s="420" t="s">
        <v>334</v>
      </c>
      <c r="D255" s="420"/>
      <c r="G255" s="64" t="s">
        <v>87</v>
      </c>
      <c r="H255" s="65"/>
      <c r="I255" s="67" t="s">
        <v>250</v>
      </c>
      <c r="J255" s="66"/>
    </row>
    <row r="256" spans="1:10" s="63" customFormat="1" ht="16.2" customHeight="1" x14ac:dyDescent="0.25">
      <c r="B256" s="62" t="s">
        <v>174</v>
      </c>
      <c r="C256" s="428" t="s">
        <v>421</v>
      </c>
      <c r="D256" s="428"/>
    </row>
    <row r="257" spans="1:10" ht="15.6" customHeight="1" x14ac:dyDescent="0.25"/>
    <row r="258" spans="1:10" s="63" customFormat="1" ht="16.2" customHeight="1" x14ac:dyDescent="0.25">
      <c r="B258" s="424" t="s">
        <v>175</v>
      </c>
      <c r="C258" s="425"/>
      <c r="D258" s="426"/>
      <c r="G258" s="424" t="s">
        <v>176</v>
      </c>
      <c r="H258" s="425"/>
      <c r="I258" s="426"/>
    </row>
    <row r="259" spans="1:10" s="70" customFormat="1" ht="27" customHeight="1" x14ac:dyDescent="0.25">
      <c r="B259" s="69" t="s">
        <v>177</v>
      </c>
      <c r="C259" s="69" t="s">
        <v>88</v>
      </c>
      <c r="D259" s="69" t="s">
        <v>178</v>
      </c>
      <c r="G259" s="69" t="s">
        <v>177</v>
      </c>
      <c r="H259" s="69" t="s">
        <v>88</v>
      </c>
      <c r="I259" s="69" t="s">
        <v>178</v>
      </c>
    </row>
    <row r="260" spans="1:10" s="70" customFormat="1" ht="16.2" customHeight="1" x14ac:dyDescent="0.25">
      <c r="B260" s="69" t="s">
        <v>179</v>
      </c>
      <c r="C260" s="69" t="s">
        <v>179</v>
      </c>
      <c r="D260" s="69" t="s">
        <v>179</v>
      </c>
      <c r="G260" s="69" t="s">
        <v>47</v>
      </c>
      <c r="H260" s="69" t="s">
        <v>47</v>
      </c>
      <c r="I260" s="69" t="s">
        <v>47</v>
      </c>
    </row>
    <row r="261" spans="1:10" s="72" customFormat="1" ht="16.2" customHeight="1" x14ac:dyDescent="0.25">
      <c r="A261" s="211">
        <v>15</v>
      </c>
      <c r="B261" s="212">
        <f>FORECAST(A261,B262:B265,A262:A265)</f>
        <v>15.025714285714287</v>
      </c>
      <c r="C261" s="212">
        <f>FORECAST(A261,C262:C263,A262:A263)</f>
        <v>0</v>
      </c>
      <c r="D261" s="415">
        <v>0.57999999999999996</v>
      </c>
      <c r="F261" s="72">
        <v>30</v>
      </c>
      <c r="G261" s="212">
        <f>FORECAST(F261,G262:G264,F262:F264)</f>
        <v>31</v>
      </c>
      <c r="H261" s="212">
        <f>FORECAST(F261,H262:H264,F262:F264)</f>
        <v>-5.3333333333333339</v>
      </c>
      <c r="I261" s="418">
        <v>3</v>
      </c>
    </row>
    <row r="262" spans="1:10" s="72" customFormat="1" ht="16.2" customHeight="1" x14ac:dyDescent="0.25">
      <c r="A262" s="72">
        <v>20</v>
      </c>
      <c r="B262" s="71">
        <v>19.8</v>
      </c>
      <c r="C262" s="71">
        <v>0.1</v>
      </c>
      <c r="D262" s="416"/>
      <c r="F262" s="72">
        <v>40</v>
      </c>
      <c r="G262" s="71">
        <v>40</v>
      </c>
      <c r="H262" s="71">
        <v>-4</v>
      </c>
      <c r="I262" s="418"/>
    </row>
    <row r="263" spans="1:10" s="72" customFormat="1" ht="16.2" customHeight="1" x14ac:dyDescent="0.25">
      <c r="A263" s="72">
        <v>25</v>
      </c>
      <c r="B263" s="71">
        <v>24.5</v>
      </c>
      <c r="C263" s="71">
        <v>0.2</v>
      </c>
      <c r="D263" s="416"/>
      <c r="F263" s="72">
        <v>50</v>
      </c>
      <c r="G263" s="71">
        <v>51</v>
      </c>
      <c r="H263" s="71">
        <v>-2</v>
      </c>
      <c r="I263" s="418"/>
    </row>
    <row r="264" spans="1:10" s="72" customFormat="1" ht="16.2" customHeight="1" x14ac:dyDescent="0.25">
      <c r="A264" s="72">
        <v>30</v>
      </c>
      <c r="B264" s="71">
        <v>29.3</v>
      </c>
      <c r="C264" s="71">
        <v>0.4</v>
      </c>
      <c r="D264" s="416"/>
      <c r="F264" s="72">
        <v>60</v>
      </c>
      <c r="G264" s="71">
        <v>59</v>
      </c>
      <c r="H264" s="71">
        <v>-1</v>
      </c>
      <c r="I264" s="418"/>
    </row>
    <row r="265" spans="1:10" s="72" customFormat="1" ht="16.2" customHeight="1" x14ac:dyDescent="0.25">
      <c r="A265" s="72">
        <v>40</v>
      </c>
      <c r="B265" s="71">
        <v>38.799999999999997</v>
      </c>
      <c r="C265" s="71">
        <v>1.4</v>
      </c>
      <c r="D265" s="416"/>
      <c r="F265" s="72">
        <v>70</v>
      </c>
      <c r="G265" s="71">
        <v>63</v>
      </c>
      <c r="H265" s="71">
        <v>6</v>
      </c>
      <c r="I265" s="418"/>
    </row>
    <row r="266" spans="1:10" s="72" customFormat="1" ht="16.2" customHeight="1" x14ac:dyDescent="0.25">
      <c r="A266" s="211">
        <v>50</v>
      </c>
      <c r="B266" s="212">
        <f>FORECAST(A266,B264:B265,A264:A265)</f>
        <v>48.29999999999999</v>
      </c>
      <c r="C266" s="212">
        <f>FORECAST(A266,C264:C265,A264:A265)</f>
        <v>2.4</v>
      </c>
      <c r="D266" s="416"/>
      <c r="F266" s="72">
        <v>70</v>
      </c>
      <c r="G266" s="212">
        <f>FORECAST(F266,G264:G265,F264:F265)</f>
        <v>63</v>
      </c>
      <c r="H266" s="212">
        <f>FORECAST(F266,H264:H265,F264:F265)</f>
        <v>6</v>
      </c>
      <c r="I266" s="418"/>
    </row>
    <row r="267" spans="1:10" ht="16.2" customHeight="1" x14ac:dyDescent="0.25">
      <c r="B267" s="129">
        <f>B$312</f>
        <v>20</v>
      </c>
      <c r="C267" s="73">
        <f ca="1">FORECAST(B267,OFFSET($C$261:$C$266,MATCH(B267,$B$261:$B$266,1)-1,0,2),OFFSET($B$261:$B$266,MATCH(B267,$B$261:$B$266,1)-1,0,2))</f>
        <v>0.10425531914893621</v>
      </c>
      <c r="D267" s="417"/>
      <c r="E267" s="72"/>
      <c r="F267" s="72"/>
      <c r="G267" s="73">
        <f>G$312</f>
        <v>50</v>
      </c>
      <c r="H267" s="73">
        <f ca="1">FORECAST(G267,OFFSET($H$261:$H$266,MATCH(G267,$G$261:$G$266,1)-1,0,2),OFFSET($G$261:$G$266,MATCH(G267,$G$261:$G$266,1)-1,0,2))</f>
        <v>-2.1818181818181817</v>
      </c>
      <c r="I267" s="418"/>
    </row>
    <row r="268" spans="1:10" ht="16.2" customHeight="1" x14ac:dyDescent="0.25">
      <c r="B268" s="131"/>
      <c r="C268" s="131"/>
      <c r="D268" s="132"/>
      <c r="G268" s="131"/>
      <c r="H268" s="131"/>
      <c r="I268" s="132"/>
    </row>
    <row r="270" spans="1:10" s="63" customFormat="1" ht="16.2" customHeight="1" x14ac:dyDescent="0.25">
      <c r="B270" s="62" t="s">
        <v>85</v>
      </c>
      <c r="C270" s="419"/>
      <c r="D270" s="420"/>
      <c r="G270" s="64" t="s">
        <v>86</v>
      </c>
      <c r="H270" s="65"/>
      <c r="I270" s="421"/>
      <c r="J270" s="422"/>
    </row>
    <row r="271" spans="1:10" s="63" customFormat="1" ht="16.2" customHeight="1" x14ac:dyDescent="0.25">
      <c r="B271" s="62" t="s">
        <v>173</v>
      </c>
      <c r="C271" s="420"/>
      <c r="D271" s="420"/>
      <c r="G271" s="64" t="s">
        <v>87</v>
      </c>
      <c r="H271" s="65"/>
      <c r="I271" s="67"/>
      <c r="J271" s="66"/>
    </row>
    <row r="272" spans="1:10" s="63" customFormat="1" ht="16.2" customHeight="1" x14ac:dyDescent="0.25">
      <c r="B272" s="62" t="s">
        <v>174</v>
      </c>
      <c r="C272" s="419"/>
      <c r="D272" s="419"/>
    </row>
    <row r="273" spans="1:9" ht="15.6" customHeight="1" x14ac:dyDescent="0.25"/>
    <row r="274" spans="1:9" s="63" customFormat="1" ht="16.2" customHeight="1" x14ac:dyDescent="0.25">
      <c r="B274" s="424" t="s">
        <v>175</v>
      </c>
      <c r="C274" s="425"/>
      <c r="D274" s="426"/>
      <c r="G274" s="424" t="s">
        <v>176</v>
      </c>
      <c r="H274" s="425"/>
      <c r="I274" s="426"/>
    </row>
    <row r="275" spans="1:9" s="70" customFormat="1" ht="27" customHeight="1" x14ac:dyDescent="0.25">
      <c r="B275" s="69" t="s">
        <v>177</v>
      </c>
      <c r="C275" s="69" t="s">
        <v>88</v>
      </c>
      <c r="D275" s="69" t="s">
        <v>178</v>
      </c>
      <c r="G275" s="69" t="s">
        <v>177</v>
      </c>
      <c r="H275" s="69" t="s">
        <v>88</v>
      </c>
      <c r="I275" s="69" t="s">
        <v>178</v>
      </c>
    </row>
    <row r="276" spans="1:9" s="70" customFormat="1" ht="16.2" customHeight="1" x14ac:dyDescent="0.25">
      <c r="B276" s="69" t="s">
        <v>179</v>
      </c>
      <c r="C276" s="69" t="s">
        <v>179</v>
      </c>
      <c r="D276" s="69" t="s">
        <v>179</v>
      </c>
      <c r="G276" s="69" t="s">
        <v>47</v>
      </c>
      <c r="H276" s="69" t="s">
        <v>47</v>
      </c>
      <c r="I276" s="69" t="s">
        <v>47</v>
      </c>
    </row>
    <row r="277" spans="1:9" s="72" customFormat="1" ht="16.2" customHeight="1" x14ac:dyDescent="0.25">
      <c r="A277" s="211">
        <v>15</v>
      </c>
      <c r="B277" s="212"/>
      <c r="C277" s="212"/>
      <c r="D277" s="415"/>
      <c r="G277" s="212"/>
      <c r="H277" s="212"/>
      <c r="I277" s="418">
        <v>2.2000000000000002</v>
      </c>
    </row>
    <row r="278" spans="1:9" s="72" customFormat="1" ht="16.2" customHeight="1" x14ac:dyDescent="0.25">
      <c r="A278" s="72">
        <v>20</v>
      </c>
      <c r="B278" s="71"/>
      <c r="C278" s="71"/>
      <c r="D278" s="416"/>
      <c r="G278" s="71"/>
      <c r="H278" s="71"/>
      <c r="I278" s="418"/>
    </row>
    <row r="279" spans="1:9" s="72" customFormat="1" ht="16.2" customHeight="1" x14ac:dyDescent="0.25">
      <c r="A279" s="72">
        <v>25</v>
      </c>
      <c r="B279" s="71"/>
      <c r="C279" s="71"/>
      <c r="D279" s="416"/>
      <c r="G279" s="71"/>
      <c r="H279" s="71"/>
      <c r="I279" s="418"/>
    </row>
    <row r="280" spans="1:9" s="72" customFormat="1" ht="16.2" customHeight="1" x14ac:dyDescent="0.25">
      <c r="A280" s="72">
        <v>30</v>
      </c>
      <c r="B280" s="71"/>
      <c r="C280" s="71"/>
      <c r="D280" s="416"/>
      <c r="G280" s="71"/>
      <c r="H280" s="71"/>
      <c r="I280" s="418"/>
    </row>
    <row r="281" spans="1:9" s="72" customFormat="1" ht="16.2" customHeight="1" x14ac:dyDescent="0.25">
      <c r="A281" s="72">
        <v>40</v>
      </c>
      <c r="B281" s="71"/>
      <c r="C281" s="71"/>
      <c r="D281" s="416"/>
      <c r="G281" s="71"/>
      <c r="H281" s="71"/>
      <c r="I281" s="418"/>
    </row>
    <row r="282" spans="1:9" s="72" customFormat="1" ht="16.2" customHeight="1" x14ac:dyDescent="0.25">
      <c r="A282" s="211">
        <v>50</v>
      </c>
      <c r="B282" s="212"/>
      <c r="C282" s="212"/>
      <c r="D282" s="416"/>
      <c r="G282" s="212"/>
      <c r="H282" s="212"/>
      <c r="I282" s="418"/>
    </row>
    <row r="283" spans="1:9" ht="16.2" customHeight="1" x14ac:dyDescent="0.25">
      <c r="B283" s="129">
        <f>B$312</f>
        <v>20</v>
      </c>
      <c r="C283" s="73" t="e">
        <f ca="1">FORECAST(B283,OFFSET($C$277:$C$282,MATCH(B283,$B$277:$B$282,1)-1,0,2),OFFSET($B$277:$B$282,MATCH(B283,$B$277:$B$282,1)-1,0,2))</f>
        <v>#N/A</v>
      </c>
      <c r="D283" s="417"/>
      <c r="E283" s="72"/>
      <c r="F283" s="72"/>
      <c r="G283" s="73">
        <f>G$312</f>
        <v>50</v>
      </c>
      <c r="H283" s="73" t="e">
        <f ca="1">FORECAST(G283,OFFSET($H$277:$H$282,MATCH(G283,$G$277:$G$282,1)-1,0,2),OFFSET($G$277:$G$282,MATCH(G283,$G$277:$G$282,1)-1,0,2))</f>
        <v>#N/A</v>
      </c>
      <c r="I283" s="418"/>
    </row>
    <row r="284" spans="1:9" ht="16.2" customHeight="1" x14ac:dyDescent="0.25">
      <c r="B284" s="131"/>
      <c r="C284" s="131"/>
      <c r="D284" s="132"/>
      <c r="G284" s="131"/>
      <c r="H284" s="131"/>
      <c r="I284" s="132"/>
    </row>
    <row r="286" spans="1:9" s="75" customFormat="1" ht="5.0999999999999996" customHeight="1" x14ac:dyDescent="0.25">
      <c r="B286" s="74"/>
    </row>
    <row r="287" spans="1:9" ht="16.2" customHeight="1" x14ac:dyDescent="0.25">
      <c r="B287" s="72"/>
    </row>
    <row r="288" spans="1:9" s="63" customFormat="1" ht="16.2" customHeight="1" x14ac:dyDescent="0.25">
      <c r="B288" s="424" t="s">
        <v>175</v>
      </c>
      <c r="C288" s="425"/>
      <c r="D288" s="426"/>
      <c r="G288" s="424" t="s">
        <v>176</v>
      </c>
      <c r="H288" s="425"/>
      <c r="I288" s="426"/>
    </row>
    <row r="289" spans="2:9" s="70" customFormat="1" ht="27" customHeight="1" x14ac:dyDescent="0.25">
      <c r="B289" s="436" t="s">
        <v>180</v>
      </c>
      <c r="C289" s="69" t="s">
        <v>88</v>
      </c>
      <c r="D289" s="69" t="s">
        <v>178</v>
      </c>
      <c r="G289" s="436" t="s">
        <v>180</v>
      </c>
      <c r="H289" s="69" t="s">
        <v>88</v>
      </c>
      <c r="I289" s="69" t="s">
        <v>178</v>
      </c>
    </row>
    <row r="290" spans="2:9" s="70" customFormat="1" ht="16.2" customHeight="1" x14ac:dyDescent="0.25">
      <c r="B290" s="437"/>
      <c r="C290" s="69" t="s">
        <v>179</v>
      </c>
      <c r="D290" s="69" t="s">
        <v>179</v>
      </c>
      <c r="G290" s="437"/>
      <c r="H290" s="69" t="s">
        <v>47</v>
      </c>
      <c r="I290" s="69" t="s">
        <v>179</v>
      </c>
    </row>
    <row r="291" spans="2:9" s="72" customFormat="1" ht="16.2" customHeight="1" x14ac:dyDescent="0.25">
      <c r="B291" s="107" t="s">
        <v>232</v>
      </c>
      <c r="C291" s="71">
        <f ca="1">C15</f>
        <v>0.57419354838709702</v>
      </c>
      <c r="D291" s="209">
        <f>D10</f>
        <v>0.57999999999999996</v>
      </c>
      <c r="G291" s="71" t="str">
        <f>B291</f>
        <v>TH-01</v>
      </c>
      <c r="H291" s="71">
        <f ca="1">H15</f>
        <v>1.333333333333333</v>
      </c>
      <c r="I291" s="71">
        <f>I10</f>
        <v>3</v>
      </c>
    </row>
    <row r="292" spans="2:9" s="72" customFormat="1" ht="16.2" customHeight="1" x14ac:dyDescent="0.25">
      <c r="B292" s="107" t="s">
        <v>233</v>
      </c>
      <c r="C292" s="71">
        <f ca="1">C31</f>
        <v>-9.9999999999999978E-2</v>
      </c>
      <c r="D292" s="209">
        <f>D25</f>
        <v>0.57999999999999996</v>
      </c>
      <c r="G292" s="71" t="str">
        <f t="shared" ref="G292:G308" si="0">B292</f>
        <v>TH-02</v>
      </c>
      <c r="H292" s="71">
        <f ca="1">H31</f>
        <v>-1.1818181818181817</v>
      </c>
      <c r="I292" s="71">
        <f>I25</f>
        <v>3</v>
      </c>
    </row>
    <row r="293" spans="2:9" s="72" customFormat="1" ht="16.2" customHeight="1" x14ac:dyDescent="0.25">
      <c r="B293" s="107" t="s">
        <v>234</v>
      </c>
      <c r="C293" s="71">
        <f ca="1">C46</f>
        <v>0.47956989247311821</v>
      </c>
      <c r="D293" s="209">
        <f>D41</f>
        <v>0.57999999999999996</v>
      </c>
      <c r="G293" s="71" t="str">
        <f t="shared" si="0"/>
        <v>TH-03</v>
      </c>
      <c r="H293" s="71">
        <f ca="1">H46</f>
        <v>2.545454545454545</v>
      </c>
      <c r="I293" s="71">
        <f>I41</f>
        <v>3</v>
      </c>
    </row>
    <row r="294" spans="2:9" s="72" customFormat="1" ht="16.2" customHeight="1" x14ac:dyDescent="0.25">
      <c r="B294" s="107" t="s">
        <v>235</v>
      </c>
      <c r="C294" s="71">
        <f ca="1">C61</f>
        <v>-1.2382978723404254</v>
      </c>
      <c r="D294" s="209">
        <f>D56</f>
        <v>0.57999999999999996</v>
      </c>
      <c r="G294" s="71" t="str">
        <f t="shared" si="0"/>
        <v>TH-04</v>
      </c>
      <c r="H294" s="71">
        <f ca="1">H61</f>
        <v>-1.0909090909090908</v>
      </c>
      <c r="I294" s="71">
        <f>I56</f>
        <v>3</v>
      </c>
    </row>
    <row r="295" spans="2:9" ht="16.2" customHeight="1" x14ac:dyDescent="0.25">
      <c r="B295" s="107" t="s">
        <v>236</v>
      </c>
      <c r="C295" s="71">
        <f ca="1">C77</f>
        <v>0.6333333333333333</v>
      </c>
      <c r="D295" s="209">
        <f>D72</f>
        <v>0.57999999999999996</v>
      </c>
      <c r="E295" s="72"/>
      <c r="F295" s="72"/>
      <c r="G295" s="71" t="str">
        <f t="shared" si="0"/>
        <v>TH-05</v>
      </c>
      <c r="H295" s="71">
        <f ca="1">H77</f>
        <v>7.0909090909090908</v>
      </c>
      <c r="I295" s="71">
        <f>I72</f>
        <v>3</v>
      </c>
    </row>
    <row r="296" spans="2:9" ht="16.2" customHeight="1" x14ac:dyDescent="0.25">
      <c r="B296" s="107" t="s">
        <v>237</v>
      </c>
      <c r="C296" s="71">
        <f ca="1">C92</f>
        <v>-0.50769230769230766</v>
      </c>
      <c r="D296" s="209">
        <f>D87</f>
        <v>0.57999999999999996</v>
      </c>
      <c r="E296" s="72"/>
      <c r="F296" s="72"/>
      <c r="G296" s="71" t="str">
        <f>B296</f>
        <v>TH-06</v>
      </c>
      <c r="H296" s="71">
        <f ca="1">H92</f>
        <v>0</v>
      </c>
      <c r="I296" s="71">
        <f>I87</f>
        <v>3</v>
      </c>
    </row>
    <row r="297" spans="2:9" ht="16.2" customHeight="1" x14ac:dyDescent="0.25">
      <c r="B297" s="107" t="s">
        <v>238</v>
      </c>
      <c r="C297" s="71">
        <f ca="1">C108</f>
        <v>0.80444444444444452</v>
      </c>
      <c r="D297" s="209">
        <f>D103</f>
        <v>0.57999999999999996</v>
      </c>
      <c r="E297" s="72"/>
      <c r="F297" s="72"/>
      <c r="G297" s="71" t="str">
        <f t="shared" si="0"/>
        <v>TH-07</v>
      </c>
      <c r="H297" s="71">
        <f ca="1">H108</f>
        <v>-4.0909090909090899</v>
      </c>
      <c r="I297" s="71">
        <f>I103</f>
        <v>3</v>
      </c>
    </row>
    <row r="298" spans="2:9" ht="16.2" customHeight="1" x14ac:dyDescent="0.25">
      <c r="B298" s="107" t="s">
        <v>239</v>
      </c>
      <c r="C298" s="71">
        <f ca="1">C123</f>
        <v>-9.4339622641509191E-2</v>
      </c>
      <c r="D298" s="209">
        <f>D118</f>
        <v>0.57999999999999996</v>
      </c>
      <c r="E298" s="72"/>
      <c r="F298" s="72"/>
      <c r="G298" s="71" t="str">
        <f t="shared" si="0"/>
        <v>TH-08</v>
      </c>
      <c r="H298" s="71">
        <f ca="1">H123</f>
        <v>-2.5</v>
      </c>
      <c r="I298" s="71">
        <f>I118</f>
        <v>3</v>
      </c>
    </row>
    <row r="299" spans="2:9" ht="16.2" customHeight="1" x14ac:dyDescent="0.25">
      <c r="B299" s="107" t="s">
        <v>415</v>
      </c>
      <c r="C299" s="71">
        <f ca="1">C139</f>
        <v>-0.20195203569436709</v>
      </c>
      <c r="D299" s="209">
        <f>D133</f>
        <v>0.57999999999999996</v>
      </c>
      <c r="E299" s="72"/>
      <c r="F299" s="72"/>
      <c r="G299" s="71" t="str">
        <f t="shared" si="0"/>
        <v>PAS-01</v>
      </c>
      <c r="H299" s="71">
        <f ca="1">H139</f>
        <v>-3.6000000000000014</v>
      </c>
      <c r="I299" s="71">
        <f>I133</f>
        <v>3</v>
      </c>
    </row>
    <row r="300" spans="2:9" ht="16.2" customHeight="1" x14ac:dyDescent="0.25">
      <c r="B300" s="107" t="s">
        <v>416</v>
      </c>
      <c r="C300" s="71">
        <f ca="1">C155</f>
        <v>-0.55283018867924527</v>
      </c>
      <c r="D300" s="209">
        <f>D149</f>
        <v>0.57999999999999996</v>
      </c>
      <c r="E300" s="72"/>
      <c r="F300" s="72"/>
      <c r="G300" s="71" t="str">
        <f t="shared" si="0"/>
        <v>PAS-02</v>
      </c>
      <c r="H300" s="71">
        <f ca="1">H155</f>
        <v>-1</v>
      </c>
      <c r="I300" s="71">
        <f>I149</f>
        <v>3</v>
      </c>
    </row>
    <row r="301" spans="2:9" ht="16.2" customHeight="1" x14ac:dyDescent="0.25">
      <c r="B301" s="107" t="s">
        <v>313</v>
      </c>
      <c r="C301" s="71">
        <f ca="1">C171</f>
        <v>1.1840000000000002</v>
      </c>
      <c r="D301" s="209">
        <f>D165</f>
        <v>0.57999999999999996</v>
      </c>
      <c r="E301" s="72"/>
      <c r="F301" s="72"/>
      <c r="G301" s="71" t="str">
        <f t="shared" si="0"/>
        <v>TH-11</v>
      </c>
      <c r="H301" s="71">
        <f ca="1">H171</f>
        <v>-3.6363636363636367</v>
      </c>
      <c r="I301" s="71">
        <f>I165</f>
        <v>3</v>
      </c>
    </row>
    <row r="302" spans="2:9" ht="16.2" customHeight="1" x14ac:dyDescent="0.25">
      <c r="B302" s="107" t="s">
        <v>418</v>
      </c>
      <c r="C302" s="71">
        <f ca="1">C187</f>
        <v>-0.41894167167769103</v>
      </c>
      <c r="D302" s="209">
        <f>D181</f>
        <v>0.57999999999999996</v>
      </c>
      <c r="E302" s="72"/>
      <c r="F302" s="72"/>
      <c r="G302" s="71" t="str">
        <f t="shared" si="0"/>
        <v>PAS-03</v>
      </c>
      <c r="H302" s="71">
        <f ca="1">H187</f>
        <v>-4.8999999999999986</v>
      </c>
      <c r="I302" s="71">
        <f>I181</f>
        <v>3</v>
      </c>
    </row>
    <row r="303" spans="2:9" ht="16.2" customHeight="1" x14ac:dyDescent="0.25">
      <c r="B303" s="107" t="s">
        <v>314</v>
      </c>
      <c r="C303" s="71">
        <f ca="1">C203</f>
        <v>-0.20192943770672556</v>
      </c>
      <c r="D303" s="209">
        <f>D197</f>
        <v>0.57999999999999996</v>
      </c>
      <c r="E303" s="72"/>
      <c r="F303" s="72"/>
      <c r="G303" s="71" t="str">
        <f t="shared" si="0"/>
        <v>TH-13</v>
      </c>
      <c r="H303" s="71">
        <f ca="1">H203</f>
        <v>-0.36363636363636331</v>
      </c>
      <c r="I303" s="71">
        <f>I197</f>
        <v>2.2000000000000002</v>
      </c>
    </row>
    <row r="304" spans="2:9" ht="16.2" customHeight="1" x14ac:dyDescent="0.25">
      <c r="B304" s="107" t="s">
        <v>419</v>
      </c>
      <c r="C304" s="71">
        <f ca="1">C219</f>
        <v>-0.42422145328719729</v>
      </c>
      <c r="D304" s="209">
        <f>D213</f>
        <v>0.57999999999999996</v>
      </c>
      <c r="E304" s="72"/>
      <c r="F304" s="72"/>
      <c r="G304" s="71" t="str">
        <f t="shared" si="0"/>
        <v>PAS-04</v>
      </c>
      <c r="H304" s="71">
        <f ca="1">H219</f>
        <v>-4.25</v>
      </c>
      <c r="I304" s="71">
        <f>I213</f>
        <v>3</v>
      </c>
    </row>
    <row r="305" spans="2:9" ht="16.2" customHeight="1" x14ac:dyDescent="0.25">
      <c r="B305" s="107" t="s">
        <v>327</v>
      </c>
      <c r="C305" s="71">
        <f ca="1">C235</f>
        <v>1</v>
      </c>
      <c r="D305" s="209">
        <f>D229</f>
        <v>0.57999999999999996</v>
      </c>
      <c r="E305" s="72"/>
      <c r="F305" s="72"/>
      <c r="G305" s="71" t="str">
        <f t="shared" si="0"/>
        <v>TH-15</v>
      </c>
      <c r="H305" s="71">
        <f ca="1">H235</f>
        <v>-2</v>
      </c>
      <c r="I305" s="71">
        <f>I229</f>
        <v>3</v>
      </c>
    </row>
    <row r="306" spans="2:9" ht="16.2" customHeight="1" x14ac:dyDescent="0.25">
      <c r="B306" s="107" t="s">
        <v>420</v>
      </c>
      <c r="C306" s="71">
        <f ca="1">C251</f>
        <v>-4.0000000000001146E-3</v>
      </c>
      <c r="D306" s="209">
        <f>D245</f>
        <v>0.57999999999999996</v>
      </c>
      <c r="E306" s="72"/>
      <c r="F306" s="72"/>
      <c r="G306" s="71" t="str">
        <f>B306</f>
        <v>PAS-05</v>
      </c>
      <c r="H306" s="71">
        <f ca="1">H251</f>
        <v>-4.8999999999999986</v>
      </c>
      <c r="I306" s="71">
        <f>I245</f>
        <v>3</v>
      </c>
    </row>
    <row r="307" spans="2:9" ht="16.2" customHeight="1" x14ac:dyDescent="0.25">
      <c r="B307" s="107" t="s">
        <v>421</v>
      </c>
      <c r="C307" s="71">
        <f ca="1">C267</f>
        <v>0.10425531914893621</v>
      </c>
      <c r="D307" s="209">
        <f>D261</f>
        <v>0.57999999999999996</v>
      </c>
      <c r="E307" s="72"/>
      <c r="F307" s="72"/>
      <c r="G307" s="71" t="str">
        <f>B307</f>
        <v>PAS-06</v>
      </c>
      <c r="H307" s="71">
        <f ca="1">H267</f>
        <v>-2.1818181818181817</v>
      </c>
      <c r="I307" s="71">
        <f>I261</f>
        <v>3</v>
      </c>
    </row>
    <row r="308" spans="2:9" ht="16.2" customHeight="1" x14ac:dyDescent="0.25">
      <c r="B308" s="107"/>
      <c r="C308" s="71" t="e">
        <f ca="1">C283</f>
        <v>#N/A</v>
      </c>
      <c r="D308" s="209">
        <f>D277</f>
        <v>0</v>
      </c>
      <c r="E308" s="72"/>
      <c r="F308" s="72"/>
      <c r="G308" s="71">
        <f t="shared" si="0"/>
        <v>0</v>
      </c>
      <c r="H308" s="71" t="e">
        <f ca="1">H283</f>
        <v>#N/A</v>
      </c>
      <c r="I308" s="71">
        <f>I277</f>
        <v>2.2000000000000002</v>
      </c>
    </row>
    <row r="309" spans="2:9" ht="16.2" customHeight="1" x14ac:dyDescent="0.25">
      <c r="B309" s="133" t="str">
        <f>'INPUT DATA'!E39</f>
        <v>TH-04</v>
      </c>
      <c r="C309" s="73">
        <f ca="1">LOOKUP(B309,B291:B307,C291:C307)</f>
        <v>-0.55283018867924527</v>
      </c>
      <c r="D309" s="215">
        <f>LOOKUP(B309,B291:B308,D291:D308)</f>
        <v>0.57999999999999996</v>
      </c>
      <c r="G309" s="165" t="str">
        <f>B309</f>
        <v>TH-04</v>
      </c>
      <c r="H309" s="73">
        <f ca="1">LOOKUP(G309,G291:G308,H291:H308)</f>
        <v>-2.1818181818181817</v>
      </c>
      <c r="I309" s="73">
        <f>LOOKUP(G309,G291:G308,I291:I308)</f>
        <v>3</v>
      </c>
    </row>
    <row r="310" spans="2:9" s="136" customFormat="1" ht="16.2" customHeight="1" x14ac:dyDescent="0.25">
      <c r="B310" s="134"/>
      <c r="C310" s="134"/>
      <c r="D310" s="134"/>
      <c r="E310" s="135"/>
      <c r="F310" s="135"/>
      <c r="G310" s="134"/>
      <c r="H310" s="134"/>
      <c r="I310" s="134"/>
    </row>
    <row r="311" spans="2:9" ht="16.2" customHeight="1" thickBot="1" x14ac:dyDescent="0.3">
      <c r="B311" s="137" t="s">
        <v>422</v>
      </c>
      <c r="C311" s="137" t="s">
        <v>423</v>
      </c>
      <c r="D311" s="76"/>
    </row>
    <row r="312" spans="2:9" ht="16.2" customHeight="1" thickTop="1" x14ac:dyDescent="0.3">
      <c r="B312" s="138">
        <f>AVERAGE('INPUT DATA'!E40:G40)</f>
        <v>20</v>
      </c>
      <c r="C312" s="139">
        <f ca="1">C309</f>
        <v>-0.55283018867924527</v>
      </c>
      <c r="D312" s="246"/>
      <c r="G312" s="138">
        <f>AVERAGE('INPUT DATA'!E41:G41)</f>
        <v>50</v>
      </c>
      <c r="H312" s="139">
        <f ca="1">H309</f>
        <v>-2.1818181818181817</v>
      </c>
    </row>
    <row r="313" spans="2:9" s="63" customFormat="1" ht="16.2" customHeight="1" x14ac:dyDescent="0.3">
      <c r="B313" s="438" t="s">
        <v>181</v>
      </c>
      <c r="C313" s="439"/>
      <c r="D313" s="247"/>
      <c r="G313" s="438" t="s">
        <v>182</v>
      </c>
      <c r="H313" s="439"/>
    </row>
    <row r="314" spans="2:9" ht="16.2" customHeight="1" thickBot="1" x14ac:dyDescent="0.35">
      <c r="B314" s="432">
        <f ca="1">B312+C312</f>
        <v>19.447169811320755</v>
      </c>
      <c r="C314" s="433"/>
      <c r="D314" s="246"/>
      <c r="G314" s="432">
        <f ca="1">G312+H312</f>
        <v>47.81818181818182</v>
      </c>
      <c r="H314" s="433"/>
    </row>
    <row r="315" spans="2:9" ht="16.2" customHeight="1" thickTop="1" thickBot="1" x14ac:dyDescent="0.35">
      <c r="D315" s="246"/>
    </row>
    <row r="316" spans="2:9" s="79" customFormat="1" ht="16.2" customHeight="1" x14ac:dyDescent="0.25">
      <c r="B316" s="434" t="s">
        <v>183</v>
      </c>
      <c r="C316" s="77" t="s">
        <v>175</v>
      </c>
      <c r="D316" s="78" t="s">
        <v>176</v>
      </c>
    </row>
    <row r="317" spans="2:9" s="79" customFormat="1" ht="16.2" customHeight="1" x14ac:dyDescent="0.25">
      <c r="B317" s="435"/>
      <c r="C317" s="80" t="s">
        <v>160</v>
      </c>
      <c r="D317" s="81" t="s">
        <v>47</v>
      </c>
    </row>
    <row r="318" spans="2:9" s="84" customFormat="1" ht="16.2" customHeight="1" x14ac:dyDescent="0.25">
      <c r="B318" s="82" t="s">
        <v>108</v>
      </c>
      <c r="C318" s="160">
        <f>STDEV('INPUT DATA'!E40:G40)/SQRT(3)</f>
        <v>0</v>
      </c>
      <c r="D318" s="160">
        <f>STDEV('INPUT DATA'!E41:G41)/SQRT(3)</f>
        <v>0</v>
      </c>
    </row>
    <row r="319" spans="2:9" s="84" customFormat="1" ht="16.2" customHeight="1" x14ac:dyDescent="0.25">
      <c r="B319" s="82" t="s">
        <v>184</v>
      </c>
      <c r="C319" s="71">
        <f>D309/2</f>
        <v>0.28999999999999998</v>
      </c>
      <c r="D319" s="83">
        <f>I309/2</f>
        <v>1.5</v>
      </c>
    </row>
    <row r="320" spans="2:9" s="84" customFormat="1" ht="16.2" customHeight="1" x14ac:dyDescent="0.25">
      <c r="B320" s="82" t="s">
        <v>185</v>
      </c>
      <c r="C320" s="71">
        <f>SQRT(C318^2+C319^2)</f>
        <v>0.28999999999999998</v>
      </c>
      <c r="D320" s="83">
        <f>SQRT(D318^2+D319^2)</f>
        <v>1.5</v>
      </c>
    </row>
    <row r="321" spans="2:4" s="79" customFormat="1" ht="16.2" customHeight="1" thickBot="1" x14ac:dyDescent="0.3">
      <c r="B321" s="85" t="s">
        <v>186</v>
      </c>
      <c r="C321" s="140">
        <f>C320*2</f>
        <v>0.57999999999999996</v>
      </c>
      <c r="D321" s="141">
        <f>D320*2</f>
        <v>3</v>
      </c>
    </row>
  </sheetData>
  <mergeCells count="153"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C271:D271"/>
    <mergeCell ref="C272:D272"/>
    <mergeCell ref="B274:D274"/>
    <mergeCell ref="G274:I274"/>
    <mergeCell ref="D277:D283"/>
    <mergeCell ref="I277:I283"/>
    <mergeCell ref="B258:D258"/>
    <mergeCell ref="G258:I258"/>
    <mergeCell ref="D261:D267"/>
    <mergeCell ref="I261:I267"/>
    <mergeCell ref="C270:D270"/>
    <mergeCell ref="I270:J270"/>
    <mergeCell ref="D245:D251"/>
    <mergeCell ref="I245:I251"/>
    <mergeCell ref="C254:D254"/>
    <mergeCell ref="I254:J254"/>
    <mergeCell ref="C255:D255"/>
    <mergeCell ref="C256:D256"/>
    <mergeCell ref="C238:D238"/>
    <mergeCell ref="I238:J238"/>
    <mergeCell ref="C239:D239"/>
    <mergeCell ref="C240:D240"/>
    <mergeCell ref="B242:D242"/>
    <mergeCell ref="G242:I242"/>
    <mergeCell ref="C223:D223"/>
    <mergeCell ref="C224:D224"/>
    <mergeCell ref="B226:D226"/>
    <mergeCell ref="G226:I226"/>
    <mergeCell ref="D229:D235"/>
    <mergeCell ref="I229:I235"/>
    <mergeCell ref="B210:D210"/>
    <mergeCell ref="G210:I210"/>
    <mergeCell ref="D213:D219"/>
    <mergeCell ref="I213:I219"/>
    <mergeCell ref="C222:D222"/>
    <mergeCell ref="I222:J222"/>
    <mergeCell ref="D197:D203"/>
    <mergeCell ref="I197:I203"/>
    <mergeCell ref="C206:D206"/>
    <mergeCell ref="I206:J206"/>
    <mergeCell ref="C207:D207"/>
    <mergeCell ref="C208:D208"/>
    <mergeCell ref="C190:D190"/>
    <mergeCell ref="I190:J190"/>
    <mergeCell ref="C191:D191"/>
    <mergeCell ref="C192:D192"/>
    <mergeCell ref="B194:D194"/>
    <mergeCell ref="G194:I194"/>
    <mergeCell ref="C175:D175"/>
    <mergeCell ref="C176:D176"/>
    <mergeCell ref="B178:D178"/>
    <mergeCell ref="G178:I178"/>
    <mergeCell ref="D181:D187"/>
    <mergeCell ref="I181:I187"/>
    <mergeCell ref="B162:D162"/>
    <mergeCell ref="G162:I162"/>
    <mergeCell ref="D165:D171"/>
    <mergeCell ref="I165:I171"/>
    <mergeCell ref="C174:D174"/>
    <mergeCell ref="I174:J174"/>
    <mergeCell ref="D149:D155"/>
    <mergeCell ref="I149:I155"/>
    <mergeCell ref="C158:D158"/>
    <mergeCell ref="I158:J158"/>
    <mergeCell ref="C159:D159"/>
    <mergeCell ref="C160:D160"/>
    <mergeCell ref="C142:D142"/>
    <mergeCell ref="I142:J142"/>
    <mergeCell ref="C143:D143"/>
    <mergeCell ref="C144:D144"/>
    <mergeCell ref="B146:D146"/>
    <mergeCell ref="G146:I146"/>
    <mergeCell ref="C127:D127"/>
    <mergeCell ref="C128:D128"/>
    <mergeCell ref="B130:D130"/>
    <mergeCell ref="G130:I130"/>
    <mergeCell ref="D133:D139"/>
    <mergeCell ref="I133:I139"/>
    <mergeCell ref="B115:D115"/>
    <mergeCell ref="G115:I115"/>
    <mergeCell ref="D118:D123"/>
    <mergeCell ref="I118:I123"/>
    <mergeCell ref="C126:D126"/>
    <mergeCell ref="I126:J126"/>
    <mergeCell ref="D103:D108"/>
    <mergeCell ref="I103:I108"/>
    <mergeCell ref="C111:D111"/>
    <mergeCell ref="I111:J111"/>
    <mergeCell ref="C112:D112"/>
    <mergeCell ref="C113:D113"/>
    <mergeCell ref="C96:D96"/>
    <mergeCell ref="I96:J96"/>
    <mergeCell ref="C97:D97"/>
    <mergeCell ref="C98:D98"/>
    <mergeCell ref="B100:D100"/>
    <mergeCell ref="G100:I100"/>
    <mergeCell ref="C81:D81"/>
    <mergeCell ref="C82:D82"/>
    <mergeCell ref="B84:D84"/>
    <mergeCell ref="G84:I84"/>
    <mergeCell ref="D87:D92"/>
    <mergeCell ref="I87:I92"/>
    <mergeCell ref="B69:D69"/>
    <mergeCell ref="G69:I69"/>
    <mergeCell ref="D72:D77"/>
    <mergeCell ref="I72:I77"/>
    <mergeCell ref="C80:D80"/>
    <mergeCell ref="I80:J80"/>
    <mergeCell ref="D56:D61"/>
    <mergeCell ref="I56:I61"/>
    <mergeCell ref="C65:D65"/>
    <mergeCell ref="I65:J65"/>
    <mergeCell ref="C66:D66"/>
    <mergeCell ref="C67:D67"/>
    <mergeCell ref="C49:D49"/>
    <mergeCell ref="I49:J49"/>
    <mergeCell ref="C50:D50"/>
    <mergeCell ref="C51:D51"/>
    <mergeCell ref="B53:D53"/>
    <mergeCell ref="G53:I53"/>
    <mergeCell ref="C35:D35"/>
    <mergeCell ref="C36:D36"/>
    <mergeCell ref="B38:D38"/>
    <mergeCell ref="G38:I38"/>
    <mergeCell ref="D41:D46"/>
    <mergeCell ref="I41:I46"/>
    <mergeCell ref="B22:D22"/>
    <mergeCell ref="G22:I22"/>
    <mergeCell ref="D25:D31"/>
    <mergeCell ref="I25:I31"/>
    <mergeCell ref="C34:D34"/>
    <mergeCell ref="I34:J34"/>
    <mergeCell ref="D10:D15"/>
    <mergeCell ref="I10:I15"/>
    <mergeCell ref="C18:D18"/>
    <mergeCell ref="I18:J18"/>
    <mergeCell ref="C19:D19"/>
    <mergeCell ref="C20:D20"/>
    <mergeCell ref="C3:D3"/>
    <mergeCell ref="I3:J3"/>
    <mergeCell ref="C4:D4"/>
    <mergeCell ref="C5:D5"/>
    <mergeCell ref="B7:D7"/>
    <mergeCell ref="G7:I7"/>
  </mergeCells>
  <pageMargins left="0.7" right="0.7" top="0.75" bottom="0.75" header="0.3" footer="0.3"/>
  <pageSetup paperSize="9" scale="72" orientation="portrait" r:id="rId1"/>
  <rowBreaks count="4" manualBreakCount="4">
    <brk id="52" max="16383" man="1"/>
    <brk id="114" max="16383" man="1"/>
    <brk id="175" min="1" max="8" man="1"/>
    <brk id="235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E36"/>
  <sheetViews>
    <sheetView view="pageBreakPreview" zoomScaleNormal="100" zoomScaleSheetLayoutView="100" workbookViewId="0">
      <selection activeCell="E17" sqref="E17"/>
    </sheetView>
  </sheetViews>
  <sheetFormatPr defaultRowHeight="13.2" x14ac:dyDescent="0.25"/>
  <cols>
    <col min="1" max="1" width="16" customWidth="1"/>
    <col min="2" max="2" width="39.88671875" customWidth="1"/>
    <col min="3" max="3" width="8.5546875" customWidth="1"/>
    <col min="4" max="4" width="16.5546875" customWidth="1"/>
    <col min="5" max="5" width="9.5546875" customWidth="1"/>
  </cols>
  <sheetData>
    <row r="1" spans="1:5" x14ac:dyDescent="0.25">
      <c r="A1" s="269" t="s">
        <v>251</v>
      </c>
      <c r="B1" s="269"/>
      <c r="C1" s="269"/>
      <c r="D1" s="269"/>
      <c r="E1" s="269"/>
    </row>
    <row r="2" spans="1:5" x14ac:dyDescent="0.25">
      <c r="A2" s="149"/>
      <c r="B2" s="149"/>
      <c r="C2" s="149"/>
      <c r="D2" s="149"/>
      <c r="E2" s="149"/>
    </row>
    <row r="3" spans="1:5" x14ac:dyDescent="0.25">
      <c r="A3" s="217" t="s">
        <v>332</v>
      </c>
      <c r="B3" s="217" t="s">
        <v>252</v>
      </c>
      <c r="C3" s="217" t="s">
        <v>253</v>
      </c>
      <c r="D3" s="218" t="s">
        <v>333</v>
      </c>
      <c r="E3" s="217" t="s">
        <v>253</v>
      </c>
    </row>
    <row r="4" spans="1:5" x14ac:dyDescent="0.25">
      <c r="A4" s="197">
        <v>44965</v>
      </c>
      <c r="B4" s="149" t="s">
        <v>263</v>
      </c>
      <c r="C4" s="189" t="s">
        <v>264</v>
      </c>
      <c r="D4" s="149" t="s">
        <v>334</v>
      </c>
      <c r="E4" s="149" t="s">
        <v>334</v>
      </c>
    </row>
    <row r="5" spans="1:5" x14ac:dyDescent="0.25">
      <c r="A5" s="197">
        <v>45079</v>
      </c>
      <c r="B5" s="149" t="s">
        <v>265</v>
      </c>
      <c r="C5" s="189" t="s">
        <v>264</v>
      </c>
      <c r="D5" s="149" t="s">
        <v>334</v>
      </c>
      <c r="E5" s="149" t="s">
        <v>334</v>
      </c>
    </row>
    <row r="6" spans="1:5" x14ac:dyDescent="0.25">
      <c r="A6" s="197">
        <v>45084</v>
      </c>
      <c r="B6" s="149" t="s">
        <v>266</v>
      </c>
      <c r="C6" s="189" t="s">
        <v>264</v>
      </c>
      <c r="D6" s="149" t="s">
        <v>334</v>
      </c>
      <c r="E6" s="149" t="s">
        <v>334</v>
      </c>
    </row>
    <row r="7" spans="1:5" x14ac:dyDescent="0.25">
      <c r="A7" s="197">
        <v>45168</v>
      </c>
      <c r="B7" s="149" t="s">
        <v>311</v>
      </c>
      <c r="C7" s="189" t="s">
        <v>264</v>
      </c>
      <c r="D7" s="149" t="s">
        <v>334</v>
      </c>
      <c r="E7" s="149" t="s">
        <v>334</v>
      </c>
    </row>
    <row r="8" spans="1:5" x14ac:dyDescent="0.25">
      <c r="A8" s="197">
        <v>45216</v>
      </c>
      <c r="B8" s="149" t="s">
        <v>265</v>
      </c>
      <c r="C8" s="189" t="s">
        <v>264</v>
      </c>
      <c r="D8" s="149" t="s">
        <v>334</v>
      </c>
      <c r="E8" s="149" t="s">
        <v>334</v>
      </c>
    </row>
    <row r="9" spans="1:5" x14ac:dyDescent="0.25">
      <c r="A9" s="197">
        <v>45236</v>
      </c>
      <c r="B9" s="149" t="s">
        <v>263</v>
      </c>
      <c r="C9" s="189" t="s">
        <v>264</v>
      </c>
      <c r="D9" s="149" t="s">
        <v>334</v>
      </c>
      <c r="E9" s="149" t="s">
        <v>334</v>
      </c>
    </row>
    <row r="10" spans="1:5" x14ac:dyDescent="0.25">
      <c r="A10" s="197">
        <v>45299</v>
      </c>
      <c r="B10" s="149" t="s">
        <v>353</v>
      </c>
      <c r="C10" s="189" t="s">
        <v>264</v>
      </c>
      <c r="D10" s="149" t="s">
        <v>334</v>
      </c>
      <c r="E10" s="149" t="s">
        <v>334</v>
      </c>
    </row>
    <row r="11" spans="1:5" x14ac:dyDescent="0.25">
      <c r="A11" s="197">
        <v>45384</v>
      </c>
      <c r="B11" s="149" t="s">
        <v>320</v>
      </c>
      <c r="C11" s="189" t="s">
        <v>264</v>
      </c>
      <c r="D11" s="149" t="s">
        <v>334</v>
      </c>
      <c r="E11" s="149" t="s">
        <v>334</v>
      </c>
    </row>
    <row r="12" spans="1:5" x14ac:dyDescent="0.25">
      <c r="A12" s="197">
        <v>45431</v>
      </c>
      <c r="B12" s="149" t="s">
        <v>321</v>
      </c>
      <c r="C12" s="189" t="s">
        <v>264</v>
      </c>
      <c r="D12" s="149" t="s">
        <v>334</v>
      </c>
      <c r="E12" s="149" t="s">
        <v>334</v>
      </c>
    </row>
    <row r="13" spans="1:5" x14ac:dyDescent="0.25">
      <c r="A13" s="207">
        <v>45468</v>
      </c>
      <c r="B13" s="208" t="s">
        <v>325</v>
      </c>
      <c r="C13" s="199" t="s">
        <v>264</v>
      </c>
      <c r="D13" s="149" t="s">
        <v>334</v>
      </c>
      <c r="E13" s="149" t="s">
        <v>334</v>
      </c>
    </row>
    <row r="14" spans="1:5" x14ac:dyDescent="0.25">
      <c r="A14" s="210">
        <v>45587</v>
      </c>
      <c r="B14" s="149" t="s">
        <v>263</v>
      </c>
      <c r="C14" s="199" t="s">
        <v>264</v>
      </c>
      <c r="D14" s="149" t="s">
        <v>334</v>
      </c>
      <c r="E14" s="149" t="s">
        <v>334</v>
      </c>
    </row>
    <row r="15" spans="1:5" x14ac:dyDescent="0.25">
      <c r="A15" s="207">
        <v>45592</v>
      </c>
      <c r="B15" s="208" t="s">
        <v>325</v>
      </c>
      <c r="C15" s="199" t="s">
        <v>264</v>
      </c>
      <c r="D15" s="149" t="s">
        <v>334</v>
      </c>
      <c r="E15" s="149" t="s">
        <v>334</v>
      </c>
    </row>
    <row r="16" spans="1:5" x14ac:dyDescent="0.25">
      <c r="A16" s="207">
        <v>45592</v>
      </c>
      <c r="B16" s="208" t="s">
        <v>326</v>
      </c>
      <c r="C16" s="199" t="s">
        <v>264</v>
      </c>
      <c r="D16" s="149" t="s">
        <v>334</v>
      </c>
      <c r="E16" s="149" t="s">
        <v>334</v>
      </c>
    </row>
    <row r="17" spans="1:5" x14ac:dyDescent="0.25">
      <c r="A17" s="197">
        <v>45642</v>
      </c>
      <c r="B17" s="149" t="s">
        <v>331</v>
      </c>
      <c r="C17" s="199" t="s">
        <v>264</v>
      </c>
      <c r="D17" s="197">
        <v>45642</v>
      </c>
      <c r="E17" s="189" t="s">
        <v>335</v>
      </c>
    </row>
    <row r="18" spans="1:5" x14ac:dyDescent="0.25">
      <c r="A18" s="197">
        <v>45739</v>
      </c>
      <c r="B18" s="149" t="s">
        <v>347</v>
      </c>
      <c r="C18" s="199" t="s">
        <v>264</v>
      </c>
      <c r="D18" s="149"/>
      <c r="E18" s="149"/>
    </row>
    <row r="19" spans="1:5" x14ac:dyDescent="0.25">
      <c r="A19" s="197">
        <v>45739</v>
      </c>
      <c r="B19" s="149" t="s">
        <v>348</v>
      </c>
      <c r="C19" s="199" t="s">
        <v>264</v>
      </c>
      <c r="D19" s="149"/>
      <c r="E19" s="149"/>
    </row>
    <row r="20" spans="1:5" x14ac:dyDescent="0.25">
      <c r="A20" s="197">
        <v>45757</v>
      </c>
      <c r="B20" s="149" t="s">
        <v>352</v>
      </c>
      <c r="C20" s="199" t="s">
        <v>264</v>
      </c>
      <c r="D20" s="149"/>
      <c r="E20" s="149"/>
    </row>
    <row r="21" spans="1:5" x14ac:dyDescent="0.25">
      <c r="A21" s="234">
        <v>45808</v>
      </c>
      <c r="B21" s="235" t="s">
        <v>384</v>
      </c>
      <c r="C21" s="199" t="s">
        <v>264</v>
      </c>
      <c r="D21" s="149"/>
      <c r="E21" s="149"/>
    </row>
    <row r="22" spans="1:5" x14ac:dyDescent="0.25">
      <c r="A22" s="197">
        <v>45861</v>
      </c>
      <c r="B22" s="149" t="s">
        <v>389</v>
      </c>
      <c r="C22" s="199" t="s">
        <v>264</v>
      </c>
      <c r="D22" s="149"/>
      <c r="E22" s="149"/>
    </row>
    <row r="23" spans="1:5" x14ac:dyDescent="0.25">
      <c r="A23" s="197">
        <v>45931</v>
      </c>
      <c r="B23" s="149" t="s">
        <v>391</v>
      </c>
      <c r="C23" s="199" t="s">
        <v>264</v>
      </c>
      <c r="D23" s="149"/>
      <c r="E23" s="149"/>
    </row>
    <row r="24" spans="1:5" x14ac:dyDescent="0.25">
      <c r="A24" s="197">
        <v>45946</v>
      </c>
      <c r="B24" s="149" t="s">
        <v>399</v>
      </c>
      <c r="C24" s="199" t="s">
        <v>264</v>
      </c>
      <c r="D24" s="149"/>
      <c r="E24" s="149"/>
    </row>
    <row r="25" spans="1:5" x14ac:dyDescent="0.25">
      <c r="A25" s="197">
        <v>45950</v>
      </c>
      <c r="B25" s="149" t="s">
        <v>410</v>
      </c>
      <c r="C25" s="199" t="s">
        <v>264</v>
      </c>
      <c r="D25" s="149"/>
      <c r="E25" s="149"/>
    </row>
    <row r="26" spans="1:5" x14ac:dyDescent="0.25">
      <c r="A26" s="234">
        <v>46007</v>
      </c>
      <c r="B26" s="235" t="s">
        <v>424</v>
      </c>
      <c r="C26" s="199" t="s">
        <v>264</v>
      </c>
      <c r="D26" s="149"/>
      <c r="E26" s="149"/>
    </row>
    <row r="27" spans="1:5" x14ac:dyDescent="0.25">
      <c r="A27" s="149"/>
      <c r="B27" s="149"/>
      <c r="C27" s="149"/>
      <c r="D27" s="149"/>
      <c r="E27" s="149"/>
    </row>
    <row r="28" spans="1:5" x14ac:dyDescent="0.25">
      <c r="A28" s="149"/>
      <c r="B28" s="149"/>
      <c r="C28" s="149"/>
      <c r="D28" s="149"/>
      <c r="E28" s="149"/>
    </row>
    <row r="29" spans="1:5" x14ac:dyDescent="0.25">
      <c r="A29" s="149"/>
      <c r="B29" s="149"/>
      <c r="C29" s="149"/>
      <c r="D29" s="149"/>
      <c r="E29" s="149"/>
    </row>
    <row r="30" spans="1:5" x14ac:dyDescent="0.25">
      <c r="A30" s="149"/>
      <c r="B30" s="149"/>
      <c r="C30" s="149"/>
      <c r="D30" s="149"/>
      <c r="E30" s="149"/>
    </row>
    <row r="31" spans="1:5" x14ac:dyDescent="0.25">
      <c r="A31" s="149"/>
      <c r="B31" s="149"/>
      <c r="C31" s="149"/>
      <c r="D31" s="149"/>
      <c r="E31" s="149"/>
    </row>
    <row r="32" spans="1:5" x14ac:dyDescent="0.25">
      <c r="A32" s="149"/>
      <c r="B32" s="149"/>
      <c r="C32" s="149"/>
      <c r="D32" s="149"/>
      <c r="E32" s="149"/>
    </row>
    <row r="33" spans="1:5" x14ac:dyDescent="0.25">
      <c r="A33" s="149"/>
      <c r="B33" s="149"/>
      <c r="C33" s="149"/>
      <c r="D33" s="149"/>
      <c r="E33" s="149"/>
    </row>
    <row r="34" spans="1:5" x14ac:dyDescent="0.25">
      <c r="A34" s="149"/>
      <c r="B34" s="149"/>
      <c r="C34" s="149"/>
      <c r="D34" s="149"/>
      <c r="E34" s="149"/>
    </row>
    <row r="35" spans="1:5" x14ac:dyDescent="0.25">
      <c r="A35" s="149"/>
      <c r="B35" s="149"/>
      <c r="C35" s="149"/>
      <c r="D35" s="149"/>
      <c r="E35" s="149"/>
    </row>
    <row r="36" spans="1:5" x14ac:dyDescent="0.25">
      <c r="A36" s="149"/>
      <c r="B36" s="149"/>
      <c r="C36" s="149"/>
      <c r="D36" s="149"/>
      <c r="E36" s="149"/>
    </row>
  </sheetData>
  <mergeCells count="1">
    <mergeCell ref="A1:E1"/>
  </mergeCells>
  <phoneticPr fontId="1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TABEL DATA</vt:lpstr>
      <vt:lpstr>STANDAR</vt:lpstr>
      <vt:lpstr>ACTION</vt:lpstr>
      <vt:lpstr>INPUT DATA</vt:lpstr>
      <vt:lpstr>KETIDAKPASTIAN</vt:lpstr>
      <vt:lpstr>Sheet7</vt:lpstr>
      <vt:lpstr>SERTIFIKAT</vt:lpstr>
      <vt:lpstr>LAMPIRAN</vt:lpstr>
      <vt:lpstr>LAMPIRAN SIIX</vt:lpstr>
      <vt:lpstr>Sheet2</vt:lpstr>
      <vt:lpstr>KONTROL SUHU</vt:lpstr>
      <vt:lpstr>Riwayat</vt:lpstr>
      <vt:lpstr>KETIDAKPASTIAN!Print_Area</vt:lpstr>
      <vt:lpstr>LAMPIRAN!Print_Area</vt:lpstr>
      <vt:lpstr>'LAMPIRAN SIIX'!Print_Area</vt:lpstr>
      <vt:lpstr>Riwayat!Print_Area</vt:lpstr>
      <vt:lpstr>SERTIFIKAT!Print_Area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 Calibration</dc:creator>
  <cp:lastModifiedBy>22-25-RAFI AKBAR HIBATULLAH</cp:lastModifiedBy>
  <cp:lastPrinted>2025-01-20T07:15:14Z</cp:lastPrinted>
  <dcterms:created xsi:type="dcterms:W3CDTF">2008-10-29T20:24:34Z</dcterms:created>
  <dcterms:modified xsi:type="dcterms:W3CDTF">2026-01-07T03:55:15Z</dcterms:modified>
</cp:coreProperties>
</file>