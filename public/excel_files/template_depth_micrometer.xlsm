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Laragon\laragon\www\calibration_action\public\excel_files\"/>
    </mc:Choice>
  </mc:AlternateContent>
  <xr:revisionPtr revIDLastSave="0" documentId="13_ncr:1_{C9F6D5D3-2E95-47C7-8B8B-C60700A15118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29" r:id="rId1"/>
    <sheet name="INPUT DATA" sheetId="16" r:id="rId2"/>
    <sheet name="SERTIFIKAT" sheetId="17" r:id="rId3"/>
    <sheet name="Pilih Standar" sheetId="25" r:id="rId4"/>
    <sheet name="KETIDAKPASTIAN" sheetId="15" state="hidden" r:id="rId5"/>
    <sheet name="LAMPIRAN" sheetId="18" r:id="rId6"/>
    <sheet name="TABEL DATA" sheetId="21" state="hidden" r:id="rId7"/>
    <sheet name="KONTROL SUHU" sheetId="27" state="hidden" r:id="rId8"/>
    <sheet name="Riwayat" sheetId="22" state="hidden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5" hidden="1">LAMPIRAN!$W$1:$W$63</definedName>
    <definedName name="A" localSheetId="7">#REF!</definedName>
    <definedName name="A">#REF!</definedName>
    <definedName name="a_1">'[1]Entry Data'!$C$40</definedName>
    <definedName name="a_2">'[1]Entry Data'!$C$41</definedName>
    <definedName name="a_3">'[1]Entry Data'!$C$42</definedName>
    <definedName name="a_4">'[1]Entry Data'!$C$43</definedName>
    <definedName name="a0">'[1]Entry Data'!$C$39</definedName>
    <definedName name="Akurasi" localSheetId="7">#REF!</definedName>
    <definedName name="Akurasi">#REF!</definedName>
    <definedName name="alpha" localSheetId="7">#REF!</definedName>
    <definedName name="alpha">#REF!</definedName>
    <definedName name="Apik">INDEX([2]Product!$B$5:$B$9,'[2]Entry Data'!$Q$24)</definedName>
    <definedName name="B" localSheetId="7">#REF!</definedName>
    <definedName name="B">#REF!</definedName>
    <definedName name="b_1">[3]Data!$C$32</definedName>
    <definedName name="b_3">[3]Data!$C$34</definedName>
    <definedName name="b_4">[3]Data!$C$35</definedName>
    <definedName name="bmc">[4]Ketidakpastian!$L$19</definedName>
    <definedName name="c_1">'[5]Data Input'!$C$35</definedName>
    <definedName name="CC" localSheetId="7">#REF!</definedName>
    <definedName name="CC">#REF!</definedName>
    <definedName name="cmc">[2]Uncertainty!$B$18</definedName>
    <definedName name="d_1">'[5]Data Input'!$C$33</definedName>
    <definedName name="e_1_1">'[5]Data Input'!$C$35</definedName>
    <definedName name="Excel_BuiltIn_Print_Area_9" localSheetId="7">#REF!</definedName>
    <definedName name="Excel_BuiltIn_Print_Area_9">#REF!</definedName>
    <definedName name="Excel_BuiltIn_Print_Titles_1_1">([6]Scope!$A$2:$C$65534,[6]Scope!$5:$5)</definedName>
    <definedName name="Excel_BuiltIn_Print_Titles_1_1_1">([6]Scope!$A$3:$C$65534,[6]Scope!$5:$5)</definedName>
    <definedName name="fdens" localSheetId="7">#REF!</definedName>
    <definedName name="fdens">#REF!</definedName>
    <definedName name="Foto">[2]Product!$B$5:$B$9,'[2]Entry Data'!$Q$24</definedName>
    <definedName name="gama">'[1]Entry Data'!$C$47</definedName>
    <definedName name="gl" localSheetId="7">#REF!</definedName>
    <definedName name="gl">#REF!</definedName>
    <definedName name="gn" localSheetId="7">#REF!</definedName>
    <definedName name="gn">#REF!</definedName>
    <definedName name="h" localSheetId="7">[7]analisa!#REF!</definedName>
    <definedName name="h">[7]analisa!#REF!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micrometer">INDEX([2]Product!$A$1:$A$3,MATCH([2]Product!$C$1,[2]Product!$B$1:$B$3,0))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">[7]analisa!$C$7</definedName>
    <definedName name="sat_3" localSheetId="7">#REF!</definedName>
    <definedName name="sat_3">#REF!</definedName>
    <definedName name="SD046_09" localSheetId="7">'[8]DATA MENTAH'!#REF!</definedName>
    <definedName name="SD046_09">'[8]DATA MENTAH'!#REF!</definedName>
    <definedName name="st" localSheetId="7">#REF!</definedName>
    <definedName name="st">#REF!</definedName>
    <definedName name="suhu">'[9]entry data'!$P$14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'[10]DATA MENTAH'!$E$8</definedName>
    <definedName name="temp.ruang1">'[10]DATA MENTAH'!$E$8</definedName>
    <definedName name="temperature" localSheetId="7">'[10]DATA MENTAH'!#REF!</definedName>
    <definedName name="temperature">'[10]DATA MENTAH'!#REF!</definedName>
    <definedName name="Toleransi">'[1]Entry Data'!$B$10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6" l="1"/>
  <c r="I50" i="17"/>
  <c r="H58" i="17"/>
  <c r="H59" i="17"/>
  <c r="H22" i="25" l="1"/>
  <c r="G22" i="25"/>
  <c r="C22" i="25"/>
  <c r="G21" i="25"/>
  <c r="C21" i="25"/>
  <c r="H20" i="25"/>
  <c r="G20" i="25"/>
  <c r="C20" i="25"/>
  <c r="B309" i="27" l="1"/>
  <c r="G309" i="27" s="1"/>
  <c r="I308" i="27"/>
  <c r="G308" i="27"/>
  <c r="D308" i="27"/>
  <c r="I307" i="27"/>
  <c r="G307" i="27"/>
  <c r="D307" i="27"/>
  <c r="I306" i="27"/>
  <c r="G306" i="27"/>
  <c r="D306" i="27"/>
  <c r="I305" i="27"/>
  <c r="G305" i="27"/>
  <c r="D305" i="27"/>
  <c r="I304" i="27"/>
  <c r="G304" i="27"/>
  <c r="D304" i="27"/>
  <c r="I303" i="27"/>
  <c r="G303" i="27"/>
  <c r="D303" i="27"/>
  <c r="I302" i="27"/>
  <c r="G302" i="27"/>
  <c r="D302" i="27"/>
  <c r="I301" i="27"/>
  <c r="G301" i="27"/>
  <c r="D301" i="27"/>
  <c r="I300" i="27"/>
  <c r="G300" i="27"/>
  <c r="D300" i="27"/>
  <c r="I299" i="27"/>
  <c r="G299" i="27"/>
  <c r="D299" i="27"/>
  <c r="I298" i="27"/>
  <c r="G298" i="27"/>
  <c r="D298" i="27"/>
  <c r="I297" i="27"/>
  <c r="G297" i="27"/>
  <c r="D297" i="27"/>
  <c r="I296" i="27"/>
  <c r="G296" i="27"/>
  <c r="D296" i="27"/>
  <c r="I295" i="27"/>
  <c r="G295" i="27"/>
  <c r="D295" i="27"/>
  <c r="I294" i="27"/>
  <c r="G294" i="27"/>
  <c r="D294" i="27"/>
  <c r="I293" i="27"/>
  <c r="G293" i="27"/>
  <c r="D293" i="27"/>
  <c r="I292" i="27"/>
  <c r="G292" i="27"/>
  <c r="D292" i="27"/>
  <c r="I291" i="27"/>
  <c r="G291" i="27"/>
  <c r="D291" i="27"/>
  <c r="H282" i="27"/>
  <c r="G282" i="27"/>
  <c r="C282" i="27"/>
  <c r="B282" i="27"/>
  <c r="H277" i="27"/>
  <c r="G277" i="27"/>
  <c r="C277" i="27"/>
  <c r="B277" i="27"/>
  <c r="H266" i="27"/>
  <c r="G266" i="27"/>
  <c r="C266" i="27"/>
  <c r="B266" i="27"/>
  <c r="H261" i="27"/>
  <c r="G261" i="27"/>
  <c r="C261" i="27"/>
  <c r="B261" i="27"/>
  <c r="H250" i="27"/>
  <c r="G250" i="27"/>
  <c r="C250" i="27"/>
  <c r="B250" i="27"/>
  <c r="H245" i="27"/>
  <c r="G245" i="27"/>
  <c r="C245" i="27"/>
  <c r="B245" i="27"/>
  <c r="H234" i="27"/>
  <c r="G234" i="27"/>
  <c r="C234" i="27"/>
  <c r="B234" i="27"/>
  <c r="H229" i="27"/>
  <c r="G229" i="27"/>
  <c r="C229" i="27"/>
  <c r="B229" i="27"/>
  <c r="H218" i="27"/>
  <c r="G218" i="27"/>
  <c r="C218" i="27"/>
  <c r="B218" i="27"/>
  <c r="H213" i="27"/>
  <c r="G213" i="27"/>
  <c r="C213" i="27"/>
  <c r="B213" i="27"/>
  <c r="H202" i="27"/>
  <c r="G202" i="27"/>
  <c r="C202" i="27"/>
  <c r="B202" i="27"/>
  <c r="H197" i="27"/>
  <c r="G197" i="27"/>
  <c r="C197" i="27"/>
  <c r="B197" i="27"/>
  <c r="H186" i="27"/>
  <c r="G186" i="27"/>
  <c r="C186" i="27"/>
  <c r="B186" i="27"/>
  <c r="H181" i="27"/>
  <c r="G181" i="27"/>
  <c r="C181" i="27"/>
  <c r="B181" i="27"/>
  <c r="H170" i="27"/>
  <c r="G170" i="27"/>
  <c r="C170" i="27"/>
  <c r="B170" i="27"/>
  <c r="C165" i="27"/>
  <c r="H154" i="27"/>
  <c r="G154" i="27"/>
  <c r="C154" i="27"/>
  <c r="B154" i="27"/>
  <c r="H149" i="27"/>
  <c r="G149" i="27"/>
  <c r="C149" i="27"/>
  <c r="B149" i="27"/>
  <c r="H138" i="27"/>
  <c r="G138" i="27"/>
  <c r="C138" i="27"/>
  <c r="B138" i="27"/>
  <c r="H133" i="27"/>
  <c r="G133" i="27"/>
  <c r="C133" i="27"/>
  <c r="B133" i="27"/>
  <c r="H87" i="27"/>
  <c r="G87" i="27"/>
  <c r="C87" i="27"/>
  <c r="B87" i="27"/>
  <c r="H56" i="27"/>
  <c r="G56" i="27"/>
  <c r="C56" i="27"/>
  <c r="B56" i="27"/>
  <c r="H30" i="27"/>
  <c r="G30" i="27"/>
  <c r="C30" i="27"/>
  <c r="B30" i="27"/>
  <c r="H25" i="27"/>
  <c r="G25" i="27"/>
  <c r="C25" i="27"/>
  <c r="B25" i="27"/>
  <c r="I309" i="27" l="1"/>
  <c r="D319" i="27" s="1"/>
  <c r="D309" i="27"/>
  <c r="C319" i="27" s="1"/>
  <c r="R6" i="21"/>
  <c r="E4" i="16" s="1"/>
  <c r="Q6" i="21"/>
  <c r="AC21" i="18"/>
  <c r="AA22" i="18" s="1"/>
  <c r="AC13" i="18"/>
  <c r="AA14" i="18" l="1"/>
  <c r="E6" i="16"/>
  <c r="H6" i="16"/>
  <c r="A50" i="18"/>
  <c r="E3" i="16"/>
  <c r="Z4" i="25"/>
  <c r="Y4" i="25"/>
  <c r="X4" i="25"/>
  <c r="W4" i="25"/>
  <c r="N39" i="15"/>
  <c r="F25" i="15"/>
  <c r="F22" i="15"/>
  <c r="H22" i="15" s="1"/>
  <c r="Q27" i="16"/>
  <c r="B50" i="25"/>
  <c r="CC50" i="25" s="1"/>
  <c r="J50" i="25"/>
  <c r="I50" i="25"/>
  <c r="N40" i="15" l="1"/>
  <c r="N5" i="21"/>
  <c r="R59" i="16" s="1"/>
  <c r="R71" i="16" l="1"/>
  <c r="R69" i="16"/>
  <c r="R72" i="16"/>
  <c r="R70" i="16"/>
  <c r="R68" i="16"/>
  <c r="R66" i="16"/>
  <c r="R64" i="16"/>
  <c r="R62" i="16"/>
  <c r="R60" i="16"/>
  <c r="R58" i="16"/>
  <c r="R67" i="16"/>
  <c r="R65" i="16"/>
  <c r="R63" i="16"/>
  <c r="R61" i="16"/>
  <c r="D52" i="16" l="1"/>
  <c r="L5" i="21"/>
  <c r="M37" i="18" s="1"/>
  <c r="M5" i="21"/>
  <c r="K5" i="21"/>
  <c r="K25" i="16" s="1"/>
  <c r="I6" i="21"/>
  <c r="R27" i="16" s="1"/>
  <c r="S27" i="16" s="1"/>
  <c r="O72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58" i="16"/>
  <c r="BF5" i="25"/>
  <c r="BU5" i="25"/>
  <c r="AN5" i="25"/>
  <c r="CJ5" i="25" s="1"/>
  <c r="BS5" i="25"/>
  <c r="BD5" i="25"/>
  <c r="CC7" i="25"/>
  <c r="CD7" i="25"/>
  <c r="CE7" i="25"/>
  <c r="CF7" i="25"/>
  <c r="CG7" i="25"/>
  <c r="CH7" i="25"/>
  <c r="CI7" i="25"/>
  <c r="CJ7" i="25"/>
  <c r="CK7" i="25"/>
  <c r="CL7" i="25"/>
  <c r="CM7" i="25"/>
  <c r="CN7" i="25"/>
  <c r="CO7" i="25"/>
  <c r="CP7" i="25"/>
  <c r="CQ7" i="25"/>
  <c r="CC8" i="25"/>
  <c r="CD8" i="25"/>
  <c r="CE8" i="25"/>
  <c r="CF8" i="25"/>
  <c r="CG8" i="25"/>
  <c r="CH8" i="25"/>
  <c r="CI8" i="25"/>
  <c r="CJ8" i="25"/>
  <c r="CK8" i="25"/>
  <c r="CL8" i="25"/>
  <c r="CM8" i="25"/>
  <c r="CN8" i="25"/>
  <c r="CO8" i="25"/>
  <c r="CP8" i="25"/>
  <c r="CQ8" i="25"/>
  <c r="CC9" i="25"/>
  <c r="CD9" i="25"/>
  <c r="CE9" i="25"/>
  <c r="CF9" i="25"/>
  <c r="CG9" i="25"/>
  <c r="CH9" i="25"/>
  <c r="CI9" i="25"/>
  <c r="CJ9" i="25"/>
  <c r="CK9" i="25"/>
  <c r="CL9" i="25"/>
  <c r="CM9" i="25"/>
  <c r="CN9" i="25"/>
  <c r="CO9" i="25"/>
  <c r="CP9" i="25"/>
  <c r="CQ9" i="25"/>
  <c r="CC10" i="25"/>
  <c r="CD10" i="25"/>
  <c r="CE10" i="25"/>
  <c r="CF10" i="25"/>
  <c r="CG10" i="25"/>
  <c r="CH10" i="25"/>
  <c r="CI10" i="25"/>
  <c r="CJ10" i="25"/>
  <c r="CK10" i="25"/>
  <c r="CL10" i="25"/>
  <c r="CM10" i="25"/>
  <c r="CN10" i="25"/>
  <c r="CO10" i="25"/>
  <c r="CP10" i="25"/>
  <c r="CQ10" i="25"/>
  <c r="CC11" i="25"/>
  <c r="CD11" i="25"/>
  <c r="CE11" i="25"/>
  <c r="CF11" i="25"/>
  <c r="CG11" i="25"/>
  <c r="CH11" i="25"/>
  <c r="CI11" i="25"/>
  <c r="CJ11" i="25"/>
  <c r="CK11" i="25"/>
  <c r="CL11" i="25"/>
  <c r="CM11" i="25"/>
  <c r="CN11" i="25"/>
  <c r="CO11" i="25"/>
  <c r="CP11" i="25"/>
  <c r="CQ11" i="25"/>
  <c r="CC12" i="25"/>
  <c r="CD12" i="25"/>
  <c r="CE12" i="25"/>
  <c r="CF12" i="25"/>
  <c r="CG12" i="25"/>
  <c r="CH12" i="25"/>
  <c r="CI12" i="25"/>
  <c r="CJ12" i="25"/>
  <c r="CK12" i="25"/>
  <c r="CL12" i="25"/>
  <c r="CM12" i="25"/>
  <c r="CN12" i="25"/>
  <c r="CO12" i="25"/>
  <c r="CP12" i="25"/>
  <c r="CQ12" i="25"/>
  <c r="CC13" i="25"/>
  <c r="CD13" i="25"/>
  <c r="CE13" i="25"/>
  <c r="CF13" i="25"/>
  <c r="CG13" i="25"/>
  <c r="CH13" i="25"/>
  <c r="CI13" i="25"/>
  <c r="CJ13" i="25"/>
  <c r="CK13" i="25"/>
  <c r="CL13" i="25"/>
  <c r="CM13" i="25"/>
  <c r="CN13" i="25"/>
  <c r="CO13" i="25"/>
  <c r="CP13" i="25"/>
  <c r="CQ13" i="25"/>
  <c r="CC14" i="25"/>
  <c r="CD14" i="25"/>
  <c r="CE14" i="25"/>
  <c r="CF14" i="25"/>
  <c r="CG14" i="25"/>
  <c r="CH14" i="25"/>
  <c r="CI14" i="25"/>
  <c r="CJ14" i="25"/>
  <c r="CK14" i="25"/>
  <c r="CL14" i="25"/>
  <c r="CM14" i="25"/>
  <c r="CN14" i="25"/>
  <c r="CO14" i="25"/>
  <c r="CP14" i="25"/>
  <c r="CQ14" i="25"/>
  <c r="CC15" i="25"/>
  <c r="CD15" i="25"/>
  <c r="CE15" i="25"/>
  <c r="CF15" i="25"/>
  <c r="CG15" i="25"/>
  <c r="CH15" i="25"/>
  <c r="CI15" i="25"/>
  <c r="CJ15" i="25"/>
  <c r="CK15" i="25"/>
  <c r="CL15" i="25"/>
  <c r="CM15" i="25"/>
  <c r="CN15" i="25"/>
  <c r="CO15" i="25"/>
  <c r="CP15" i="25"/>
  <c r="CQ15" i="25"/>
  <c r="CC16" i="25"/>
  <c r="CD16" i="25"/>
  <c r="CE16" i="25"/>
  <c r="CF16" i="25"/>
  <c r="CG16" i="25"/>
  <c r="CH16" i="25"/>
  <c r="CI16" i="25"/>
  <c r="CJ16" i="25"/>
  <c r="CK16" i="25"/>
  <c r="CL16" i="25"/>
  <c r="CM16" i="25"/>
  <c r="CN16" i="25"/>
  <c r="CO16" i="25"/>
  <c r="CP16" i="25"/>
  <c r="CQ16" i="25"/>
  <c r="CC17" i="25"/>
  <c r="CD17" i="25"/>
  <c r="CE17" i="25"/>
  <c r="CF17" i="25"/>
  <c r="CG17" i="25"/>
  <c r="CH17" i="25"/>
  <c r="CI17" i="25"/>
  <c r="CJ17" i="25"/>
  <c r="CK17" i="25"/>
  <c r="CL17" i="25"/>
  <c r="CM17" i="25"/>
  <c r="CN17" i="25"/>
  <c r="CO17" i="25"/>
  <c r="CP17" i="25"/>
  <c r="CQ17" i="25"/>
  <c r="CC18" i="25"/>
  <c r="CD18" i="25"/>
  <c r="CE18" i="25"/>
  <c r="CF18" i="25"/>
  <c r="CG18" i="25"/>
  <c r="CH18" i="25"/>
  <c r="CI18" i="25"/>
  <c r="CJ18" i="25"/>
  <c r="CK18" i="25"/>
  <c r="CL18" i="25"/>
  <c r="CM18" i="25"/>
  <c r="CN18" i="25"/>
  <c r="CO18" i="25"/>
  <c r="CP18" i="25"/>
  <c r="CQ18" i="25"/>
  <c r="CC19" i="25"/>
  <c r="CD19" i="25"/>
  <c r="CE19" i="25"/>
  <c r="CF19" i="25"/>
  <c r="CG19" i="25"/>
  <c r="CH19" i="25"/>
  <c r="CI19" i="25"/>
  <c r="CJ19" i="25"/>
  <c r="CK19" i="25"/>
  <c r="CL19" i="25"/>
  <c r="CM19" i="25"/>
  <c r="CN19" i="25"/>
  <c r="CO19" i="25"/>
  <c r="CP19" i="25"/>
  <c r="CQ19" i="25"/>
  <c r="CC20" i="25"/>
  <c r="CD20" i="25"/>
  <c r="CE20" i="25"/>
  <c r="CF20" i="25"/>
  <c r="CG20" i="25"/>
  <c r="CH20" i="25"/>
  <c r="CI20" i="25"/>
  <c r="CJ20" i="25"/>
  <c r="CK20" i="25"/>
  <c r="CL20" i="25"/>
  <c r="CM20" i="25"/>
  <c r="CN20" i="25"/>
  <c r="CO20" i="25"/>
  <c r="CP20" i="25"/>
  <c r="CQ20" i="25"/>
  <c r="CC21" i="25"/>
  <c r="CD21" i="25"/>
  <c r="CE21" i="25"/>
  <c r="CF21" i="25"/>
  <c r="CG21" i="25"/>
  <c r="CH21" i="25"/>
  <c r="CI21" i="25"/>
  <c r="CJ21" i="25"/>
  <c r="CK21" i="25"/>
  <c r="CL21" i="25"/>
  <c r="CM21" i="25"/>
  <c r="CN21" i="25"/>
  <c r="CO21" i="25"/>
  <c r="CP21" i="25"/>
  <c r="CQ21" i="25"/>
  <c r="CC22" i="25"/>
  <c r="CD22" i="25"/>
  <c r="CE22" i="25"/>
  <c r="CF22" i="25"/>
  <c r="CG22" i="25"/>
  <c r="CH22" i="25"/>
  <c r="CI22" i="25"/>
  <c r="CJ22" i="25"/>
  <c r="CK22" i="25"/>
  <c r="CL22" i="25"/>
  <c r="CM22" i="25"/>
  <c r="CN22" i="25"/>
  <c r="CO22" i="25"/>
  <c r="CP22" i="25"/>
  <c r="CQ22" i="25"/>
  <c r="CC23" i="25"/>
  <c r="CD23" i="25"/>
  <c r="CE23" i="25"/>
  <c r="CF23" i="25"/>
  <c r="CG23" i="25"/>
  <c r="CH23" i="25"/>
  <c r="CI23" i="25"/>
  <c r="CJ23" i="25"/>
  <c r="CK23" i="25"/>
  <c r="CL23" i="25"/>
  <c r="CM23" i="25"/>
  <c r="CN23" i="25"/>
  <c r="CO23" i="25"/>
  <c r="CP23" i="25"/>
  <c r="CQ23" i="25"/>
  <c r="CC24" i="25"/>
  <c r="CD24" i="25"/>
  <c r="CE24" i="25"/>
  <c r="CF24" i="25"/>
  <c r="CG24" i="25"/>
  <c r="CH24" i="25"/>
  <c r="CI24" i="25"/>
  <c r="CJ24" i="25"/>
  <c r="CK24" i="25"/>
  <c r="CL24" i="25"/>
  <c r="CM24" i="25"/>
  <c r="CN24" i="25"/>
  <c r="CO24" i="25"/>
  <c r="CP24" i="25"/>
  <c r="CQ24" i="25"/>
  <c r="CC25" i="25"/>
  <c r="CD25" i="25"/>
  <c r="CE25" i="25"/>
  <c r="CF25" i="25"/>
  <c r="CG25" i="25"/>
  <c r="CH25" i="25"/>
  <c r="CI25" i="25"/>
  <c r="CJ25" i="25"/>
  <c r="CK25" i="25"/>
  <c r="CL25" i="25"/>
  <c r="CM25" i="25"/>
  <c r="CN25" i="25"/>
  <c r="CO25" i="25"/>
  <c r="CP25" i="25"/>
  <c r="CQ25" i="25"/>
  <c r="CC26" i="25"/>
  <c r="CD26" i="25"/>
  <c r="CE26" i="25"/>
  <c r="CF26" i="25"/>
  <c r="CG26" i="25"/>
  <c r="CH26" i="25"/>
  <c r="CI26" i="25"/>
  <c r="CJ26" i="25"/>
  <c r="CK26" i="25"/>
  <c r="CL26" i="25"/>
  <c r="CM26" i="25"/>
  <c r="CN26" i="25"/>
  <c r="CO26" i="25"/>
  <c r="CP26" i="25"/>
  <c r="CQ26" i="25"/>
  <c r="CC27" i="25"/>
  <c r="CD27" i="25"/>
  <c r="CE27" i="25"/>
  <c r="CF27" i="25"/>
  <c r="CG27" i="25"/>
  <c r="CH27" i="25"/>
  <c r="CI27" i="25"/>
  <c r="CJ27" i="25"/>
  <c r="CK27" i="25"/>
  <c r="CL27" i="25"/>
  <c r="CM27" i="25"/>
  <c r="CN27" i="25"/>
  <c r="CO27" i="25"/>
  <c r="CP27" i="25"/>
  <c r="CQ27" i="25"/>
  <c r="CC28" i="25"/>
  <c r="CD28" i="25"/>
  <c r="CE28" i="25"/>
  <c r="CF28" i="25"/>
  <c r="CG28" i="25"/>
  <c r="CH28" i="25"/>
  <c r="CI28" i="25"/>
  <c r="CJ28" i="25"/>
  <c r="CK28" i="25"/>
  <c r="CL28" i="25"/>
  <c r="CM28" i="25"/>
  <c r="CN28" i="25"/>
  <c r="CO28" i="25"/>
  <c r="CP28" i="25"/>
  <c r="CQ28" i="25"/>
  <c r="CC29" i="25"/>
  <c r="CD29" i="25"/>
  <c r="CE29" i="25"/>
  <c r="CF29" i="25"/>
  <c r="CG29" i="25"/>
  <c r="CH29" i="25"/>
  <c r="CI29" i="25"/>
  <c r="CJ29" i="25"/>
  <c r="CK29" i="25"/>
  <c r="CL29" i="25"/>
  <c r="CM29" i="25"/>
  <c r="CN29" i="25"/>
  <c r="CO29" i="25"/>
  <c r="CP29" i="25"/>
  <c r="CQ29" i="25"/>
  <c r="CC30" i="25"/>
  <c r="CD30" i="25"/>
  <c r="CE30" i="25"/>
  <c r="CF30" i="25"/>
  <c r="CG30" i="25"/>
  <c r="CH30" i="25"/>
  <c r="CI30" i="25"/>
  <c r="CJ30" i="25"/>
  <c r="CK30" i="25"/>
  <c r="CL30" i="25"/>
  <c r="CM30" i="25"/>
  <c r="CN30" i="25"/>
  <c r="CO30" i="25"/>
  <c r="CP30" i="25"/>
  <c r="CQ30" i="25"/>
  <c r="CC31" i="25"/>
  <c r="CD31" i="25"/>
  <c r="CE31" i="25"/>
  <c r="CF31" i="25"/>
  <c r="CG31" i="25"/>
  <c r="CH31" i="25"/>
  <c r="CI31" i="25"/>
  <c r="CJ31" i="25"/>
  <c r="CK31" i="25"/>
  <c r="CL31" i="25"/>
  <c r="CM31" i="25"/>
  <c r="CN31" i="25"/>
  <c r="CO31" i="25"/>
  <c r="CP31" i="25"/>
  <c r="CQ31" i="25"/>
  <c r="CC32" i="25"/>
  <c r="CD32" i="25"/>
  <c r="CE32" i="25"/>
  <c r="CF32" i="25"/>
  <c r="CG32" i="25"/>
  <c r="CH32" i="25"/>
  <c r="CI32" i="25"/>
  <c r="CJ32" i="25"/>
  <c r="CK32" i="25"/>
  <c r="CL32" i="25"/>
  <c r="CM32" i="25"/>
  <c r="CN32" i="25"/>
  <c r="CO32" i="25"/>
  <c r="CP32" i="25"/>
  <c r="CQ32" i="25"/>
  <c r="CC33" i="25"/>
  <c r="CD33" i="25"/>
  <c r="CE33" i="25"/>
  <c r="CF33" i="25"/>
  <c r="CG33" i="25"/>
  <c r="CH33" i="25"/>
  <c r="CI33" i="25"/>
  <c r="CJ33" i="25"/>
  <c r="CK33" i="25"/>
  <c r="CL33" i="25"/>
  <c r="CM33" i="25"/>
  <c r="CN33" i="25"/>
  <c r="CO33" i="25"/>
  <c r="CP33" i="25"/>
  <c r="CQ33" i="25"/>
  <c r="CC34" i="25"/>
  <c r="CD34" i="25"/>
  <c r="CE34" i="25"/>
  <c r="CF34" i="25"/>
  <c r="CG34" i="25"/>
  <c r="CH34" i="25"/>
  <c r="CI34" i="25"/>
  <c r="CJ34" i="25"/>
  <c r="CK34" i="25"/>
  <c r="CL34" i="25"/>
  <c r="CM34" i="25"/>
  <c r="CN34" i="25"/>
  <c r="CO34" i="25"/>
  <c r="CP34" i="25"/>
  <c r="CQ34" i="25"/>
  <c r="CC35" i="25"/>
  <c r="CD35" i="25"/>
  <c r="CE35" i="25"/>
  <c r="CF35" i="25"/>
  <c r="CG35" i="25"/>
  <c r="CH35" i="25"/>
  <c r="CI35" i="25"/>
  <c r="CJ35" i="25"/>
  <c r="CK35" i="25"/>
  <c r="CL35" i="25"/>
  <c r="CM35" i="25"/>
  <c r="CN35" i="25"/>
  <c r="CO35" i="25"/>
  <c r="CP35" i="25"/>
  <c r="CQ35" i="25"/>
  <c r="CC36" i="25"/>
  <c r="CD36" i="25"/>
  <c r="CE36" i="25"/>
  <c r="CF36" i="25"/>
  <c r="CG36" i="25"/>
  <c r="CH36" i="25"/>
  <c r="CI36" i="25"/>
  <c r="CJ36" i="25"/>
  <c r="CK36" i="25"/>
  <c r="CL36" i="25"/>
  <c r="CM36" i="25"/>
  <c r="CN36" i="25"/>
  <c r="CO36" i="25"/>
  <c r="CP36" i="25"/>
  <c r="CQ36" i="25"/>
  <c r="CC37" i="25"/>
  <c r="CD37" i="25"/>
  <c r="CE37" i="25"/>
  <c r="CF37" i="25"/>
  <c r="CG37" i="25"/>
  <c r="CH37" i="25"/>
  <c r="CI37" i="25"/>
  <c r="CJ37" i="25"/>
  <c r="CK37" i="25"/>
  <c r="CL37" i="25"/>
  <c r="CM37" i="25"/>
  <c r="CN37" i="25"/>
  <c r="CO37" i="25"/>
  <c r="CP37" i="25"/>
  <c r="CQ37" i="25"/>
  <c r="CC38" i="25"/>
  <c r="CD38" i="25"/>
  <c r="CE38" i="25"/>
  <c r="CF38" i="25"/>
  <c r="CG38" i="25"/>
  <c r="CH38" i="25"/>
  <c r="CI38" i="25"/>
  <c r="CJ38" i="25"/>
  <c r="CK38" i="25"/>
  <c r="CL38" i="25"/>
  <c r="CM38" i="25"/>
  <c r="CN38" i="25"/>
  <c r="CO38" i="25"/>
  <c r="CP38" i="25"/>
  <c r="CQ38" i="25"/>
  <c r="CC39" i="25"/>
  <c r="CD39" i="25"/>
  <c r="CE39" i="25"/>
  <c r="CF39" i="25"/>
  <c r="CG39" i="25"/>
  <c r="CH39" i="25"/>
  <c r="CI39" i="25"/>
  <c r="CJ39" i="25"/>
  <c r="CK39" i="25"/>
  <c r="CL39" i="25"/>
  <c r="CM39" i="25"/>
  <c r="CN39" i="25"/>
  <c r="CO39" i="25"/>
  <c r="CP39" i="25"/>
  <c r="CQ39" i="25"/>
  <c r="CC40" i="25"/>
  <c r="CD40" i="25"/>
  <c r="CE40" i="25"/>
  <c r="CF40" i="25"/>
  <c r="CG40" i="25"/>
  <c r="CH40" i="25"/>
  <c r="CI40" i="25"/>
  <c r="CJ40" i="25"/>
  <c r="CK40" i="25"/>
  <c r="CL40" i="25"/>
  <c r="CM40" i="25"/>
  <c r="CN40" i="25"/>
  <c r="CO40" i="25"/>
  <c r="CP40" i="25"/>
  <c r="CQ40" i="25"/>
  <c r="CC41" i="25"/>
  <c r="CD41" i="25"/>
  <c r="CE41" i="25"/>
  <c r="CF41" i="25"/>
  <c r="CG41" i="25"/>
  <c r="CH41" i="25"/>
  <c r="CI41" i="25"/>
  <c r="CJ41" i="25"/>
  <c r="CK41" i="25"/>
  <c r="CL41" i="25"/>
  <c r="CM41" i="25"/>
  <c r="CN41" i="25"/>
  <c r="CO41" i="25"/>
  <c r="CP41" i="25"/>
  <c r="CQ41" i="25"/>
  <c r="CC42" i="25"/>
  <c r="CD42" i="25"/>
  <c r="CE42" i="25"/>
  <c r="CF42" i="25"/>
  <c r="CG42" i="25"/>
  <c r="CH42" i="25"/>
  <c r="CI42" i="25"/>
  <c r="CJ42" i="25"/>
  <c r="CK42" i="25"/>
  <c r="CL42" i="25"/>
  <c r="CM42" i="25"/>
  <c r="CN42" i="25"/>
  <c r="CO42" i="25"/>
  <c r="CP42" i="25"/>
  <c r="CQ42" i="25"/>
  <c r="CC43" i="25"/>
  <c r="CD43" i="25"/>
  <c r="CE43" i="25"/>
  <c r="CF43" i="25"/>
  <c r="CG43" i="25"/>
  <c r="CH43" i="25"/>
  <c r="CI43" i="25"/>
  <c r="CJ43" i="25"/>
  <c r="CK43" i="25"/>
  <c r="CL43" i="25"/>
  <c r="CM43" i="25"/>
  <c r="CN43" i="25"/>
  <c r="CO43" i="25"/>
  <c r="CP43" i="25"/>
  <c r="CQ43" i="25"/>
  <c r="CC44" i="25"/>
  <c r="CD44" i="25"/>
  <c r="CE44" i="25"/>
  <c r="CF44" i="25"/>
  <c r="CG44" i="25"/>
  <c r="CH44" i="25"/>
  <c r="CI44" i="25"/>
  <c r="CJ44" i="25"/>
  <c r="CK44" i="25"/>
  <c r="CL44" i="25"/>
  <c r="CM44" i="25"/>
  <c r="CN44" i="25"/>
  <c r="CO44" i="25"/>
  <c r="CP44" i="25"/>
  <c r="CQ44" i="25"/>
  <c r="CC45" i="25"/>
  <c r="CD45" i="25"/>
  <c r="CE45" i="25"/>
  <c r="CF45" i="25"/>
  <c r="CG45" i="25"/>
  <c r="CH45" i="25"/>
  <c r="CI45" i="25"/>
  <c r="CJ45" i="25"/>
  <c r="CK45" i="25"/>
  <c r="CL45" i="25"/>
  <c r="CM45" i="25"/>
  <c r="CN45" i="25"/>
  <c r="CO45" i="25"/>
  <c r="CP45" i="25"/>
  <c r="CQ45" i="25"/>
  <c r="CC46" i="25"/>
  <c r="CD46" i="25"/>
  <c r="CE46" i="25"/>
  <c r="CF46" i="25"/>
  <c r="CG46" i="25"/>
  <c r="CH46" i="25"/>
  <c r="CI46" i="25"/>
  <c r="CJ46" i="25"/>
  <c r="CK46" i="25"/>
  <c r="CL46" i="25"/>
  <c r="CM46" i="25"/>
  <c r="CN46" i="25"/>
  <c r="CO46" i="25"/>
  <c r="CP46" i="25"/>
  <c r="CQ46" i="25"/>
  <c r="CC47" i="25"/>
  <c r="CD47" i="25"/>
  <c r="CE47" i="25"/>
  <c r="CF47" i="25"/>
  <c r="CG47" i="25"/>
  <c r="CH47" i="25"/>
  <c r="CI47" i="25"/>
  <c r="CJ47" i="25"/>
  <c r="CK47" i="25"/>
  <c r="CL47" i="25"/>
  <c r="CM47" i="25"/>
  <c r="CN47" i="25"/>
  <c r="CO47" i="25"/>
  <c r="CP47" i="25"/>
  <c r="CQ47" i="25"/>
  <c r="CC48" i="25"/>
  <c r="CD48" i="25"/>
  <c r="CE48" i="25"/>
  <c r="CF48" i="25"/>
  <c r="CG48" i="25"/>
  <c r="CH48" i="25"/>
  <c r="CI48" i="25"/>
  <c r="CJ48" i="25"/>
  <c r="CK48" i="25"/>
  <c r="CL48" i="25"/>
  <c r="CM48" i="25"/>
  <c r="CN48" i="25"/>
  <c r="CO48" i="25"/>
  <c r="CP48" i="25"/>
  <c r="CQ48" i="25"/>
  <c r="CC49" i="25"/>
  <c r="CD49" i="25"/>
  <c r="CE49" i="25"/>
  <c r="CF49" i="25"/>
  <c r="CG49" i="25"/>
  <c r="CH49" i="25"/>
  <c r="CI49" i="25"/>
  <c r="CJ49" i="25"/>
  <c r="CK49" i="25"/>
  <c r="CL49" i="25"/>
  <c r="CM49" i="25"/>
  <c r="CN49" i="25"/>
  <c r="CO49" i="25"/>
  <c r="CP49" i="25"/>
  <c r="CQ49" i="25"/>
  <c r="CD50" i="25"/>
  <c r="CE50" i="25"/>
  <c r="CF50" i="25"/>
  <c r="CG50" i="25"/>
  <c r="CH50" i="25"/>
  <c r="CI50" i="25"/>
  <c r="CJ50" i="25"/>
  <c r="CK50" i="25"/>
  <c r="CL50" i="25"/>
  <c r="CM50" i="25"/>
  <c r="CN50" i="25"/>
  <c r="CO50" i="25"/>
  <c r="CP50" i="25"/>
  <c r="CQ50" i="25"/>
  <c r="CC51" i="25"/>
  <c r="CD51" i="25"/>
  <c r="CE51" i="25"/>
  <c r="CF51" i="25"/>
  <c r="CG51" i="25"/>
  <c r="CH51" i="25"/>
  <c r="CI51" i="25"/>
  <c r="CJ51" i="25"/>
  <c r="CK51" i="25"/>
  <c r="CL51" i="25"/>
  <c r="CM51" i="25"/>
  <c r="CN51" i="25"/>
  <c r="CO51" i="25"/>
  <c r="CP51" i="25"/>
  <c r="CQ51" i="25"/>
  <c r="CC52" i="25"/>
  <c r="CD52" i="25"/>
  <c r="CE52" i="25"/>
  <c r="CF52" i="25"/>
  <c r="CG52" i="25"/>
  <c r="CH52" i="25"/>
  <c r="CI52" i="25"/>
  <c r="CJ52" i="25"/>
  <c r="CK52" i="25"/>
  <c r="CL52" i="25"/>
  <c r="CM52" i="25"/>
  <c r="CN52" i="25"/>
  <c r="CO52" i="25"/>
  <c r="CP52" i="25"/>
  <c r="CQ52" i="25"/>
  <c r="CC53" i="25"/>
  <c r="CD53" i="25"/>
  <c r="CE53" i="25"/>
  <c r="CF53" i="25"/>
  <c r="CG53" i="25"/>
  <c r="CH53" i="25"/>
  <c r="CI53" i="25"/>
  <c r="CJ53" i="25"/>
  <c r="CK53" i="25"/>
  <c r="CL53" i="25"/>
  <c r="CM53" i="25"/>
  <c r="CN53" i="25"/>
  <c r="CO53" i="25"/>
  <c r="CP53" i="25"/>
  <c r="CQ53" i="25"/>
  <c r="CC54" i="25"/>
  <c r="CD54" i="25"/>
  <c r="CE54" i="25"/>
  <c r="CF54" i="25"/>
  <c r="CG54" i="25"/>
  <c r="CH54" i="25"/>
  <c r="CI54" i="25"/>
  <c r="CJ54" i="25"/>
  <c r="CK54" i="25"/>
  <c r="CL54" i="25"/>
  <c r="CM54" i="25"/>
  <c r="CN54" i="25"/>
  <c r="CO54" i="25"/>
  <c r="CP54" i="25"/>
  <c r="CQ54" i="25"/>
  <c r="CD6" i="25"/>
  <c r="CE6" i="25"/>
  <c r="CF6" i="25"/>
  <c r="CG6" i="25"/>
  <c r="CH6" i="25"/>
  <c r="CI6" i="25"/>
  <c r="CJ6" i="25"/>
  <c r="CK6" i="25"/>
  <c r="CL6" i="25"/>
  <c r="CM6" i="25"/>
  <c r="CN6" i="25"/>
  <c r="CO6" i="25"/>
  <c r="CP6" i="25"/>
  <c r="CQ6" i="25"/>
  <c r="CC6" i="25"/>
  <c r="CM5" i="25"/>
  <c r="BT5" i="25"/>
  <c r="BH7" i="25"/>
  <c r="BI7" i="25"/>
  <c r="BJ7" i="25"/>
  <c r="BK7" i="25"/>
  <c r="BL7" i="25"/>
  <c r="BM7" i="25"/>
  <c r="BN7" i="25"/>
  <c r="BO7" i="25"/>
  <c r="BP7" i="25"/>
  <c r="BQ7" i="25"/>
  <c r="BR7" i="25"/>
  <c r="BS7" i="25"/>
  <c r="BT7" i="25"/>
  <c r="BU7" i="25"/>
  <c r="BV7" i="25"/>
  <c r="BH8" i="25"/>
  <c r="BI8" i="25"/>
  <c r="BJ8" i="25"/>
  <c r="BK8" i="25"/>
  <c r="BL8" i="25"/>
  <c r="BM8" i="25"/>
  <c r="BN8" i="25"/>
  <c r="BO8" i="25"/>
  <c r="BP8" i="25"/>
  <c r="BQ8" i="25"/>
  <c r="BR8" i="25"/>
  <c r="BS8" i="25"/>
  <c r="BT8" i="25"/>
  <c r="BU8" i="25"/>
  <c r="BV8" i="25"/>
  <c r="BH9" i="25"/>
  <c r="BI9" i="25"/>
  <c r="BJ9" i="25"/>
  <c r="BK9" i="25"/>
  <c r="BL9" i="25"/>
  <c r="BM9" i="25"/>
  <c r="BN9" i="25"/>
  <c r="BO9" i="25"/>
  <c r="BP9" i="25"/>
  <c r="BQ9" i="25"/>
  <c r="BR9" i="25"/>
  <c r="BS9" i="25"/>
  <c r="BT9" i="25"/>
  <c r="BU9" i="25"/>
  <c r="BV9" i="25"/>
  <c r="BH10" i="25"/>
  <c r="BI10" i="25"/>
  <c r="BJ10" i="25"/>
  <c r="BK10" i="25"/>
  <c r="BL10" i="25"/>
  <c r="BM10" i="25"/>
  <c r="BN10" i="25"/>
  <c r="BO10" i="25"/>
  <c r="BP10" i="25"/>
  <c r="BQ10" i="25"/>
  <c r="BR10" i="25"/>
  <c r="BS10" i="25"/>
  <c r="BT10" i="25"/>
  <c r="BU10" i="25"/>
  <c r="BV10" i="25"/>
  <c r="BH11" i="25"/>
  <c r="BI11" i="25"/>
  <c r="BJ11" i="25"/>
  <c r="BK11" i="25"/>
  <c r="BL11" i="25"/>
  <c r="BM11" i="25"/>
  <c r="BN11" i="25"/>
  <c r="BO11" i="25"/>
  <c r="BP11" i="25"/>
  <c r="BQ11" i="25"/>
  <c r="BR11" i="25"/>
  <c r="BS11" i="25"/>
  <c r="BT11" i="25"/>
  <c r="BU11" i="25"/>
  <c r="BV11" i="25"/>
  <c r="BH12" i="25"/>
  <c r="BI12" i="25"/>
  <c r="BJ12" i="25"/>
  <c r="BK12" i="25"/>
  <c r="BL12" i="25"/>
  <c r="BM12" i="25"/>
  <c r="BN12" i="25"/>
  <c r="BO12" i="25"/>
  <c r="BP12" i="25"/>
  <c r="BQ12" i="25"/>
  <c r="BR12" i="25"/>
  <c r="BS12" i="25"/>
  <c r="BT12" i="25"/>
  <c r="BU12" i="25"/>
  <c r="BV12" i="25"/>
  <c r="BH13" i="25"/>
  <c r="BI13" i="25"/>
  <c r="BJ13" i="25"/>
  <c r="BK13" i="25"/>
  <c r="BL13" i="25"/>
  <c r="BM13" i="25"/>
  <c r="BN13" i="25"/>
  <c r="BO13" i="25"/>
  <c r="BP13" i="25"/>
  <c r="BQ13" i="25"/>
  <c r="BR13" i="25"/>
  <c r="BS13" i="25"/>
  <c r="BT13" i="25"/>
  <c r="BU13" i="25"/>
  <c r="BV13" i="25"/>
  <c r="BH14" i="25"/>
  <c r="BI14" i="25"/>
  <c r="BJ14" i="25"/>
  <c r="BK14" i="25"/>
  <c r="BL14" i="25"/>
  <c r="BM14" i="25"/>
  <c r="BN14" i="25"/>
  <c r="BO14" i="25"/>
  <c r="BP14" i="25"/>
  <c r="BQ14" i="25"/>
  <c r="BR14" i="25"/>
  <c r="BS14" i="25"/>
  <c r="BT14" i="25"/>
  <c r="BU14" i="25"/>
  <c r="BV14" i="25"/>
  <c r="BH15" i="25"/>
  <c r="BI15" i="25"/>
  <c r="BJ15" i="25"/>
  <c r="BK15" i="25"/>
  <c r="BL15" i="25"/>
  <c r="BM15" i="25"/>
  <c r="BN15" i="25"/>
  <c r="BO15" i="25"/>
  <c r="BP15" i="25"/>
  <c r="BQ15" i="25"/>
  <c r="BR15" i="25"/>
  <c r="BS15" i="25"/>
  <c r="BT15" i="25"/>
  <c r="BU15" i="25"/>
  <c r="BV15" i="25"/>
  <c r="BH16" i="25"/>
  <c r="BI16" i="25"/>
  <c r="BJ16" i="25"/>
  <c r="BK16" i="25"/>
  <c r="BL16" i="25"/>
  <c r="BM16" i="25"/>
  <c r="BN16" i="25"/>
  <c r="BO16" i="25"/>
  <c r="BP16" i="25"/>
  <c r="BQ16" i="25"/>
  <c r="BR16" i="25"/>
  <c r="BS16" i="25"/>
  <c r="BT16" i="25"/>
  <c r="BU16" i="25"/>
  <c r="BV16" i="25"/>
  <c r="BH17" i="25"/>
  <c r="BI17" i="25"/>
  <c r="BJ17" i="25"/>
  <c r="BK17" i="25"/>
  <c r="BL17" i="25"/>
  <c r="BM17" i="25"/>
  <c r="BN17" i="25"/>
  <c r="BO17" i="25"/>
  <c r="BP17" i="25"/>
  <c r="BQ17" i="25"/>
  <c r="BR17" i="25"/>
  <c r="BS17" i="25"/>
  <c r="BT17" i="25"/>
  <c r="BU17" i="25"/>
  <c r="BV17" i="25"/>
  <c r="BH18" i="25"/>
  <c r="BI18" i="25"/>
  <c r="BJ18" i="25"/>
  <c r="BK18" i="25"/>
  <c r="BL18" i="25"/>
  <c r="BM18" i="25"/>
  <c r="BN18" i="25"/>
  <c r="BO18" i="25"/>
  <c r="BP18" i="25"/>
  <c r="BQ18" i="25"/>
  <c r="BR18" i="25"/>
  <c r="BS18" i="25"/>
  <c r="BT18" i="25"/>
  <c r="BU18" i="25"/>
  <c r="BV18" i="25"/>
  <c r="BH19" i="25"/>
  <c r="BI19" i="25"/>
  <c r="BJ19" i="25"/>
  <c r="BK19" i="25"/>
  <c r="BL19" i="25"/>
  <c r="BM19" i="25"/>
  <c r="BN19" i="25"/>
  <c r="BO19" i="25"/>
  <c r="BP19" i="25"/>
  <c r="BQ19" i="25"/>
  <c r="BR19" i="25"/>
  <c r="BS19" i="25"/>
  <c r="BT19" i="25"/>
  <c r="BU19" i="25"/>
  <c r="BV19" i="25"/>
  <c r="BH20" i="25"/>
  <c r="BI20" i="25"/>
  <c r="BJ20" i="25"/>
  <c r="BK20" i="25"/>
  <c r="BL20" i="25"/>
  <c r="BM20" i="25"/>
  <c r="BN20" i="25"/>
  <c r="BO20" i="25"/>
  <c r="BP20" i="25"/>
  <c r="BQ20" i="25"/>
  <c r="BR20" i="25"/>
  <c r="BS20" i="25"/>
  <c r="BT20" i="25"/>
  <c r="BU20" i="25"/>
  <c r="BV20" i="25"/>
  <c r="BH21" i="25"/>
  <c r="BI21" i="25"/>
  <c r="BJ21" i="25"/>
  <c r="BK21" i="25"/>
  <c r="BL21" i="25"/>
  <c r="BM21" i="25"/>
  <c r="BN21" i="25"/>
  <c r="BO21" i="25"/>
  <c r="BP21" i="25"/>
  <c r="BQ21" i="25"/>
  <c r="BR21" i="25"/>
  <c r="BS21" i="25"/>
  <c r="BT21" i="25"/>
  <c r="BU21" i="25"/>
  <c r="BV21" i="25"/>
  <c r="BH22" i="25"/>
  <c r="BI22" i="25"/>
  <c r="BJ22" i="25"/>
  <c r="BK22" i="25"/>
  <c r="BL22" i="25"/>
  <c r="BM22" i="25"/>
  <c r="BN22" i="25"/>
  <c r="BO22" i="25"/>
  <c r="BP22" i="25"/>
  <c r="BQ22" i="25"/>
  <c r="BR22" i="25"/>
  <c r="BS22" i="25"/>
  <c r="BT22" i="25"/>
  <c r="BU22" i="25"/>
  <c r="BV22" i="25"/>
  <c r="BH23" i="25"/>
  <c r="BI23" i="25"/>
  <c r="BJ23" i="25"/>
  <c r="BK23" i="25"/>
  <c r="BL23" i="25"/>
  <c r="BM23" i="25"/>
  <c r="BN23" i="25"/>
  <c r="BO23" i="25"/>
  <c r="BP23" i="25"/>
  <c r="BQ23" i="25"/>
  <c r="BR23" i="25"/>
  <c r="BS23" i="25"/>
  <c r="BT23" i="25"/>
  <c r="BU23" i="25"/>
  <c r="BV23" i="25"/>
  <c r="BH24" i="25"/>
  <c r="BI24" i="25"/>
  <c r="BJ24" i="25"/>
  <c r="BK24" i="25"/>
  <c r="BL24" i="25"/>
  <c r="BM24" i="25"/>
  <c r="BN24" i="25"/>
  <c r="BO24" i="25"/>
  <c r="BP24" i="25"/>
  <c r="BQ24" i="25"/>
  <c r="BR24" i="25"/>
  <c r="BS24" i="25"/>
  <c r="BT24" i="25"/>
  <c r="BU24" i="25"/>
  <c r="BV24" i="25"/>
  <c r="BH25" i="25"/>
  <c r="BI25" i="25"/>
  <c r="BJ25" i="25"/>
  <c r="BK25" i="25"/>
  <c r="BL25" i="25"/>
  <c r="BM25" i="25"/>
  <c r="BN25" i="25"/>
  <c r="BO25" i="25"/>
  <c r="BP25" i="25"/>
  <c r="BQ25" i="25"/>
  <c r="BR25" i="25"/>
  <c r="BS25" i="25"/>
  <c r="BT25" i="25"/>
  <c r="BU25" i="25"/>
  <c r="BV25" i="25"/>
  <c r="BH26" i="25"/>
  <c r="BI26" i="25"/>
  <c r="BJ26" i="25"/>
  <c r="BK26" i="25"/>
  <c r="BL26" i="25"/>
  <c r="BM26" i="25"/>
  <c r="BN26" i="25"/>
  <c r="BO26" i="25"/>
  <c r="BP26" i="25"/>
  <c r="BQ26" i="25"/>
  <c r="BR26" i="25"/>
  <c r="BS26" i="25"/>
  <c r="BT26" i="25"/>
  <c r="BU26" i="25"/>
  <c r="BV26" i="25"/>
  <c r="BH27" i="25"/>
  <c r="BI27" i="25"/>
  <c r="BJ27" i="25"/>
  <c r="BK27" i="25"/>
  <c r="BL27" i="25"/>
  <c r="BM27" i="25"/>
  <c r="BN27" i="25"/>
  <c r="BO27" i="25"/>
  <c r="BP27" i="25"/>
  <c r="BQ27" i="25"/>
  <c r="BR27" i="25"/>
  <c r="BS27" i="25"/>
  <c r="BT27" i="25"/>
  <c r="BU27" i="25"/>
  <c r="BV27" i="25"/>
  <c r="BH28" i="25"/>
  <c r="BI28" i="25"/>
  <c r="BJ28" i="25"/>
  <c r="BK28" i="25"/>
  <c r="BL28" i="25"/>
  <c r="BM28" i="25"/>
  <c r="BN28" i="25"/>
  <c r="BO28" i="25"/>
  <c r="BP28" i="25"/>
  <c r="BQ28" i="25"/>
  <c r="BR28" i="25"/>
  <c r="BS28" i="25"/>
  <c r="BT28" i="25"/>
  <c r="BU28" i="25"/>
  <c r="BV28" i="25"/>
  <c r="BH29" i="25"/>
  <c r="BI29" i="25"/>
  <c r="BJ29" i="25"/>
  <c r="BK29" i="25"/>
  <c r="BL29" i="25"/>
  <c r="BM29" i="25"/>
  <c r="BN29" i="25"/>
  <c r="BO29" i="25"/>
  <c r="BP29" i="25"/>
  <c r="BQ29" i="25"/>
  <c r="BR29" i="25"/>
  <c r="BS29" i="25"/>
  <c r="BT29" i="25"/>
  <c r="BU29" i="25"/>
  <c r="BV29" i="25"/>
  <c r="BH30" i="25"/>
  <c r="BI30" i="25"/>
  <c r="BJ30" i="25"/>
  <c r="BK30" i="25"/>
  <c r="BL30" i="25"/>
  <c r="BM30" i="25"/>
  <c r="BN30" i="25"/>
  <c r="BO30" i="25"/>
  <c r="BP30" i="25"/>
  <c r="BQ30" i="25"/>
  <c r="BR30" i="25"/>
  <c r="BS30" i="25"/>
  <c r="BT30" i="25"/>
  <c r="BU30" i="25"/>
  <c r="BV30" i="25"/>
  <c r="BH31" i="25"/>
  <c r="BI31" i="25"/>
  <c r="BJ31" i="25"/>
  <c r="BK31" i="25"/>
  <c r="BL31" i="25"/>
  <c r="BM31" i="25"/>
  <c r="BN31" i="25"/>
  <c r="BO31" i="25"/>
  <c r="BP31" i="25"/>
  <c r="BQ31" i="25"/>
  <c r="BR31" i="25"/>
  <c r="BS31" i="25"/>
  <c r="BT31" i="25"/>
  <c r="BU31" i="25"/>
  <c r="BV31" i="25"/>
  <c r="BH32" i="25"/>
  <c r="BI32" i="25"/>
  <c r="BJ32" i="25"/>
  <c r="BK32" i="25"/>
  <c r="BL32" i="25"/>
  <c r="BM32" i="25"/>
  <c r="BN32" i="25"/>
  <c r="BO32" i="25"/>
  <c r="BP32" i="25"/>
  <c r="BQ32" i="25"/>
  <c r="BR32" i="25"/>
  <c r="BS32" i="25"/>
  <c r="BT32" i="25"/>
  <c r="BU32" i="25"/>
  <c r="BV32" i="25"/>
  <c r="BH33" i="25"/>
  <c r="BI33" i="25"/>
  <c r="BJ33" i="25"/>
  <c r="BK33" i="25"/>
  <c r="BL33" i="25"/>
  <c r="BM33" i="25"/>
  <c r="BN33" i="25"/>
  <c r="BO33" i="25"/>
  <c r="BP33" i="25"/>
  <c r="BQ33" i="25"/>
  <c r="BR33" i="25"/>
  <c r="BS33" i="25"/>
  <c r="BT33" i="25"/>
  <c r="BU33" i="25"/>
  <c r="BV33" i="25"/>
  <c r="BH34" i="25"/>
  <c r="BI34" i="25"/>
  <c r="BJ34" i="25"/>
  <c r="BK34" i="25"/>
  <c r="BL34" i="25"/>
  <c r="BM34" i="25"/>
  <c r="BN34" i="25"/>
  <c r="BO34" i="25"/>
  <c r="BP34" i="25"/>
  <c r="BQ34" i="25"/>
  <c r="BR34" i="25"/>
  <c r="BS34" i="25"/>
  <c r="BT34" i="25"/>
  <c r="BU34" i="25"/>
  <c r="BV34" i="25"/>
  <c r="BH35" i="25"/>
  <c r="BI35" i="25"/>
  <c r="BJ35" i="25"/>
  <c r="BK35" i="25"/>
  <c r="BL35" i="25"/>
  <c r="BM35" i="25"/>
  <c r="BN35" i="25"/>
  <c r="BO35" i="25"/>
  <c r="BP35" i="25"/>
  <c r="BQ35" i="25"/>
  <c r="BR35" i="25"/>
  <c r="BS35" i="25"/>
  <c r="BT35" i="25"/>
  <c r="BU35" i="25"/>
  <c r="BV35" i="25"/>
  <c r="BH36" i="25"/>
  <c r="BI36" i="25"/>
  <c r="BJ36" i="25"/>
  <c r="BK36" i="25"/>
  <c r="BL36" i="25"/>
  <c r="BM36" i="25"/>
  <c r="BN36" i="25"/>
  <c r="BO36" i="25"/>
  <c r="BP36" i="25"/>
  <c r="BQ36" i="25"/>
  <c r="BR36" i="25"/>
  <c r="BS36" i="25"/>
  <c r="BT36" i="25"/>
  <c r="BU36" i="25"/>
  <c r="BV36" i="25"/>
  <c r="BH37" i="25"/>
  <c r="BI37" i="25"/>
  <c r="BJ37" i="25"/>
  <c r="BK37" i="25"/>
  <c r="BL37" i="25"/>
  <c r="BM37" i="25"/>
  <c r="BN37" i="25"/>
  <c r="BO37" i="25"/>
  <c r="BP37" i="25"/>
  <c r="BQ37" i="25"/>
  <c r="BR37" i="25"/>
  <c r="BS37" i="25"/>
  <c r="BT37" i="25"/>
  <c r="BU37" i="25"/>
  <c r="BV37" i="25"/>
  <c r="BH38" i="25"/>
  <c r="BI38" i="25"/>
  <c r="BJ38" i="25"/>
  <c r="BK38" i="25"/>
  <c r="BL38" i="25"/>
  <c r="BM38" i="25"/>
  <c r="BN38" i="25"/>
  <c r="BO38" i="25"/>
  <c r="BP38" i="25"/>
  <c r="BQ38" i="25"/>
  <c r="BR38" i="25"/>
  <c r="BS38" i="25"/>
  <c r="BT38" i="25"/>
  <c r="BU38" i="25"/>
  <c r="BV38" i="25"/>
  <c r="BH39" i="25"/>
  <c r="BI39" i="25"/>
  <c r="BJ39" i="25"/>
  <c r="BK39" i="25"/>
  <c r="BL39" i="25"/>
  <c r="BM39" i="25"/>
  <c r="BN39" i="25"/>
  <c r="BO39" i="25"/>
  <c r="BP39" i="25"/>
  <c r="BQ39" i="25"/>
  <c r="BR39" i="25"/>
  <c r="BS39" i="25"/>
  <c r="BT39" i="25"/>
  <c r="BU39" i="25"/>
  <c r="BV39" i="25"/>
  <c r="BH40" i="25"/>
  <c r="BI40" i="25"/>
  <c r="BJ40" i="25"/>
  <c r="BK40" i="25"/>
  <c r="BL40" i="25"/>
  <c r="BM40" i="25"/>
  <c r="BN40" i="25"/>
  <c r="BO40" i="25"/>
  <c r="BP40" i="25"/>
  <c r="BQ40" i="25"/>
  <c r="BR40" i="25"/>
  <c r="BS40" i="25"/>
  <c r="BT40" i="25"/>
  <c r="BU40" i="25"/>
  <c r="BV40" i="25"/>
  <c r="BH41" i="25"/>
  <c r="BI41" i="25"/>
  <c r="BJ41" i="25"/>
  <c r="BK41" i="25"/>
  <c r="BL41" i="25"/>
  <c r="BM41" i="25"/>
  <c r="BN41" i="25"/>
  <c r="BO41" i="25"/>
  <c r="BP41" i="25"/>
  <c r="BQ41" i="25"/>
  <c r="BR41" i="25"/>
  <c r="BS41" i="25"/>
  <c r="BT41" i="25"/>
  <c r="BU41" i="25"/>
  <c r="BV41" i="25"/>
  <c r="BH42" i="25"/>
  <c r="BI42" i="25"/>
  <c r="BJ42" i="25"/>
  <c r="BK42" i="25"/>
  <c r="BL42" i="25"/>
  <c r="BM42" i="25"/>
  <c r="BN42" i="25"/>
  <c r="BO42" i="25"/>
  <c r="BP42" i="25"/>
  <c r="BQ42" i="25"/>
  <c r="BR42" i="25"/>
  <c r="BS42" i="25"/>
  <c r="BT42" i="25"/>
  <c r="BU42" i="25"/>
  <c r="BV42" i="25"/>
  <c r="BH43" i="25"/>
  <c r="BI43" i="25"/>
  <c r="BJ43" i="25"/>
  <c r="BK43" i="25"/>
  <c r="BL43" i="25"/>
  <c r="BM43" i="25"/>
  <c r="BN43" i="25"/>
  <c r="BO43" i="25"/>
  <c r="BP43" i="25"/>
  <c r="BQ43" i="25"/>
  <c r="BR43" i="25"/>
  <c r="BS43" i="25"/>
  <c r="BT43" i="25"/>
  <c r="BU43" i="25"/>
  <c r="BV43" i="25"/>
  <c r="BH44" i="25"/>
  <c r="BI44" i="25"/>
  <c r="BJ44" i="25"/>
  <c r="BK44" i="25"/>
  <c r="BL44" i="25"/>
  <c r="BM44" i="25"/>
  <c r="BN44" i="25"/>
  <c r="BO44" i="25"/>
  <c r="BP44" i="25"/>
  <c r="BQ44" i="25"/>
  <c r="BR44" i="25"/>
  <c r="BS44" i="25"/>
  <c r="BT44" i="25"/>
  <c r="BU44" i="25"/>
  <c r="BV44" i="25"/>
  <c r="BH45" i="25"/>
  <c r="BI45" i="25"/>
  <c r="BJ45" i="25"/>
  <c r="BK45" i="25"/>
  <c r="BL45" i="25"/>
  <c r="BM45" i="25"/>
  <c r="BN45" i="25"/>
  <c r="BO45" i="25"/>
  <c r="BP45" i="25"/>
  <c r="BQ45" i="25"/>
  <c r="BR45" i="25"/>
  <c r="BS45" i="25"/>
  <c r="BT45" i="25"/>
  <c r="BU45" i="25"/>
  <c r="BV45" i="25"/>
  <c r="BH46" i="25"/>
  <c r="BI46" i="25"/>
  <c r="BJ46" i="25"/>
  <c r="BK46" i="25"/>
  <c r="BL46" i="25"/>
  <c r="BM46" i="25"/>
  <c r="BN46" i="25"/>
  <c r="BO46" i="25"/>
  <c r="BP46" i="25"/>
  <c r="BQ46" i="25"/>
  <c r="BR46" i="25"/>
  <c r="BS46" i="25"/>
  <c r="BT46" i="25"/>
  <c r="BU46" i="25"/>
  <c r="BV46" i="25"/>
  <c r="BH47" i="25"/>
  <c r="BI47" i="25"/>
  <c r="BJ47" i="25"/>
  <c r="BK47" i="25"/>
  <c r="BL47" i="25"/>
  <c r="BM47" i="25"/>
  <c r="BN47" i="25"/>
  <c r="BO47" i="25"/>
  <c r="BP47" i="25"/>
  <c r="BQ47" i="25"/>
  <c r="BR47" i="25"/>
  <c r="BS47" i="25"/>
  <c r="BT47" i="25"/>
  <c r="BU47" i="25"/>
  <c r="BV47" i="25"/>
  <c r="BH48" i="25"/>
  <c r="BI48" i="25"/>
  <c r="BJ48" i="25"/>
  <c r="BK48" i="25"/>
  <c r="BL48" i="25"/>
  <c r="BM48" i="25"/>
  <c r="BN48" i="25"/>
  <c r="BO48" i="25"/>
  <c r="BP48" i="25"/>
  <c r="BQ48" i="25"/>
  <c r="BR48" i="25"/>
  <c r="BS48" i="25"/>
  <c r="BT48" i="25"/>
  <c r="BU48" i="25"/>
  <c r="BV48" i="25"/>
  <c r="BH49" i="25"/>
  <c r="BI49" i="25"/>
  <c r="BJ49" i="25"/>
  <c r="BK49" i="25"/>
  <c r="BL49" i="25"/>
  <c r="BM49" i="25"/>
  <c r="BN49" i="25"/>
  <c r="BO49" i="25"/>
  <c r="BP49" i="25"/>
  <c r="BQ49" i="25"/>
  <c r="BR49" i="25"/>
  <c r="BS49" i="25"/>
  <c r="BT49" i="25"/>
  <c r="BU49" i="25"/>
  <c r="BV49" i="25"/>
  <c r="BH50" i="25"/>
  <c r="BI50" i="25"/>
  <c r="BJ50" i="25"/>
  <c r="BK50" i="25"/>
  <c r="BL50" i="25"/>
  <c r="BM50" i="25"/>
  <c r="BN50" i="25"/>
  <c r="BO50" i="25"/>
  <c r="BP50" i="25"/>
  <c r="BQ50" i="25"/>
  <c r="BR50" i="25"/>
  <c r="BS50" i="25"/>
  <c r="BT50" i="25"/>
  <c r="BU50" i="25"/>
  <c r="BV50" i="25"/>
  <c r="BH51" i="25"/>
  <c r="BI51" i="25"/>
  <c r="BJ51" i="25"/>
  <c r="BK51" i="25"/>
  <c r="BL51" i="25"/>
  <c r="BM51" i="25"/>
  <c r="BN51" i="25"/>
  <c r="BO51" i="25"/>
  <c r="BP51" i="25"/>
  <c r="BQ51" i="25"/>
  <c r="BR51" i="25"/>
  <c r="BS51" i="25"/>
  <c r="BT51" i="25"/>
  <c r="BU51" i="25"/>
  <c r="BV51" i="25"/>
  <c r="BH52" i="25"/>
  <c r="BI52" i="25"/>
  <c r="BJ52" i="25"/>
  <c r="BK52" i="25"/>
  <c r="BL52" i="25"/>
  <c r="BM52" i="25"/>
  <c r="BN52" i="25"/>
  <c r="BO52" i="25"/>
  <c r="BP52" i="25"/>
  <c r="BQ52" i="25"/>
  <c r="BR52" i="25"/>
  <c r="BS52" i="25"/>
  <c r="BT52" i="25"/>
  <c r="BU52" i="25"/>
  <c r="BV52" i="25"/>
  <c r="BH53" i="25"/>
  <c r="BI53" i="25"/>
  <c r="BJ53" i="25"/>
  <c r="BK53" i="25"/>
  <c r="BL53" i="25"/>
  <c r="BM53" i="25"/>
  <c r="BN53" i="25"/>
  <c r="BO53" i="25"/>
  <c r="BP53" i="25"/>
  <c r="BQ53" i="25"/>
  <c r="BR53" i="25"/>
  <c r="BS53" i="25"/>
  <c r="BT53" i="25"/>
  <c r="BU53" i="25"/>
  <c r="BV53" i="25"/>
  <c r="BH54" i="25"/>
  <c r="BI54" i="25"/>
  <c r="BJ54" i="25"/>
  <c r="BK54" i="25"/>
  <c r="BL54" i="25"/>
  <c r="BM54" i="25"/>
  <c r="BN54" i="25"/>
  <c r="BO54" i="25"/>
  <c r="BP54" i="25"/>
  <c r="BQ54" i="25"/>
  <c r="BR54" i="25"/>
  <c r="BS54" i="25"/>
  <c r="BT54" i="25"/>
  <c r="BU54" i="25"/>
  <c r="BV54" i="25"/>
  <c r="BI6" i="25"/>
  <c r="BJ6" i="25"/>
  <c r="BK6" i="25"/>
  <c r="BL6" i="25"/>
  <c r="BM6" i="25"/>
  <c r="BN6" i="25"/>
  <c r="BO6" i="25"/>
  <c r="BP6" i="25"/>
  <c r="BQ6" i="25"/>
  <c r="BR6" i="25"/>
  <c r="BS6" i="25"/>
  <c r="BT6" i="25"/>
  <c r="BU6" i="25"/>
  <c r="BV6" i="25"/>
  <c r="BH6" i="25"/>
  <c r="E19" i="15" l="1"/>
  <c r="CT9" i="25"/>
  <c r="CU9" i="25" s="1"/>
  <c r="CV9" i="25" s="1"/>
  <c r="E75" i="16"/>
  <c r="G25" i="16"/>
  <c r="E50" i="25"/>
  <c r="G50" i="25" s="1"/>
  <c r="O23" i="21"/>
  <c r="O26" i="21" s="1"/>
  <c r="D20" i="18"/>
  <c r="D14" i="18"/>
  <c r="I14" i="18"/>
  <c r="N14" i="18" s="1"/>
  <c r="R51" i="16"/>
  <c r="S51" i="16"/>
  <c r="Q52" i="16"/>
  <c r="D15" i="18" s="1"/>
  <c r="R52" i="16"/>
  <c r="I15" i="18" s="1"/>
  <c r="Q51" i="16"/>
  <c r="P74" i="16"/>
  <c r="R57" i="16"/>
  <c r="Q57" i="16"/>
  <c r="S57" i="16"/>
  <c r="O74" i="16"/>
  <c r="O75" i="16" s="1"/>
  <c r="E18" i="15" s="1"/>
  <c r="G27" i="16"/>
  <c r="E56" i="16"/>
  <c r="G26" i="16"/>
  <c r="O57" i="16"/>
  <c r="BV5" i="25"/>
  <c r="BE5" i="25"/>
  <c r="AP5" i="25"/>
  <c r="CL5" i="25" s="1"/>
  <c r="AO5" i="25"/>
  <c r="CK5" i="25" s="1"/>
  <c r="AM5" i="25"/>
  <c r="CI5" i="25" s="1"/>
  <c r="BC5" i="25"/>
  <c r="BY5" i="25"/>
  <c r="BZ5" i="25" s="1"/>
  <c r="CA5" i="25" s="1"/>
  <c r="CT5" i="25"/>
  <c r="CU5" i="25" s="1"/>
  <c r="CV5" i="25" s="1"/>
  <c r="CT4" i="25"/>
  <c r="CU4" i="25" s="1"/>
  <c r="CV4" i="25" s="1"/>
  <c r="CT10" i="25"/>
  <c r="CU10" i="25" s="1"/>
  <c r="CV10" i="25" s="1"/>
  <c r="CT8" i="25"/>
  <c r="CU8" i="25" s="1"/>
  <c r="CV8" i="25" s="1"/>
  <c r="CT6" i="25"/>
  <c r="CU6" i="25" s="1"/>
  <c r="CV6" i="25" s="1"/>
  <c r="CT11" i="25"/>
  <c r="CU11" i="25" s="1"/>
  <c r="CV11" i="25" s="1"/>
  <c r="CT7" i="25"/>
  <c r="CU7" i="25" s="1"/>
  <c r="BY4" i="25"/>
  <c r="BY10" i="25"/>
  <c r="BZ10" i="25" s="1"/>
  <c r="CA10" i="25" s="1"/>
  <c r="BY8" i="25"/>
  <c r="BZ8" i="25" s="1"/>
  <c r="CA8" i="25" s="1"/>
  <c r="BY6" i="25"/>
  <c r="BZ6" i="25" s="1"/>
  <c r="CA6" i="25" s="1"/>
  <c r="BY11" i="25"/>
  <c r="BZ11" i="25" s="1"/>
  <c r="CA11" i="25" s="1"/>
  <c r="BY9" i="25"/>
  <c r="BZ9" i="25" s="1"/>
  <c r="CA9" i="25" s="1"/>
  <c r="BY7" i="25"/>
  <c r="BZ7" i="25" s="1"/>
  <c r="CA7" i="25" s="1"/>
  <c r="N4" i="25" l="1"/>
  <c r="P4" i="25"/>
  <c r="R4" i="25"/>
  <c r="T4" i="25"/>
  <c r="V4" i="25"/>
  <c r="L4" i="25"/>
  <c r="O4" i="25"/>
  <c r="Q4" i="25"/>
  <c r="S4" i="25"/>
  <c r="U4" i="25"/>
  <c r="N20" i="18"/>
  <c r="I20" i="18"/>
  <c r="CV7" i="25"/>
  <c r="CU13" i="25" s="1"/>
  <c r="CU14" i="25" s="1"/>
  <c r="CU15" i="25" s="1"/>
  <c r="CU16" i="25" s="1"/>
  <c r="C44" i="17" s="1"/>
  <c r="BQ5" i="25" l="1"/>
  <c r="AK5" i="25"/>
  <c r="CG5" i="25" s="1"/>
  <c r="BA5" i="25"/>
  <c r="BM5" i="25"/>
  <c r="AG5" i="25"/>
  <c r="CC5" i="25" s="1"/>
  <c r="AW5" i="25"/>
  <c r="BH5" i="25"/>
  <c r="AR5" i="25"/>
  <c r="CN5" i="25" s="1"/>
  <c r="AB5" i="25"/>
  <c r="AZ5" i="25"/>
  <c r="AJ5" i="25"/>
  <c r="CF5" i="25" s="1"/>
  <c r="BP5" i="25"/>
  <c r="AF5" i="25"/>
  <c r="AV5" i="25"/>
  <c r="BL5" i="25"/>
  <c r="M4" i="25"/>
  <c r="C15" i="15"/>
  <c r="I23" i="15" s="1"/>
  <c r="AY5" i="25"/>
  <c r="AI5" i="25"/>
  <c r="CE5" i="25" s="1"/>
  <c r="BO5" i="25"/>
  <c r="AU5" i="25"/>
  <c r="CQ5" i="25" s="1"/>
  <c r="BK5" i="25"/>
  <c r="AE5" i="25"/>
  <c r="BB5" i="25"/>
  <c r="BR5" i="25"/>
  <c r="AL5" i="25"/>
  <c r="CH5" i="25" s="1"/>
  <c r="AX5" i="25"/>
  <c r="BN5" i="25"/>
  <c r="AH5" i="25"/>
  <c r="CD5" i="25" s="1"/>
  <c r="AT5" i="25"/>
  <c r="CP5" i="25" s="1"/>
  <c r="BJ5" i="25"/>
  <c r="AD5" i="25"/>
  <c r="M58" i="25"/>
  <c r="N58" i="25"/>
  <c r="O58" i="25"/>
  <c r="P58" i="25"/>
  <c r="Q58" i="25"/>
  <c r="R58" i="25"/>
  <c r="S58" i="25"/>
  <c r="T58" i="25"/>
  <c r="U58" i="25"/>
  <c r="V58" i="25"/>
  <c r="W58" i="25"/>
  <c r="X58" i="25"/>
  <c r="Y58" i="25"/>
  <c r="Z58" i="25"/>
  <c r="L58" i="25"/>
  <c r="BF54" i="25"/>
  <c r="AR7" i="25"/>
  <c r="AS7" i="25"/>
  <c r="AT7" i="25"/>
  <c r="AU7" i="25"/>
  <c r="AV7" i="25"/>
  <c r="AW7" i="25"/>
  <c r="AX7" i="25"/>
  <c r="AY7" i="25"/>
  <c r="AZ7" i="25"/>
  <c r="BA7" i="25"/>
  <c r="BB7" i="25"/>
  <c r="BC7" i="25"/>
  <c r="BD7" i="25"/>
  <c r="BE7" i="25"/>
  <c r="BF7" i="25"/>
  <c r="AR8" i="25"/>
  <c r="AS8" i="25"/>
  <c r="AT8" i="25"/>
  <c r="AU8" i="25"/>
  <c r="AV8" i="25"/>
  <c r="AW8" i="25"/>
  <c r="AX8" i="25"/>
  <c r="AY8" i="25"/>
  <c r="AZ8" i="25"/>
  <c r="BA8" i="25"/>
  <c r="BB8" i="25"/>
  <c r="BC8" i="25"/>
  <c r="BD8" i="25"/>
  <c r="BE8" i="25"/>
  <c r="BF8" i="25"/>
  <c r="AR9" i="25"/>
  <c r="AS9" i="25"/>
  <c r="AT9" i="25"/>
  <c r="AU9" i="25"/>
  <c r="AV9" i="25"/>
  <c r="AW9" i="25"/>
  <c r="AX9" i="25"/>
  <c r="AY9" i="25"/>
  <c r="AZ9" i="25"/>
  <c r="BA9" i="25"/>
  <c r="BB9" i="25"/>
  <c r="BC9" i="25"/>
  <c r="BD9" i="25"/>
  <c r="BE9" i="25"/>
  <c r="BF9" i="25"/>
  <c r="AR10" i="25"/>
  <c r="AS10" i="25"/>
  <c r="AT10" i="25"/>
  <c r="AU10" i="25"/>
  <c r="AV10" i="25"/>
  <c r="AW10" i="25"/>
  <c r="AX10" i="25"/>
  <c r="AY10" i="25"/>
  <c r="AZ10" i="25"/>
  <c r="BA10" i="25"/>
  <c r="BB10" i="25"/>
  <c r="BC10" i="25"/>
  <c r="BD10" i="25"/>
  <c r="BE10" i="25"/>
  <c r="BF10" i="25"/>
  <c r="AR11" i="25"/>
  <c r="AS11" i="25"/>
  <c r="AT11" i="25"/>
  <c r="AU11" i="25"/>
  <c r="AV11" i="25"/>
  <c r="AW11" i="25"/>
  <c r="AX11" i="25"/>
  <c r="AY11" i="25"/>
  <c r="AZ11" i="25"/>
  <c r="BA11" i="25"/>
  <c r="BB11" i="25"/>
  <c r="BC11" i="25"/>
  <c r="BD11" i="25"/>
  <c r="BE11" i="25"/>
  <c r="BF11" i="25"/>
  <c r="AR12" i="25"/>
  <c r="AS12" i="25"/>
  <c r="AT12" i="25"/>
  <c r="AU12" i="25"/>
  <c r="AV12" i="25"/>
  <c r="AW12" i="25"/>
  <c r="AX12" i="25"/>
  <c r="AY12" i="25"/>
  <c r="AZ12" i="25"/>
  <c r="BA12" i="25"/>
  <c r="BB12" i="25"/>
  <c r="BC12" i="25"/>
  <c r="BD12" i="25"/>
  <c r="BE12" i="25"/>
  <c r="BF12" i="25"/>
  <c r="AR13" i="25"/>
  <c r="AS13" i="25"/>
  <c r="AT13" i="25"/>
  <c r="AU13" i="25"/>
  <c r="AV13" i="25"/>
  <c r="AW13" i="25"/>
  <c r="AX13" i="25"/>
  <c r="AY13" i="25"/>
  <c r="AZ13" i="25"/>
  <c r="BA13" i="25"/>
  <c r="BB13" i="25"/>
  <c r="BC13" i="25"/>
  <c r="BD13" i="25"/>
  <c r="BE13" i="25"/>
  <c r="BF13" i="25"/>
  <c r="AR14" i="25"/>
  <c r="AS14" i="25"/>
  <c r="AT14" i="25"/>
  <c r="AU14" i="25"/>
  <c r="AV14" i="25"/>
  <c r="AW14" i="25"/>
  <c r="AX14" i="25"/>
  <c r="AY14" i="25"/>
  <c r="AZ14" i="25"/>
  <c r="BA14" i="25"/>
  <c r="BB14" i="25"/>
  <c r="BC14" i="25"/>
  <c r="BD14" i="25"/>
  <c r="BE14" i="25"/>
  <c r="BF14" i="25"/>
  <c r="AR15" i="25"/>
  <c r="AS15" i="25"/>
  <c r="AT15" i="25"/>
  <c r="AU15" i="25"/>
  <c r="AV15" i="25"/>
  <c r="AW15" i="25"/>
  <c r="AX15" i="25"/>
  <c r="AY15" i="25"/>
  <c r="AZ15" i="25"/>
  <c r="BA15" i="25"/>
  <c r="BB15" i="25"/>
  <c r="BC15" i="25"/>
  <c r="BD15" i="25"/>
  <c r="BE15" i="25"/>
  <c r="BF15" i="25"/>
  <c r="AR16" i="25"/>
  <c r="AS16" i="25"/>
  <c r="AT16" i="25"/>
  <c r="AU16" i="25"/>
  <c r="AV16" i="25"/>
  <c r="AW16" i="25"/>
  <c r="AX16" i="25"/>
  <c r="AY16" i="25"/>
  <c r="AZ16" i="25"/>
  <c r="BA16" i="25"/>
  <c r="BB16" i="25"/>
  <c r="BC16" i="25"/>
  <c r="BD16" i="25"/>
  <c r="BE16" i="25"/>
  <c r="BF16" i="25"/>
  <c r="AR17" i="25"/>
  <c r="AS17" i="25"/>
  <c r="AT17" i="25"/>
  <c r="AU17" i="25"/>
  <c r="AV17" i="25"/>
  <c r="AW17" i="25"/>
  <c r="AX17" i="25"/>
  <c r="AY17" i="25"/>
  <c r="AZ17" i="25"/>
  <c r="BA17" i="25"/>
  <c r="BB17" i="25"/>
  <c r="BC17" i="25"/>
  <c r="BD17" i="25"/>
  <c r="BE17" i="25"/>
  <c r="BF17" i="25"/>
  <c r="AR18" i="25"/>
  <c r="AS18" i="25"/>
  <c r="AT18" i="25"/>
  <c r="AU18" i="25"/>
  <c r="AV18" i="25"/>
  <c r="AW18" i="25"/>
  <c r="AX18" i="25"/>
  <c r="AY18" i="25"/>
  <c r="AZ18" i="25"/>
  <c r="BA18" i="25"/>
  <c r="BB18" i="25"/>
  <c r="BC18" i="25"/>
  <c r="BD18" i="25"/>
  <c r="BE18" i="25"/>
  <c r="BF18" i="25"/>
  <c r="AR19" i="25"/>
  <c r="AS19" i="25"/>
  <c r="AT19" i="25"/>
  <c r="AU19" i="25"/>
  <c r="AV19" i="25"/>
  <c r="AW19" i="25"/>
  <c r="AX19" i="25"/>
  <c r="AY19" i="25"/>
  <c r="AZ19" i="25"/>
  <c r="BA19" i="25"/>
  <c r="BB19" i="25"/>
  <c r="BC19" i="25"/>
  <c r="BD19" i="25"/>
  <c r="BE19" i="25"/>
  <c r="BF19" i="25"/>
  <c r="AR20" i="25"/>
  <c r="AS20" i="25"/>
  <c r="AT20" i="25"/>
  <c r="AU20" i="25"/>
  <c r="AV20" i="25"/>
  <c r="AW20" i="25"/>
  <c r="AX20" i="25"/>
  <c r="AY20" i="25"/>
  <c r="AZ20" i="25"/>
  <c r="BA20" i="25"/>
  <c r="BB20" i="25"/>
  <c r="BC20" i="25"/>
  <c r="BD20" i="25"/>
  <c r="BE20" i="25"/>
  <c r="BF20" i="25"/>
  <c r="AR21" i="25"/>
  <c r="AS21" i="25"/>
  <c r="AT21" i="25"/>
  <c r="AU21" i="25"/>
  <c r="AV21" i="25"/>
  <c r="AW21" i="25"/>
  <c r="AX21" i="25"/>
  <c r="AY21" i="25"/>
  <c r="AZ21" i="25"/>
  <c r="BA21" i="25"/>
  <c r="BB21" i="25"/>
  <c r="BC21" i="25"/>
  <c r="BD21" i="25"/>
  <c r="BE21" i="25"/>
  <c r="BF21" i="25"/>
  <c r="AR22" i="25"/>
  <c r="AS22" i="25"/>
  <c r="AT22" i="25"/>
  <c r="AU22" i="25"/>
  <c r="AV22" i="25"/>
  <c r="AW22" i="25"/>
  <c r="AX22" i="25"/>
  <c r="AY22" i="25"/>
  <c r="AZ22" i="25"/>
  <c r="BA22" i="25"/>
  <c r="BB22" i="25"/>
  <c r="BC22" i="25"/>
  <c r="BD22" i="25"/>
  <c r="BE22" i="25"/>
  <c r="BF22" i="25"/>
  <c r="AR23" i="25"/>
  <c r="AS23" i="25"/>
  <c r="AT23" i="25"/>
  <c r="AU23" i="25"/>
  <c r="AV23" i="25"/>
  <c r="AW23" i="25"/>
  <c r="AX23" i="25"/>
  <c r="AY23" i="25"/>
  <c r="AZ23" i="25"/>
  <c r="BA23" i="25"/>
  <c r="BB23" i="25"/>
  <c r="BC23" i="25"/>
  <c r="BD23" i="25"/>
  <c r="BE23" i="25"/>
  <c r="BF23" i="25"/>
  <c r="AR24" i="25"/>
  <c r="AS24" i="25"/>
  <c r="AT24" i="25"/>
  <c r="AU24" i="25"/>
  <c r="AV24" i="25"/>
  <c r="AW24" i="25"/>
  <c r="AX24" i="25"/>
  <c r="AY24" i="25"/>
  <c r="AZ24" i="25"/>
  <c r="BA24" i="25"/>
  <c r="BB24" i="25"/>
  <c r="BC24" i="25"/>
  <c r="BD24" i="25"/>
  <c r="BE24" i="25"/>
  <c r="BF24" i="25"/>
  <c r="AR25" i="25"/>
  <c r="AS25" i="25"/>
  <c r="AT25" i="25"/>
  <c r="AU25" i="25"/>
  <c r="AV25" i="25"/>
  <c r="AW25" i="25"/>
  <c r="AX25" i="25"/>
  <c r="AY25" i="25"/>
  <c r="AZ25" i="25"/>
  <c r="BA25" i="25"/>
  <c r="BB25" i="25"/>
  <c r="BC25" i="25"/>
  <c r="BD25" i="25"/>
  <c r="BE25" i="25"/>
  <c r="BF25" i="25"/>
  <c r="AR26" i="25"/>
  <c r="AS26" i="25"/>
  <c r="AT26" i="25"/>
  <c r="AU26" i="25"/>
  <c r="AV26" i="25"/>
  <c r="AW26" i="25"/>
  <c r="AX26" i="25"/>
  <c r="AY26" i="25"/>
  <c r="AZ26" i="25"/>
  <c r="BA26" i="25"/>
  <c r="BB26" i="25"/>
  <c r="BC26" i="25"/>
  <c r="BD26" i="25"/>
  <c r="BE26" i="25"/>
  <c r="BF26" i="25"/>
  <c r="AR27" i="25"/>
  <c r="AS27" i="25"/>
  <c r="AT27" i="25"/>
  <c r="AU27" i="25"/>
  <c r="AV27" i="25"/>
  <c r="AW27" i="25"/>
  <c r="AX27" i="25"/>
  <c r="AY27" i="25"/>
  <c r="AZ27" i="25"/>
  <c r="BA27" i="25"/>
  <c r="BB27" i="25"/>
  <c r="BC27" i="25"/>
  <c r="BD27" i="25"/>
  <c r="BE27" i="25"/>
  <c r="BF27" i="25"/>
  <c r="AR28" i="25"/>
  <c r="AS28" i="25"/>
  <c r="AT28" i="25"/>
  <c r="AU28" i="25"/>
  <c r="AV28" i="25"/>
  <c r="AW28" i="25"/>
  <c r="AX28" i="25"/>
  <c r="AY28" i="25"/>
  <c r="AZ28" i="25"/>
  <c r="BA28" i="25"/>
  <c r="BB28" i="25"/>
  <c r="BC28" i="25"/>
  <c r="BD28" i="25"/>
  <c r="BE28" i="25"/>
  <c r="BF28" i="25"/>
  <c r="AR29" i="25"/>
  <c r="AS29" i="25"/>
  <c r="AT29" i="25"/>
  <c r="AU29" i="25"/>
  <c r="AV29" i="25"/>
  <c r="AW29" i="25"/>
  <c r="AX29" i="25"/>
  <c r="AY29" i="25"/>
  <c r="AZ29" i="25"/>
  <c r="BA29" i="25"/>
  <c r="BB29" i="25"/>
  <c r="BC29" i="25"/>
  <c r="BD29" i="25"/>
  <c r="BE29" i="25"/>
  <c r="BF29" i="25"/>
  <c r="AR30" i="25"/>
  <c r="AS30" i="25"/>
  <c r="AT30" i="25"/>
  <c r="AU30" i="25"/>
  <c r="AV30" i="25"/>
  <c r="AW30" i="25"/>
  <c r="AX30" i="25"/>
  <c r="AY30" i="25"/>
  <c r="AZ30" i="25"/>
  <c r="BA30" i="25"/>
  <c r="BB30" i="25"/>
  <c r="BC30" i="25"/>
  <c r="BD30" i="25"/>
  <c r="BE30" i="25"/>
  <c r="BF30" i="25"/>
  <c r="AR31" i="25"/>
  <c r="AS31" i="25"/>
  <c r="AT31" i="25"/>
  <c r="AU31" i="25"/>
  <c r="AV31" i="25"/>
  <c r="AW31" i="25"/>
  <c r="AX31" i="25"/>
  <c r="AY31" i="25"/>
  <c r="AZ31" i="25"/>
  <c r="BA31" i="25"/>
  <c r="BB31" i="25"/>
  <c r="BC31" i="25"/>
  <c r="BD31" i="25"/>
  <c r="BE31" i="25"/>
  <c r="BF31" i="25"/>
  <c r="AR32" i="25"/>
  <c r="AS32" i="25"/>
  <c r="AT32" i="25"/>
  <c r="AU32" i="25"/>
  <c r="AV32" i="25"/>
  <c r="AW32" i="25"/>
  <c r="AX32" i="25"/>
  <c r="AY32" i="25"/>
  <c r="AZ32" i="25"/>
  <c r="BA32" i="25"/>
  <c r="BB32" i="25"/>
  <c r="BC32" i="25"/>
  <c r="BD32" i="25"/>
  <c r="BE32" i="25"/>
  <c r="BF32" i="25"/>
  <c r="AR33" i="25"/>
  <c r="AS33" i="25"/>
  <c r="AT33" i="25"/>
  <c r="AU33" i="25"/>
  <c r="AV33" i="25"/>
  <c r="AW33" i="25"/>
  <c r="AX33" i="25"/>
  <c r="AY33" i="25"/>
  <c r="AZ33" i="25"/>
  <c r="BA33" i="25"/>
  <c r="BB33" i="25"/>
  <c r="BC33" i="25"/>
  <c r="BD33" i="25"/>
  <c r="BE33" i="25"/>
  <c r="BF33" i="25"/>
  <c r="AR34" i="25"/>
  <c r="AS34" i="25"/>
  <c r="AT34" i="25"/>
  <c r="AU34" i="25"/>
  <c r="AV34" i="25"/>
  <c r="AW34" i="25"/>
  <c r="AX34" i="25"/>
  <c r="AY34" i="25"/>
  <c r="AZ34" i="25"/>
  <c r="BA34" i="25"/>
  <c r="BB34" i="25"/>
  <c r="BC34" i="25"/>
  <c r="BD34" i="25"/>
  <c r="BE34" i="25"/>
  <c r="BF34" i="25"/>
  <c r="AR35" i="25"/>
  <c r="AS35" i="25"/>
  <c r="AT35" i="25"/>
  <c r="AU35" i="25"/>
  <c r="AV35" i="25"/>
  <c r="AW35" i="25"/>
  <c r="AX35" i="25"/>
  <c r="AY35" i="25"/>
  <c r="AZ35" i="25"/>
  <c r="BA35" i="25"/>
  <c r="BB35" i="25"/>
  <c r="BC35" i="25"/>
  <c r="BD35" i="25"/>
  <c r="BE35" i="25"/>
  <c r="BF35" i="25"/>
  <c r="AR36" i="25"/>
  <c r="AS36" i="25"/>
  <c r="AT36" i="25"/>
  <c r="AU36" i="25"/>
  <c r="AV36" i="25"/>
  <c r="AW36" i="25"/>
  <c r="AX36" i="25"/>
  <c r="AY36" i="25"/>
  <c r="AZ36" i="25"/>
  <c r="BA36" i="25"/>
  <c r="BB36" i="25"/>
  <c r="BC36" i="25"/>
  <c r="BD36" i="25"/>
  <c r="BE36" i="25"/>
  <c r="BF36" i="25"/>
  <c r="AR37" i="25"/>
  <c r="AS37" i="25"/>
  <c r="AT37" i="25"/>
  <c r="AU37" i="25"/>
  <c r="AV37" i="25"/>
  <c r="AW37" i="25"/>
  <c r="AX37" i="25"/>
  <c r="AY37" i="25"/>
  <c r="AZ37" i="25"/>
  <c r="BA37" i="25"/>
  <c r="BB37" i="25"/>
  <c r="BC37" i="25"/>
  <c r="BD37" i="25"/>
  <c r="BE37" i="25"/>
  <c r="BF37" i="25"/>
  <c r="AR38" i="25"/>
  <c r="AS38" i="25"/>
  <c r="AT38" i="25"/>
  <c r="AU38" i="25"/>
  <c r="AV38" i="25"/>
  <c r="AW38" i="25"/>
  <c r="AX38" i="25"/>
  <c r="AY38" i="25"/>
  <c r="AZ38" i="25"/>
  <c r="BA38" i="25"/>
  <c r="BB38" i="25"/>
  <c r="BC38" i="25"/>
  <c r="BD38" i="25"/>
  <c r="BE38" i="25"/>
  <c r="BF38" i="25"/>
  <c r="AR39" i="25"/>
  <c r="AS39" i="25"/>
  <c r="AT39" i="25"/>
  <c r="AU39" i="25"/>
  <c r="AV39" i="25"/>
  <c r="AW39" i="25"/>
  <c r="AX39" i="25"/>
  <c r="AY39" i="25"/>
  <c r="AZ39" i="25"/>
  <c r="BA39" i="25"/>
  <c r="BB39" i="25"/>
  <c r="BC39" i="25"/>
  <c r="BD39" i="25"/>
  <c r="BE39" i="25"/>
  <c r="BF39" i="25"/>
  <c r="AR40" i="25"/>
  <c r="AS40" i="25"/>
  <c r="AT40" i="25"/>
  <c r="AU40" i="25"/>
  <c r="AV40" i="25"/>
  <c r="AW40" i="25"/>
  <c r="AX40" i="25"/>
  <c r="AY40" i="25"/>
  <c r="AZ40" i="25"/>
  <c r="BA40" i="25"/>
  <c r="BB40" i="25"/>
  <c r="BC40" i="25"/>
  <c r="BD40" i="25"/>
  <c r="BE40" i="25"/>
  <c r="BF40" i="25"/>
  <c r="AR41" i="25"/>
  <c r="AS41" i="25"/>
  <c r="AT41" i="25"/>
  <c r="AU41" i="25"/>
  <c r="AV41" i="25"/>
  <c r="AW41" i="25"/>
  <c r="AX41" i="25"/>
  <c r="AY41" i="25"/>
  <c r="AZ41" i="25"/>
  <c r="BA41" i="25"/>
  <c r="BB41" i="25"/>
  <c r="BC41" i="25"/>
  <c r="BD41" i="25"/>
  <c r="BE41" i="25"/>
  <c r="BF41" i="25"/>
  <c r="AR42" i="25"/>
  <c r="AS42" i="25"/>
  <c r="AT42" i="25"/>
  <c r="AU42" i="25"/>
  <c r="AV42" i="25"/>
  <c r="AW42" i="25"/>
  <c r="AX42" i="25"/>
  <c r="AY42" i="25"/>
  <c r="AZ42" i="25"/>
  <c r="BA42" i="25"/>
  <c r="BB42" i="25"/>
  <c r="BC42" i="25"/>
  <c r="BD42" i="25"/>
  <c r="BE42" i="25"/>
  <c r="BF42" i="25"/>
  <c r="AR43" i="25"/>
  <c r="AS43" i="25"/>
  <c r="AT43" i="25"/>
  <c r="AU43" i="25"/>
  <c r="AV43" i="25"/>
  <c r="AW43" i="25"/>
  <c r="AX43" i="25"/>
  <c r="AY43" i="25"/>
  <c r="AZ43" i="25"/>
  <c r="BA43" i="25"/>
  <c r="BB43" i="25"/>
  <c r="BC43" i="25"/>
  <c r="BD43" i="25"/>
  <c r="BE43" i="25"/>
  <c r="BF43" i="25"/>
  <c r="AR44" i="25"/>
  <c r="AS44" i="25"/>
  <c r="AT44" i="25"/>
  <c r="AU44" i="25"/>
  <c r="AV44" i="25"/>
  <c r="AW44" i="25"/>
  <c r="AX44" i="25"/>
  <c r="AY44" i="25"/>
  <c r="AZ44" i="25"/>
  <c r="BA44" i="25"/>
  <c r="BB44" i="25"/>
  <c r="BC44" i="25"/>
  <c r="BD44" i="25"/>
  <c r="BE44" i="25"/>
  <c r="BF44" i="25"/>
  <c r="AR45" i="25"/>
  <c r="AS45" i="25"/>
  <c r="AT45" i="25"/>
  <c r="AU45" i="25"/>
  <c r="AV45" i="25"/>
  <c r="AW45" i="25"/>
  <c r="AX45" i="25"/>
  <c r="AY45" i="25"/>
  <c r="AZ45" i="25"/>
  <c r="BA45" i="25"/>
  <c r="BB45" i="25"/>
  <c r="BC45" i="25"/>
  <c r="BD45" i="25"/>
  <c r="BE45" i="25"/>
  <c r="BF45" i="25"/>
  <c r="AR46" i="25"/>
  <c r="AS46" i="25"/>
  <c r="AT46" i="25"/>
  <c r="AU46" i="25"/>
  <c r="AV46" i="25"/>
  <c r="AW46" i="25"/>
  <c r="AX46" i="25"/>
  <c r="AY46" i="25"/>
  <c r="AZ46" i="25"/>
  <c r="BA46" i="25"/>
  <c r="BB46" i="25"/>
  <c r="BC46" i="25"/>
  <c r="BD46" i="25"/>
  <c r="BE46" i="25"/>
  <c r="BF46" i="25"/>
  <c r="AR47" i="25"/>
  <c r="AS47" i="25"/>
  <c r="AT47" i="25"/>
  <c r="AU47" i="25"/>
  <c r="AV47" i="25"/>
  <c r="AW47" i="25"/>
  <c r="AX47" i="25"/>
  <c r="AY47" i="25"/>
  <c r="AZ47" i="25"/>
  <c r="BA47" i="25"/>
  <c r="BB47" i="25"/>
  <c r="BC47" i="25"/>
  <c r="BD47" i="25"/>
  <c r="BE47" i="25"/>
  <c r="BF47" i="25"/>
  <c r="AR48" i="25"/>
  <c r="AS48" i="25"/>
  <c r="AT48" i="25"/>
  <c r="AU48" i="25"/>
  <c r="AV48" i="25"/>
  <c r="AW48" i="25"/>
  <c r="AX48" i="25"/>
  <c r="AY48" i="25"/>
  <c r="AZ48" i="25"/>
  <c r="BA48" i="25"/>
  <c r="BB48" i="25"/>
  <c r="BC48" i="25"/>
  <c r="BD48" i="25"/>
  <c r="BE48" i="25"/>
  <c r="BF48" i="25"/>
  <c r="AR49" i="25"/>
  <c r="AS49" i="25"/>
  <c r="AT49" i="25"/>
  <c r="AU49" i="25"/>
  <c r="AV49" i="25"/>
  <c r="AW49" i="25"/>
  <c r="AX49" i="25"/>
  <c r="AY49" i="25"/>
  <c r="AZ49" i="25"/>
  <c r="BA49" i="25"/>
  <c r="BB49" i="25"/>
  <c r="BC49" i="25"/>
  <c r="BD49" i="25"/>
  <c r="BE49" i="25"/>
  <c r="BF49" i="25"/>
  <c r="AR50" i="25"/>
  <c r="AS50" i="25"/>
  <c r="AT50" i="25"/>
  <c r="AU50" i="25"/>
  <c r="AV50" i="25"/>
  <c r="AW50" i="25"/>
  <c r="AX50" i="25"/>
  <c r="AY50" i="25"/>
  <c r="AZ50" i="25"/>
  <c r="BA50" i="25"/>
  <c r="BB50" i="25"/>
  <c r="BC50" i="25"/>
  <c r="BD50" i="25"/>
  <c r="BE50" i="25"/>
  <c r="BF50" i="25"/>
  <c r="AR51" i="25"/>
  <c r="AS51" i="25"/>
  <c r="AT51" i="25"/>
  <c r="AU51" i="25"/>
  <c r="AV51" i="25"/>
  <c r="AW51" i="25"/>
  <c r="AX51" i="25"/>
  <c r="AY51" i="25"/>
  <c r="AZ51" i="25"/>
  <c r="BA51" i="25"/>
  <c r="BB51" i="25"/>
  <c r="BC51" i="25"/>
  <c r="BD51" i="25"/>
  <c r="BE51" i="25"/>
  <c r="BF51" i="25"/>
  <c r="AR52" i="25"/>
  <c r="AS52" i="25"/>
  <c r="AT52" i="25"/>
  <c r="AU52" i="25"/>
  <c r="AV52" i="25"/>
  <c r="AW52" i="25"/>
  <c r="AX52" i="25"/>
  <c r="AY52" i="25"/>
  <c r="AZ52" i="25"/>
  <c r="BA52" i="25"/>
  <c r="BB52" i="25"/>
  <c r="BC52" i="25"/>
  <c r="BD52" i="25"/>
  <c r="BE52" i="25"/>
  <c r="BF52" i="25"/>
  <c r="AR53" i="25"/>
  <c r="AS53" i="25"/>
  <c r="AT53" i="25"/>
  <c r="AU53" i="25"/>
  <c r="AV53" i="25"/>
  <c r="AW53" i="25"/>
  <c r="AX53" i="25"/>
  <c r="AY53" i="25"/>
  <c r="AZ53" i="25"/>
  <c r="BA53" i="25"/>
  <c r="BB53" i="25"/>
  <c r="BC53" i="25"/>
  <c r="BD53" i="25"/>
  <c r="BE53" i="25"/>
  <c r="BF53" i="25"/>
  <c r="AR54" i="25"/>
  <c r="AS54" i="25"/>
  <c r="AT54" i="25"/>
  <c r="AU54" i="25"/>
  <c r="AV54" i="25"/>
  <c r="AW54" i="25"/>
  <c r="AX54" i="25"/>
  <c r="AY54" i="25"/>
  <c r="AZ54" i="25"/>
  <c r="BA54" i="25"/>
  <c r="BB54" i="25"/>
  <c r="BC54" i="25"/>
  <c r="BD54" i="25"/>
  <c r="BE54" i="25"/>
  <c r="AS6" i="25"/>
  <c r="AT6" i="25"/>
  <c r="AU6" i="25"/>
  <c r="AV6" i="25"/>
  <c r="AW6" i="25"/>
  <c r="AX6" i="25"/>
  <c r="AY6" i="25"/>
  <c r="AZ6" i="25"/>
  <c r="BA6" i="25"/>
  <c r="BB6" i="25"/>
  <c r="BC6" i="25"/>
  <c r="BD6" i="25"/>
  <c r="BE6" i="25"/>
  <c r="BF6" i="25"/>
  <c r="AR6" i="25"/>
  <c r="AB7" i="25"/>
  <c r="AC7" i="25"/>
  <c r="AE7" i="25"/>
  <c r="AF7" i="25"/>
  <c r="AG7" i="25"/>
  <c r="AH7" i="25"/>
  <c r="AI7" i="25"/>
  <c r="AJ7" i="25"/>
  <c r="AK7" i="25"/>
  <c r="AL7" i="25"/>
  <c r="AM7" i="25"/>
  <c r="AN7" i="25"/>
  <c r="AO7" i="25"/>
  <c r="AP7" i="25"/>
  <c r="AB8" i="25"/>
  <c r="AC8" i="25"/>
  <c r="AD8" i="25"/>
  <c r="AF8" i="25"/>
  <c r="AG8" i="25"/>
  <c r="AH8" i="25"/>
  <c r="AI8" i="25"/>
  <c r="AJ8" i="25"/>
  <c r="AK8" i="25"/>
  <c r="AL8" i="25"/>
  <c r="AM8" i="25"/>
  <c r="AN8" i="25"/>
  <c r="AO8" i="25"/>
  <c r="AP8" i="25"/>
  <c r="AB9" i="25"/>
  <c r="AC9" i="25"/>
  <c r="AD9" i="25"/>
  <c r="AE9" i="25"/>
  <c r="AG9" i="25"/>
  <c r="AH9" i="25"/>
  <c r="AI9" i="25"/>
  <c r="AJ9" i="25"/>
  <c r="AK9" i="25"/>
  <c r="AL9" i="25"/>
  <c r="AM9" i="25"/>
  <c r="AN9" i="25"/>
  <c r="AO9" i="25"/>
  <c r="AP9" i="25"/>
  <c r="AB10" i="25"/>
  <c r="AC10" i="25"/>
  <c r="AD10" i="25"/>
  <c r="AE10" i="25"/>
  <c r="AF10" i="25"/>
  <c r="AH10" i="25"/>
  <c r="AI10" i="25"/>
  <c r="AJ10" i="25"/>
  <c r="AK10" i="25"/>
  <c r="AL10" i="25"/>
  <c r="AM10" i="25"/>
  <c r="AN10" i="25"/>
  <c r="AO10" i="25"/>
  <c r="AP10" i="25"/>
  <c r="AB11" i="25"/>
  <c r="AC11" i="25"/>
  <c r="AD11" i="25"/>
  <c r="AE11" i="25"/>
  <c r="AF11" i="25"/>
  <c r="AG11" i="25"/>
  <c r="AI11" i="25"/>
  <c r="AJ11" i="25"/>
  <c r="AK11" i="25"/>
  <c r="AL11" i="25"/>
  <c r="AM11" i="25"/>
  <c r="AN11" i="25"/>
  <c r="AO11" i="25"/>
  <c r="AP11" i="25"/>
  <c r="AB12" i="25"/>
  <c r="AC12" i="25"/>
  <c r="AD12" i="25"/>
  <c r="AE12" i="25"/>
  <c r="AF12" i="25"/>
  <c r="AG12" i="25"/>
  <c r="AH12" i="25"/>
  <c r="AJ12" i="25"/>
  <c r="AK12" i="25"/>
  <c r="AL12" i="25"/>
  <c r="AM12" i="25"/>
  <c r="AN12" i="25"/>
  <c r="AO12" i="25"/>
  <c r="AP12" i="25"/>
  <c r="AB13" i="25"/>
  <c r="AC13" i="25"/>
  <c r="AD13" i="25"/>
  <c r="AE13" i="25"/>
  <c r="AF13" i="25"/>
  <c r="AG13" i="25"/>
  <c r="AH13" i="25"/>
  <c r="AI13" i="25"/>
  <c r="AK13" i="25"/>
  <c r="AL13" i="25"/>
  <c r="AM13" i="25"/>
  <c r="AN13" i="25"/>
  <c r="AO13" i="25"/>
  <c r="AP13" i="25"/>
  <c r="AB14" i="25"/>
  <c r="AC14" i="25"/>
  <c r="AD14" i="25"/>
  <c r="AE14" i="25"/>
  <c r="AF14" i="25"/>
  <c r="AG14" i="25"/>
  <c r="AH14" i="25"/>
  <c r="AI14" i="25"/>
  <c r="AJ14" i="25"/>
  <c r="AL14" i="25"/>
  <c r="AM14" i="25"/>
  <c r="AN14" i="25"/>
  <c r="AO14" i="25"/>
  <c r="AP14" i="25"/>
  <c r="AB15" i="25"/>
  <c r="AC15" i="25"/>
  <c r="AD15" i="25"/>
  <c r="AE15" i="25"/>
  <c r="AF15" i="25"/>
  <c r="AG15" i="25"/>
  <c r="AH15" i="25"/>
  <c r="AI15" i="25"/>
  <c r="AJ15" i="25"/>
  <c r="AK15" i="25"/>
  <c r="AM15" i="25"/>
  <c r="AN15" i="25"/>
  <c r="AO15" i="25"/>
  <c r="AP15" i="25"/>
  <c r="AB16" i="25"/>
  <c r="AC16" i="25"/>
  <c r="AD16" i="25"/>
  <c r="AE16" i="25"/>
  <c r="AF16" i="25"/>
  <c r="AG16" i="25"/>
  <c r="AH16" i="25"/>
  <c r="AI16" i="25"/>
  <c r="AJ16" i="25"/>
  <c r="AK16" i="25"/>
  <c r="AL16" i="25"/>
  <c r="AM16" i="25"/>
  <c r="AN16" i="25"/>
  <c r="AO16" i="25"/>
  <c r="AP16" i="25"/>
  <c r="AB17" i="25"/>
  <c r="AC17" i="25"/>
  <c r="AD17" i="25"/>
  <c r="AE17" i="25"/>
  <c r="AF17" i="25"/>
  <c r="AG17" i="25"/>
  <c r="AH17" i="25"/>
  <c r="AI17" i="25"/>
  <c r="AJ17" i="25"/>
  <c r="AK17" i="25"/>
  <c r="AL17" i="25"/>
  <c r="AM17" i="25"/>
  <c r="AN17" i="25"/>
  <c r="AO17" i="25"/>
  <c r="AP17" i="25"/>
  <c r="AB18" i="25"/>
  <c r="AC18" i="25"/>
  <c r="AD18" i="25"/>
  <c r="AE18" i="25"/>
  <c r="AF18" i="25"/>
  <c r="AG18" i="25"/>
  <c r="AH18" i="25"/>
  <c r="AI18" i="25"/>
  <c r="AJ18" i="25"/>
  <c r="AK18" i="25"/>
  <c r="AL18" i="25"/>
  <c r="AM18" i="25"/>
  <c r="AN18" i="25"/>
  <c r="AO18" i="25"/>
  <c r="AP18" i="25"/>
  <c r="AB19" i="25"/>
  <c r="AC19" i="25"/>
  <c r="AD19" i="25"/>
  <c r="AE19" i="25"/>
  <c r="AF19" i="25"/>
  <c r="AG19" i="25"/>
  <c r="AH19" i="25"/>
  <c r="AI19" i="25"/>
  <c r="AJ19" i="25"/>
  <c r="AK19" i="25"/>
  <c r="AL19" i="25"/>
  <c r="AM19" i="25"/>
  <c r="AN19" i="25"/>
  <c r="AO19" i="25"/>
  <c r="AP19" i="25"/>
  <c r="AB20" i="25"/>
  <c r="AC20" i="25"/>
  <c r="AD20" i="25"/>
  <c r="AE20" i="25"/>
  <c r="AF20" i="25"/>
  <c r="AG20" i="25"/>
  <c r="AH20" i="25"/>
  <c r="AI20" i="25"/>
  <c r="AJ20" i="25"/>
  <c r="AK20" i="25"/>
  <c r="AL20" i="25"/>
  <c r="AM20" i="25"/>
  <c r="AN20" i="25"/>
  <c r="AO20" i="25"/>
  <c r="AP20" i="25"/>
  <c r="AB21" i="25"/>
  <c r="AC21" i="25"/>
  <c r="AD21" i="25"/>
  <c r="AE21" i="25"/>
  <c r="AF21" i="25"/>
  <c r="AG21" i="25"/>
  <c r="AH21" i="25"/>
  <c r="AI21" i="25"/>
  <c r="AJ21" i="25"/>
  <c r="AK21" i="25"/>
  <c r="AL21" i="25"/>
  <c r="AM21" i="25"/>
  <c r="AN21" i="25"/>
  <c r="AO21" i="25"/>
  <c r="AP21" i="25"/>
  <c r="AB22" i="25"/>
  <c r="AC22" i="25"/>
  <c r="AD22" i="25"/>
  <c r="AE22" i="25"/>
  <c r="AF22" i="25"/>
  <c r="AG22" i="25"/>
  <c r="AH22" i="25"/>
  <c r="AI22" i="25"/>
  <c r="AJ22" i="25"/>
  <c r="AK22" i="25"/>
  <c r="AL22" i="25"/>
  <c r="AM22" i="25"/>
  <c r="AN22" i="25"/>
  <c r="AO22" i="25"/>
  <c r="AP22" i="25"/>
  <c r="AB23" i="25"/>
  <c r="AC23" i="25"/>
  <c r="AD23" i="25"/>
  <c r="AE23" i="25"/>
  <c r="AF23" i="25"/>
  <c r="AG23" i="25"/>
  <c r="AH23" i="25"/>
  <c r="AI23" i="25"/>
  <c r="AJ23" i="25"/>
  <c r="AK23" i="25"/>
  <c r="AL23" i="25"/>
  <c r="AM23" i="25"/>
  <c r="AN23" i="25"/>
  <c r="AO23" i="25"/>
  <c r="AP23" i="25"/>
  <c r="AB24" i="25"/>
  <c r="AC24" i="25"/>
  <c r="AD24" i="25"/>
  <c r="AE24" i="25"/>
  <c r="AF24" i="25"/>
  <c r="AG24" i="25"/>
  <c r="AH24" i="25"/>
  <c r="AI24" i="25"/>
  <c r="AJ24" i="25"/>
  <c r="AK24" i="25"/>
  <c r="AL24" i="25"/>
  <c r="AM24" i="25"/>
  <c r="AN24" i="25"/>
  <c r="AO24" i="25"/>
  <c r="AP24" i="25"/>
  <c r="AB25" i="25"/>
  <c r="AC25" i="25"/>
  <c r="AD25" i="25"/>
  <c r="AE25" i="25"/>
  <c r="AF25" i="25"/>
  <c r="AG25" i="25"/>
  <c r="AH25" i="25"/>
  <c r="AI25" i="25"/>
  <c r="AJ25" i="25"/>
  <c r="AK25" i="25"/>
  <c r="AL25" i="25"/>
  <c r="AM25" i="25"/>
  <c r="AN25" i="25"/>
  <c r="AO25" i="25"/>
  <c r="AP25" i="25"/>
  <c r="AB26" i="25"/>
  <c r="AC26" i="25"/>
  <c r="AD26" i="25"/>
  <c r="AE26" i="25"/>
  <c r="AF26" i="25"/>
  <c r="AG26" i="25"/>
  <c r="AH26" i="25"/>
  <c r="AI26" i="25"/>
  <c r="AJ26" i="25"/>
  <c r="AK26" i="25"/>
  <c r="AL26" i="25"/>
  <c r="AM26" i="25"/>
  <c r="AN26" i="25"/>
  <c r="AO26" i="25"/>
  <c r="AP26" i="25"/>
  <c r="AB27" i="25"/>
  <c r="AC27" i="25"/>
  <c r="AD27" i="25"/>
  <c r="AE27" i="25"/>
  <c r="AF27" i="25"/>
  <c r="AG27" i="25"/>
  <c r="AH27" i="25"/>
  <c r="AI27" i="25"/>
  <c r="AJ27" i="25"/>
  <c r="AK27" i="25"/>
  <c r="AL27" i="25"/>
  <c r="AM27" i="25"/>
  <c r="AN27" i="25"/>
  <c r="AO27" i="25"/>
  <c r="AP27" i="25"/>
  <c r="AB28" i="25"/>
  <c r="AC28" i="25"/>
  <c r="AD28" i="25"/>
  <c r="AE28" i="25"/>
  <c r="AF28" i="25"/>
  <c r="AG28" i="25"/>
  <c r="AH28" i="25"/>
  <c r="AI28" i="25"/>
  <c r="AJ28" i="25"/>
  <c r="AK28" i="25"/>
  <c r="AL28" i="25"/>
  <c r="AM28" i="25"/>
  <c r="AN28" i="25"/>
  <c r="AO28" i="25"/>
  <c r="AP28" i="25"/>
  <c r="AB29" i="25"/>
  <c r="AC29" i="25"/>
  <c r="AD29" i="25"/>
  <c r="AE29" i="25"/>
  <c r="AF29" i="25"/>
  <c r="AG29" i="25"/>
  <c r="AH29" i="25"/>
  <c r="AI29" i="25"/>
  <c r="AJ29" i="25"/>
  <c r="AK29" i="25"/>
  <c r="AL29" i="25"/>
  <c r="AM29" i="25"/>
  <c r="AN29" i="25"/>
  <c r="AO29" i="25"/>
  <c r="AP29" i="25"/>
  <c r="AB30" i="25"/>
  <c r="AC30" i="25"/>
  <c r="AD30" i="25"/>
  <c r="AE30" i="25"/>
  <c r="AF30" i="25"/>
  <c r="AG30" i="25"/>
  <c r="AH30" i="25"/>
  <c r="AI30" i="25"/>
  <c r="AJ30" i="25"/>
  <c r="AK30" i="25"/>
  <c r="AL30" i="25"/>
  <c r="AM30" i="25"/>
  <c r="AN30" i="25"/>
  <c r="AO30" i="25"/>
  <c r="AP30" i="25"/>
  <c r="AB31" i="25"/>
  <c r="AC31" i="25"/>
  <c r="AD31" i="25"/>
  <c r="AE31" i="25"/>
  <c r="AF31" i="25"/>
  <c r="AG31" i="25"/>
  <c r="AH31" i="25"/>
  <c r="AI31" i="25"/>
  <c r="AJ31" i="25"/>
  <c r="AK31" i="25"/>
  <c r="AL31" i="25"/>
  <c r="AM31" i="25"/>
  <c r="AN31" i="25"/>
  <c r="AO31" i="25"/>
  <c r="AP31" i="25"/>
  <c r="AB32" i="25"/>
  <c r="AC32" i="25"/>
  <c r="AD32" i="25"/>
  <c r="AE32" i="25"/>
  <c r="AF32" i="25"/>
  <c r="AG32" i="25"/>
  <c r="AH32" i="25"/>
  <c r="AI32" i="25"/>
  <c r="AJ32" i="25"/>
  <c r="AK32" i="25"/>
  <c r="AL32" i="25"/>
  <c r="AM32" i="25"/>
  <c r="AN32" i="25"/>
  <c r="AO32" i="25"/>
  <c r="AP32" i="25"/>
  <c r="AB33" i="25"/>
  <c r="AC33" i="25"/>
  <c r="AD33" i="25"/>
  <c r="AE33" i="25"/>
  <c r="AF33" i="25"/>
  <c r="AG33" i="25"/>
  <c r="AH33" i="25"/>
  <c r="AI33" i="25"/>
  <c r="AJ33" i="25"/>
  <c r="AK33" i="25"/>
  <c r="AL33" i="25"/>
  <c r="AM33" i="25"/>
  <c r="AN33" i="25"/>
  <c r="AO33" i="25"/>
  <c r="AP33" i="25"/>
  <c r="AB34" i="25"/>
  <c r="AC34" i="25"/>
  <c r="AD34" i="25"/>
  <c r="AE34" i="25"/>
  <c r="AF34" i="25"/>
  <c r="AG34" i="25"/>
  <c r="AH34" i="25"/>
  <c r="AI34" i="25"/>
  <c r="AJ34" i="25"/>
  <c r="AK34" i="25"/>
  <c r="AL34" i="25"/>
  <c r="AM34" i="25"/>
  <c r="AN34" i="25"/>
  <c r="AO34" i="25"/>
  <c r="AP34" i="25"/>
  <c r="AB35" i="25"/>
  <c r="AC35" i="25"/>
  <c r="AD35" i="25"/>
  <c r="AE35" i="25"/>
  <c r="AF35" i="25"/>
  <c r="AG35" i="25"/>
  <c r="AH35" i="25"/>
  <c r="AI35" i="25"/>
  <c r="AJ35" i="25"/>
  <c r="AK35" i="25"/>
  <c r="AL35" i="25"/>
  <c r="AM35" i="25"/>
  <c r="AN35" i="25"/>
  <c r="AO35" i="25"/>
  <c r="AP35" i="25"/>
  <c r="AB36" i="25"/>
  <c r="AC36" i="25"/>
  <c r="AD36" i="25"/>
  <c r="AE36" i="25"/>
  <c r="AF36" i="25"/>
  <c r="AG36" i="25"/>
  <c r="AH36" i="25"/>
  <c r="AI36" i="25"/>
  <c r="AJ36" i="25"/>
  <c r="AK36" i="25"/>
  <c r="AL36" i="25"/>
  <c r="AM36" i="25"/>
  <c r="AN36" i="25"/>
  <c r="AO36" i="25"/>
  <c r="AP36" i="25"/>
  <c r="AB37" i="25"/>
  <c r="AC37" i="25"/>
  <c r="AD37" i="25"/>
  <c r="AE37" i="25"/>
  <c r="AF37" i="25"/>
  <c r="AG37" i="25"/>
  <c r="AH37" i="25"/>
  <c r="AI37" i="25"/>
  <c r="AJ37" i="25"/>
  <c r="AK37" i="25"/>
  <c r="AL37" i="25"/>
  <c r="AM37" i="25"/>
  <c r="AN37" i="25"/>
  <c r="AO37" i="25"/>
  <c r="AP37" i="25"/>
  <c r="AB38" i="25"/>
  <c r="AC38" i="25"/>
  <c r="AD38" i="25"/>
  <c r="AE38" i="25"/>
  <c r="AF38" i="25"/>
  <c r="AG38" i="25"/>
  <c r="AH38" i="25"/>
  <c r="AI38" i="25"/>
  <c r="AJ38" i="25"/>
  <c r="AK38" i="25"/>
  <c r="AL38" i="25"/>
  <c r="AM38" i="25"/>
  <c r="AN38" i="25"/>
  <c r="AO38" i="25"/>
  <c r="AP38" i="25"/>
  <c r="AB39" i="25"/>
  <c r="AC39" i="25"/>
  <c r="AD39" i="25"/>
  <c r="AE39" i="25"/>
  <c r="AF39" i="25"/>
  <c r="AG39" i="25"/>
  <c r="AH39" i="25"/>
  <c r="AI39" i="25"/>
  <c r="AJ39" i="25"/>
  <c r="AK39" i="25"/>
  <c r="AL39" i="25"/>
  <c r="AM39" i="25"/>
  <c r="AN39" i="25"/>
  <c r="AO39" i="25"/>
  <c r="AP39" i="25"/>
  <c r="AB40" i="25"/>
  <c r="AC40" i="25"/>
  <c r="AD40" i="25"/>
  <c r="AE40" i="25"/>
  <c r="AF40" i="25"/>
  <c r="AG40" i="25"/>
  <c r="AH40" i="25"/>
  <c r="AI40" i="25"/>
  <c r="AJ40" i="25"/>
  <c r="AK40" i="25"/>
  <c r="AL40" i="25"/>
  <c r="AM40" i="25"/>
  <c r="AN40" i="25"/>
  <c r="AO40" i="25"/>
  <c r="AP40" i="25"/>
  <c r="AB41" i="25"/>
  <c r="AC41" i="25"/>
  <c r="AD41" i="25"/>
  <c r="AE41" i="25"/>
  <c r="AF41" i="25"/>
  <c r="AG41" i="25"/>
  <c r="AH41" i="25"/>
  <c r="AI41" i="25"/>
  <c r="AJ41" i="25"/>
  <c r="AK41" i="25"/>
  <c r="AL41" i="25"/>
  <c r="AM41" i="25"/>
  <c r="AN41" i="25"/>
  <c r="AO41" i="25"/>
  <c r="AP41" i="25"/>
  <c r="AB42" i="25"/>
  <c r="AM42" i="25"/>
  <c r="AN42" i="25"/>
  <c r="AO42" i="25"/>
  <c r="AP42" i="25"/>
  <c r="AB43" i="25"/>
  <c r="AC43" i="25"/>
  <c r="AD43" i="25"/>
  <c r="AE43" i="25"/>
  <c r="AF43" i="25"/>
  <c r="AG43" i="25"/>
  <c r="AH43" i="25"/>
  <c r="AI43" i="25"/>
  <c r="AJ43" i="25"/>
  <c r="AK43" i="25"/>
  <c r="AL43" i="25"/>
  <c r="AM43" i="25"/>
  <c r="AN43" i="25"/>
  <c r="AO43" i="25"/>
  <c r="AP43" i="25"/>
  <c r="AB44" i="25"/>
  <c r="AC44" i="25"/>
  <c r="AD44" i="25"/>
  <c r="AE44" i="25"/>
  <c r="AF44" i="25"/>
  <c r="AG44" i="25"/>
  <c r="AH44" i="25"/>
  <c r="AI44" i="25"/>
  <c r="AJ44" i="25"/>
  <c r="AK44" i="25"/>
  <c r="AL44" i="25"/>
  <c r="AM44" i="25"/>
  <c r="AN44" i="25"/>
  <c r="AO44" i="25"/>
  <c r="AP44" i="25"/>
  <c r="AB45" i="25"/>
  <c r="AC45" i="25"/>
  <c r="AD45" i="25"/>
  <c r="AE45" i="25"/>
  <c r="AF45" i="25"/>
  <c r="AG45" i="25"/>
  <c r="AH45" i="25"/>
  <c r="AI45" i="25"/>
  <c r="AJ45" i="25"/>
  <c r="AK45" i="25"/>
  <c r="AL45" i="25"/>
  <c r="AM45" i="25"/>
  <c r="AN45" i="25"/>
  <c r="AO45" i="25"/>
  <c r="AP45" i="25"/>
  <c r="AB46" i="25"/>
  <c r="AC46" i="25"/>
  <c r="AD46" i="25"/>
  <c r="AE46" i="25"/>
  <c r="AF46" i="25"/>
  <c r="AG46" i="25"/>
  <c r="AH46" i="25"/>
  <c r="AI46" i="25"/>
  <c r="AJ46" i="25"/>
  <c r="AK46" i="25"/>
  <c r="AL46" i="25"/>
  <c r="AM46" i="25"/>
  <c r="AN46" i="25"/>
  <c r="AO46" i="25"/>
  <c r="AP46" i="25"/>
  <c r="AB47" i="25"/>
  <c r="AC47" i="25"/>
  <c r="AD47" i="25"/>
  <c r="AE47" i="25"/>
  <c r="AF47" i="25"/>
  <c r="AG47" i="25"/>
  <c r="AH47" i="25"/>
  <c r="AI47" i="25"/>
  <c r="AJ47" i="25"/>
  <c r="AK47" i="25"/>
  <c r="AL47" i="25"/>
  <c r="AM47" i="25"/>
  <c r="AN47" i="25"/>
  <c r="AO47" i="25"/>
  <c r="AP47" i="25"/>
  <c r="AB48" i="25"/>
  <c r="AC48" i="25"/>
  <c r="AD48" i="25"/>
  <c r="AE48" i="25"/>
  <c r="AF48" i="25"/>
  <c r="AG48" i="25"/>
  <c r="AH48" i="25"/>
  <c r="AI48" i="25"/>
  <c r="AJ48" i="25"/>
  <c r="AK48" i="25"/>
  <c r="AL48" i="25"/>
  <c r="AM48" i="25"/>
  <c r="AN48" i="25"/>
  <c r="AO48" i="25"/>
  <c r="AP48" i="25"/>
  <c r="AB49" i="25"/>
  <c r="AC49" i="25"/>
  <c r="AD49" i="25"/>
  <c r="AE49" i="25"/>
  <c r="AF49" i="25"/>
  <c r="AG49" i="25"/>
  <c r="AH49" i="25"/>
  <c r="AI49" i="25"/>
  <c r="AJ49" i="25"/>
  <c r="AK49" i="25"/>
  <c r="AL49" i="25"/>
  <c r="AM49" i="25"/>
  <c r="AN49" i="25"/>
  <c r="AO49" i="25"/>
  <c r="AP49" i="25"/>
  <c r="AB50" i="25"/>
  <c r="AC50" i="25"/>
  <c r="AD50" i="25"/>
  <c r="AE50" i="25"/>
  <c r="AF50" i="25"/>
  <c r="AG50" i="25"/>
  <c r="AH50" i="25"/>
  <c r="AI50" i="25"/>
  <c r="AJ50" i="25"/>
  <c r="AK50" i="25"/>
  <c r="AL50" i="25"/>
  <c r="AM50" i="25"/>
  <c r="AN50" i="25"/>
  <c r="AO50" i="25"/>
  <c r="AP50" i="25"/>
  <c r="AB51" i="25"/>
  <c r="AC51" i="25"/>
  <c r="AD51" i="25"/>
  <c r="AE51" i="25"/>
  <c r="AF51" i="25"/>
  <c r="AG51" i="25"/>
  <c r="AH51" i="25"/>
  <c r="AI51" i="25"/>
  <c r="AJ51" i="25"/>
  <c r="AK51" i="25"/>
  <c r="AL51" i="25"/>
  <c r="AM51" i="25"/>
  <c r="AN51" i="25"/>
  <c r="AO51" i="25"/>
  <c r="AP51" i="25"/>
  <c r="AB52" i="25"/>
  <c r="AC52" i="25"/>
  <c r="AD52" i="25"/>
  <c r="AE52" i="25"/>
  <c r="AF52" i="25"/>
  <c r="AG52" i="25"/>
  <c r="AH52" i="25"/>
  <c r="AI52" i="25"/>
  <c r="AJ52" i="25"/>
  <c r="AK52" i="25"/>
  <c r="AL52" i="25"/>
  <c r="AM52" i="25"/>
  <c r="AN52" i="25"/>
  <c r="AO52" i="25"/>
  <c r="AP52" i="25"/>
  <c r="AB53" i="25"/>
  <c r="AC53" i="25"/>
  <c r="AD53" i="25"/>
  <c r="AE53" i="25"/>
  <c r="AF53" i="25"/>
  <c r="AG53" i="25"/>
  <c r="AH53" i="25"/>
  <c r="AI53" i="25"/>
  <c r="AJ53" i="25"/>
  <c r="AK53" i="25"/>
  <c r="AL53" i="25"/>
  <c r="AM53" i="25"/>
  <c r="AN53" i="25"/>
  <c r="AO53" i="25"/>
  <c r="AP53" i="25"/>
  <c r="AB54" i="25"/>
  <c r="AC54" i="25"/>
  <c r="AD54" i="25"/>
  <c r="AE54" i="25"/>
  <c r="AF54" i="25"/>
  <c r="AG54" i="25"/>
  <c r="AH54" i="25"/>
  <c r="AI54" i="25"/>
  <c r="AJ54" i="25"/>
  <c r="AK54" i="25"/>
  <c r="AL54" i="25"/>
  <c r="AM54" i="25"/>
  <c r="AN54" i="25"/>
  <c r="AO54" i="25"/>
  <c r="AP54" i="25"/>
  <c r="AD6" i="25"/>
  <c r="AE6" i="25"/>
  <c r="AF6" i="25"/>
  <c r="AG6" i="25"/>
  <c r="AH6" i="25"/>
  <c r="AI6" i="25"/>
  <c r="AJ6" i="25"/>
  <c r="AK6" i="25"/>
  <c r="AL6" i="25"/>
  <c r="AM6" i="25"/>
  <c r="AN6" i="25"/>
  <c r="AO6" i="25"/>
  <c r="AP6" i="25"/>
  <c r="AB6" i="25"/>
  <c r="AM58" i="25" l="1"/>
  <c r="AB72" i="25" s="1"/>
  <c r="AC72" i="25" s="1"/>
  <c r="C69" i="16" s="1"/>
  <c r="BB58" i="25"/>
  <c r="R33" i="15"/>
  <c r="S33" i="15" s="1"/>
  <c r="O37" i="15" s="1"/>
  <c r="N33" i="15"/>
  <c r="O33" i="15" s="1"/>
  <c r="O35" i="15" s="1"/>
  <c r="O40" i="15" s="1"/>
  <c r="P33" i="15"/>
  <c r="Q33" i="15" s="1"/>
  <c r="O36" i="15" s="1"/>
  <c r="E24" i="15"/>
  <c r="AS5" i="25"/>
  <c r="CO5" i="25" s="1"/>
  <c r="BI5" i="25"/>
  <c r="AC5" i="25"/>
  <c r="AZ58" i="25"/>
  <c r="AX58" i="25"/>
  <c r="AV58" i="25"/>
  <c r="AT58" i="25"/>
  <c r="AP58" i="25"/>
  <c r="BF58" i="25"/>
  <c r="BD58" i="25"/>
  <c r="AO58" i="25"/>
  <c r="BC58" i="25"/>
  <c r="AY58" i="25"/>
  <c r="AU58" i="25"/>
  <c r="AS58" i="25"/>
  <c r="BE58" i="25"/>
  <c r="AN58" i="25"/>
  <c r="BA58" i="25"/>
  <c r="L59" i="25"/>
  <c r="E25" i="15" s="1"/>
  <c r="H25" i="15" s="1"/>
  <c r="J25" i="15" s="1"/>
  <c r="AW58" i="25"/>
  <c r="AB58" i="25"/>
  <c r="AR58" i="25"/>
  <c r="G19" i="25"/>
  <c r="G18" i="25"/>
  <c r="G17" i="25"/>
  <c r="G16" i="25"/>
  <c r="G49" i="25"/>
  <c r="G48" i="25"/>
  <c r="G47" i="25"/>
  <c r="G46" i="25"/>
  <c r="G45" i="25"/>
  <c r="G44" i="25"/>
  <c r="G43" i="25"/>
  <c r="G42" i="25"/>
  <c r="G41" i="25"/>
  <c r="G40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23" i="25"/>
  <c r="AD42" i="25" l="1"/>
  <c r="AH42" i="25"/>
  <c r="AL42" i="25"/>
  <c r="AG42" i="25"/>
  <c r="AE42" i="25"/>
  <c r="AI42" i="25"/>
  <c r="AF42" i="25"/>
  <c r="AJ42" i="25"/>
  <c r="AC42" i="25"/>
  <c r="AK42" i="25"/>
  <c r="W5" i="25"/>
  <c r="D69" i="16"/>
  <c r="Q69" i="16" s="1"/>
  <c r="D32" i="18" s="1"/>
  <c r="AB61" i="25"/>
  <c r="AC61" i="25" s="1"/>
  <c r="C58" i="16" s="1"/>
  <c r="L5" i="25"/>
  <c r="AB73" i="25"/>
  <c r="AC73" i="25" s="1"/>
  <c r="C70" i="16" s="1"/>
  <c r="X5" i="25"/>
  <c r="AB74" i="25"/>
  <c r="AC74" i="25" s="1"/>
  <c r="C71" i="16" s="1"/>
  <c r="Y5" i="25"/>
  <c r="AB75" i="25"/>
  <c r="AC75" i="25" s="1"/>
  <c r="C72" i="16" s="1"/>
  <c r="Z5" i="25"/>
  <c r="AR59" i="25"/>
  <c r="E20" i="15" s="1"/>
  <c r="H20" i="15" s="1"/>
  <c r="J20" i="15" s="1"/>
  <c r="L25" i="15"/>
  <c r="K25" i="15"/>
  <c r="G7" i="25"/>
  <c r="AD7" i="25" s="1"/>
  <c r="G8" i="25"/>
  <c r="AE8" i="25" s="1"/>
  <c r="AE58" i="25" s="1"/>
  <c r="AB64" i="25" s="1"/>
  <c r="AC64" i="25" s="1"/>
  <c r="C61" i="16" s="1"/>
  <c r="D61" i="16" s="1"/>
  <c r="Q61" i="16" s="1"/>
  <c r="D24" i="18" s="1"/>
  <c r="G9" i="25"/>
  <c r="AF9" i="25" s="1"/>
  <c r="G10" i="25"/>
  <c r="AG10" i="25" s="1"/>
  <c r="G11" i="25"/>
  <c r="AH11" i="25" s="1"/>
  <c r="AH58" i="25" s="1"/>
  <c r="R5" i="25" s="1"/>
  <c r="G12" i="25"/>
  <c r="AI12" i="25" s="1"/>
  <c r="AI58" i="25" s="1"/>
  <c r="G13" i="25"/>
  <c r="AJ13" i="25" s="1"/>
  <c r="G14" i="25"/>
  <c r="AK14" i="25" s="1"/>
  <c r="AK58" i="25" s="1"/>
  <c r="G15" i="25"/>
  <c r="AL15" i="25" s="1"/>
  <c r="AL58" i="25" s="1"/>
  <c r="V5" i="25" s="1"/>
  <c r="G6" i="25"/>
  <c r="AC6" i="25" s="1"/>
  <c r="AC58" i="25" s="1"/>
  <c r="E26" i="15"/>
  <c r="F6" i="16"/>
  <c r="C17" i="17"/>
  <c r="C20" i="17"/>
  <c r="C7" i="21"/>
  <c r="C8" i="21"/>
  <c r="I52" i="16"/>
  <c r="E3" i="21"/>
  <c r="F6" i="18"/>
  <c r="C33" i="17"/>
  <c r="C32" i="17"/>
  <c r="C30" i="17"/>
  <c r="C29" i="17"/>
  <c r="C14" i="17"/>
  <c r="C11" i="17"/>
  <c r="C5" i="17"/>
  <c r="C41" i="17"/>
  <c r="C38" i="17"/>
  <c r="G11" i="16"/>
  <c r="C2" i="17" s="1"/>
  <c r="F5" i="18"/>
  <c r="F3" i="18" s="1"/>
  <c r="F19" i="15"/>
  <c r="F26" i="15"/>
  <c r="H26" i="15" s="1"/>
  <c r="J26" i="15" s="1"/>
  <c r="F24" i="15"/>
  <c r="F23" i="15"/>
  <c r="G18" i="15"/>
  <c r="F18" i="15"/>
  <c r="H18" i="15" s="1"/>
  <c r="J18" i="15" s="1"/>
  <c r="K12" i="15"/>
  <c r="F2" i="18" l="1"/>
  <c r="C64" i="17"/>
  <c r="C65" i="17" s="1"/>
  <c r="C66" i="17" s="1"/>
  <c r="C318" i="27"/>
  <c r="C320" i="27" s="1"/>
  <c r="C321" i="27" s="1"/>
  <c r="J42" i="16" s="1"/>
  <c r="G312" i="27"/>
  <c r="AD58" i="25"/>
  <c r="N5" i="25" s="1"/>
  <c r="AF58" i="25"/>
  <c r="P5" i="25" s="1"/>
  <c r="AG58" i="25"/>
  <c r="AB66" i="25" s="1"/>
  <c r="AC66" i="25" s="1"/>
  <c r="C63" i="16" s="1"/>
  <c r="D63" i="16" s="1"/>
  <c r="Q63" i="16" s="1"/>
  <c r="D26" i="18" s="1"/>
  <c r="I26" i="18" s="1"/>
  <c r="AJ58" i="25"/>
  <c r="T5" i="25" s="1"/>
  <c r="I24" i="18"/>
  <c r="N32" i="18"/>
  <c r="I32" i="18"/>
  <c r="AB67" i="25"/>
  <c r="AC67" i="25" s="1"/>
  <c r="C64" i="16" s="1"/>
  <c r="D64" i="16" s="1"/>
  <c r="Q64" i="16" s="1"/>
  <c r="D27" i="18" s="1"/>
  <c r="S61" i="16"/>
  <c r="N24" i="18" s="1"/>
  <c r="AB71" i="25"/>
  <c r="AC71" i="25" s="1"/>
  <c r="C68" i="16" s="1"/>
  <c r="D68" i="16" s="1"/>
  <c r="Q68" i="16" s="1"/>
  <c r="M5" i="25"/>
  <c r="AB62" i="25"/>
  <c r="AC62" i="25" s="1"/>
  <c r="C59" i="16" s="1"/>
  <c r="D59" i="16" s="1"/>
  <c r="Q59" i="16" s="1"/>
  <c r="D22" i="18" s="1"/>
  <c r="AB70" i="25"/>
  <c r="AC70" i="25" s="1"/>
  <c r="C67" i="16" s="1"/>
  <c r="D67" i="16" s="1"/>
  <c r="Q67" i="16" s="1"/>
  <c r="D30" i="18" s="1"/>
  <c r="U5" i="25"/>
  <c r="S5" i="25"/>
  <c r="AB68" i="25"/>
  <c r="AC68" i="25" s="1"/>
  <c r="C65" i="16" s="1"/>
  <c r="D65" i="16" s="1"/>
  <c r="Q65" i="16" s="1"/>
  <c r="D28" i="18" s="1"/>
  <c r="O5" i="25"/>
  <c r="S69" i="16"/>
  <c r="D58" i="16"/>
  <c r="Q58" i="16" s="1"/>
  <c r="D21" i="18" s="1"/>
  <c r="D72" i="16"/>
  <c r="Q72" i="16" s="1"/>
  <c r="D35" i="18" s="1"/>
  <c r="D71" i="16"/>
  <c r="Q71" i="16" s="1"/>
  <c r="D34" i="18" s="1"/>
  <c r="D70" i="16"/>
  <c r="Q70" i="16" s="1"/>
  <c r="D33" i="18" s="1"/>
  <c r="E23" i="15"/>
  <c r="H23" i="15" s="1"/>
  <c r="I22" i="15"/>
  <c r="J22" i="15" s="1"/>
  <c r="I21" i="15"/>
  <c r="L18" i="15"/>
  <c r="S52" i="16"/>
  <c r="N15" i="18" s="1"/>
  <c r="L20" i="15"/>
  <c r="K20" i="15"/>
  <c r="H19" i="15"/>
  <c r="J19" i="15" s="1"/>
  <c r="L19" i="15" s="1"/>
  <c r="L26" i="15"/>
  <c r="K26" i="15"/>
  <c r="AB65" i="25" l="1"/>
  <c r="AC65" i="25" s="1"/>
  <c r="C62" i="16" s="1"/>
  <c r="D62" i="16" s="1"/>
  <c r="Q62" i="16" s="1"/>
  <c r="D25" i="18" s="1"/>
  <c r="I25" i="18" s="1"/>
  <c r="Q5" i="25"/>
  <c r="D318" i="27"/>
  <c r="D320" i="27" s="1"/>
  <c r="D321" i="27" s="1"/>
  <c r="J43" i="16" s="1"/>
  <c r="T7" i="18" s="1"/>
  <c r="G283" i="27"/>
  <c r="G171" i="27"/>
  <c r="G267" i="27"/>
  <c r="G139" i="27"/>
  <c r="G108" i="27"/>
  <c r="G77" i="27"/>
  <c r="G46" i="27"/>
  <c r="G15" i="27"/>
  <c r="G155" i="27"/>
  <c r="G92" i="27"/>
  <c r="G31" i="27"/>
  <c r="G235" i="27"/>
  <c r="G203" i="27"/>
  <c r="G123" i="27"/>
  <c r="G61" i="27"/>
  <c r="G251" i="27"/>
  <c r="G187" i="27"/>
  <c r="G219" i="27"/>
  <c r="B312" i="27"/>
  <c r="AB63" i="25"/>
  <c r="AC63" i="25" s="1"/>
  <c r="C60" i="16" s="1"/>
  <c r="D60" i="16" s="1"/>
  <c r="Q60" i="16" s="1"/>
  <c r="D23" i="18" s="1"/>
  <c r="I23" i="18" s="1"/>
  <c r="AB69" i="25"/>
  <c r="AC69" i="25" s="1"/>
  <c r="C66" i="16" s="1"/>
  <c r="D66" i="16" s="1"/>
  <c r="Q66" i="16" s="1"/>
  <c r="D29" i="18" s="1"/>
  <c r="I29" i="18" s="1"/>
  <c r="S63" i="16"/>
  <c r="N26" i="18" s="1"/>
  <c r="S64" i="16"/>
  <c r="N27" i="18" s="1"/>
  <c r="S62" i="16"/>
  <c r="N34" i="18"/>
  <c r="I34" i="18"/>
  <c r="I21" i="18"/>
  <c r="I30" i="18"/>
  <c r="I33" i="18"/>
  <c r="N33" i="18"/>
  <c r="I35" i="18"/>
  <c r="N35" i="18"/>
  <c r="I28" i="18"/>
  <c r="I22" i="18"/>
  <c r="S68" i="16"/>
  <c r="D31" i="18"/>
  <c r="I27" i="18"/>
  <c r="S67" i="16"/>
  <c r="N30" i="18" s="1"/>
  <c r="S65" i="16"/>
  <c r="N28" i="18" s="1"/>
  <c r="S59" i="16"/>
  <c r="N22" i="18" s="1"/>
  <c r="S70" i="16"/>
  <c r="S72" i="16"/>
  <c r="S71" i="16"/>
  <c r="S58" i="16"/>
  <c r="N21" i="18" s="1"/>
  <c r="K22" i="15"/>
  <c r="L22" i="15"/>
  <c r="T6" i="18"/>
  <c r="K18" i="15"/>
  <c r="K19" i="15"/>
  <c r="H24" i="15"/>
  <c r="J24" i="15" s="1"/>
  <c r="J23" i="15"/>
  <c r="C23" i="17"/>
  <c r="N25" i="18" l="1"/>
  <c r="B251" i="27"/>
  <c r="C251" i="27" s="1"/>
  <c r="C306" i="27" s="1"/>
  <c r="B235" i="27"/>
  <c r="C235" i="27" s="1"/>
  <c r="C305" i="27" s="1"/>
  <c r="B267" i="27"/>
  <c r="C267" i="27" s="1"/>
  <c r="C307" i="27" s="1"/>
  <c r="B139" i="27"/>
  <c r="C139" i="27" s="1"/>
  <c r="C299" i="27" s="1"/>
  <c r="B108" i="27"/>
  <c r="C108" i="27" s="1"/>
  <c r="C297" i="27" s="1"/>
  <c r="B61" i="27"/>
  <c r="C61" i="27" s="1"/>
  <c r="C294" i="27" s="1"/>
  <c r="B31" i="27"/>
  <c r="C31" i="27" s="1"/>
  <c r="C292" i="27" s="1"/>
  <c r="B283" i="27"/>
  <c r="C283" i="27" s="1"/>
  <c r="C308" i="27" s="1"/>
  <c r="B203" i="27"/>
  <c r="C203" i="27" s="1"/>
  <c r="C303" i="27" s="1"/>
  <c r="B171" i="27"/>
  <c r="C171" i="27" s="1"/>
  <c r="C301" i="27" s="1"/>
  <c r="B219" i="27"/>
  <c r="C219" i="27" s="1"/>
  <c r="C304" i="27" s="1"/>
  <c r="B187" i="27"/>
  <c r="C187" i="27" s="1"/>
  <c r="C302" i="27" s="1"/>
  <c r="B155" i="27"/>
  <c r="C155" i="27" s="1"/>
  <c r="C300" i="27" s="1"/>
  <c r="B123" i="27"/>
  <c r="C123" i="27" s="1"/>
  <c r="C298" i="27" s="1"/>
  <c r="B92" i="27"/>
  <c r="C92" i="27" s="1"/>
  <c r="C296" i="27" s="1"/>
  <c r="B77" i="27"/>
  <c r="C77" i="27" s="1"/>
  <c r="C295" i="27" s="1"/>
  <c r="B46" i="27"/>
  <c r="C46" i="27" s="1"/>
  <c r="C293" i="27" s="1"/>
  <c r="B15" i="27"/>
  <c r="C15" i="27" s="1"/>
  <c r="C291" i="27" s="1"/>
  <c r="C309" i="27" s="1"/>
  <c r="C312" i="27" s="1"/>
  <c r="B314" i="27" s="1"/>
  <c r="H42" i="16" s="1"/>
  <c r="S66" i="16"/>
  <c r="N29" i="18" s="1"/>
  <c r="S60" i="16"/>
  <c r="N23" i="18" s="1"/>
  <c r="I31" i="18"/>
  <c r="N31" i="18"/>
  <c r="K24" i="15"/>
  <c r="L24" i="15"/>
  <c r="K23" i="15"/>
  <c r="L23" i="15"/>
  <c r="E21" i="15" l="1"/>
  <c r="H21" i="15" s="1"/>
  <c r="J21" i="15" s="1"/>
  <c r="R6" i="18"/>
  <c r="L21" i="15" l="1"/>
  <c r="L27" i="15" s="1"/>
  <c r="K21" i="15"/>
  <c r="J27" i="15" s="1"/>
  <c r="J28" i="15" s="1"/>
  <c r="J29" i="15" l="1"/>
  <c r="J30" i="15" s="1"/>
  <c r="J31" i="15" s="1"/>
  <c r="O42" i="15" s="1"/>
  <c r="BZ4" i="25"/>
  <c r="CA4" i="25" s="1"/>
  <c r="BZ13" i="25" s="1"/>
  <c r="BZ14" i="25" s="1"/>
  <c r="BZ15" i="25" s="1"/>
  <c r="BZ16" i="25" s="1"/>
  <c r="C47" i="17" s="1"/>
  <c r="Y37" i="18" l="1"/>
  <c r="K37" i="18" l="1"/>
  <c r="H139" i="27"/>
  <c r="H299" i="27" s="1"/>
  <c r="H15" i="27"/>
  <c r="H291" i="27" s="1"/>
  <c r="H309" i="27" s="1"/>
  <c r="H312" i="27" s="1"/>
  <c r="G314" i="27" s="1"/>
  <c r="H43" i="16" s="1"/>
  <c r="R7" i="18" s="1"/>
  <c r="H77" i="27"/>
  <c r="H295" i="27" s="1"/>
  <c r="H251" i="27"/>
  <c r="H306" i="27" s="1"/>
  <c r="H219" i="27"/>
  <c r="H304" i="27" s="1"/>
  <c r="H171" i="27"/>
  <c r="H301" i="27" s="1"/>
  <c r="H235" i="27"/>
  <c r="H305" i="27" s="1"/>
  <c r="H46" i="27"/>
  <c r="H293" i="27" s="1"/>
  <c r="H61" i="27"/>
  <c r="H294" i="27" s="1"/>
  <c r="H31" i="27"/>
  <c r="H292" i="27" s="1"/>
  <c r="H123" i="27"/>
  <c r="H298" i="27" s="1"/>
  <c r="H187" i="27"/>
  <c r="H302" i="27" s="1"/>
  <c r="H108" i="27"/>
  <c r="H297" i="27" s="1"/>
  <c r="H283" i="27"/>
  <c r="H308" i="27" s="1"/>
  <c r="H92" i="27"/>
  <c r="H296" i="27" s="1"/>
  <c r="H267" i="27"/>
  <c r="H307" i="27" s="1"/>
  <c r="H203" i="27"/>
  <c r="H303" i="27" s="1"/>
  <c r="H155" i="27"/>
  <c r="H300" i="27" s="1"/>
</calcChain>
</file>

<file path=xl/sharedStrings.xml><?xml version="1.0" encoding="utf-8"?>
<sst xmlns="http://schemas.openxmlformats.org/spreadsheetml/2006/main" count="1229" uniqueCount="428">
  <si>
    <t>Repeatability</t>
  </si>
  <si>
    <t>mm</t>
  </si>
  <si>
    <t>α =</t>
  </si>
  <si>
    <t>/°C</t>
  </si>
  <si>
    <t>Satuan</t>
  </si>
  <si>
    <t>µm</t>
  </si>
  <si>
    <t>Nama Alat</t>
  </si>
  <si>
    <t>Tanggal Kalibrasi</t>
  </si>
  <si>
    <t>Tempat Kalibrasi</t>
  </si>
  <si>
    <t>(mm)</t>
  </si>
  <si>
    <t>Koreksi</t>
  </si>
  <si>
    <t>:</t>
  </si>
  <si>
    <t>Distribusi</t>
  </si>
  <si>
    <t>normal</t>
  </si>
  <si>
    <t>rect.</t>
  </si>
  <si>
    <t>Drift Standar</t>
  </si>
  <si>
    <t>±</t>
  </si>
  <si>
    <t>Standar yang digunakan</t>
  </si>
  <si>
    <t>Certificate Number</t>
  </si>
  <si>
    <t>Page</t>
  </si>
  <si>
    <t>Nomor Sertifikat</t>
  </si>
  <si>
    <t>Date of Issue</t>
  </si>
  <si>
    <t>Tanggal</t>
  </si>
  <si>
    <t>INSTRUMENT DETAILS</t>
  </si>
  <si>
    <t>IDENTITAS ALAT</t>
  </si>
  <si>
    <t>Merek Pabrik</t>
  </si>
  <si>
    <t>PRINCIPAL IDENTIFICATION</t>
  </si>
  <si>
    <t>IDENTITAS PEMILIK</t>
  </si>
  <si>
    <t>Designation</t>
  </si>
  <si>
    <t>Nama</t>
  </si>
  <si>
    <t>Address</t>
  </si>
  <si>
    <t>Alamat</t>
  </si>
  <si>
    <t>CALIBRATION METHOD AND STANDARD</t>
  </si>
  <si>
    <t>METODE DAN STANDAR KALIBRASI</t>
  </si>
  <si>
    <t>Calibration Method</t>
  </si>
  <si>
    <t>Metode Kalibrasi</t>
  </si>
  <si>
    <t>Reference</t>
  </si>
  <si>
    <t>Acuan</t>
  </si>
  <si>
    <t>Reference Standard</t>
  </si>
  <si>
    <t>Standar Kalibrasi</t>
  </si>
  <si>
    <t>Traceability</t>
  </si>
  <si>
    <t>of</t>
  </si>
  <si>
    <t>dari</t>
  </si>
  <si>
    <t>Nominal</t>
  </si>
  <si>
    <t>Correction</t>
  </si>
  <si>
    <t>Note :</t>
  </si>
  <si>
    <t>CALIBRATION RESULT</t>
  </si>
  <si>
    <t>September</t>
  </si>
  <si>
    <t>PAS</t>
  </si>
  <si>
    <t>09</t>
  </si>
  <si>
    <t>No. Sertifikat</t>
  </si>
  <si>
    <t>SK</t>
  </si>
  <si>
    <t>%</t>
  </si>
  <si>
    <t>01</t>
  </si>
  <si>
    <t>Januari</t>
  </si>
  <si>
    <t>02</t>
  </si>
  <si>
    <t>Februari</t>
  </si>
  <si>
    <t>03</t>
  </si>
  <si>
    <t>Maret</t>
  </si>
  <si>
    <t>04</t>
  </si>
  <si>
    <t>April</t>
  </si>
  <si>
    <t>05</t>
  </si>
  <si>
    <t>Mei</t>
  </si>
  <si>
    <t>06</t>
  </si>
  <si>
    <t>07</t>
  </si>
  <si>
    <t>Juli</t>
  </si>
  <si>
    <t>08</t>
  </si>
  <si>
    <t>Agustus</t>
  </si>
  <si>
    <t>10</t>
  </si>
  <si>
    <t>Oktober</t>
  </si>
  <si>
    <t>11</t>
  </si>
  <si>
    <t>November</t>
  </si>
  <si>
    <t>12</t>
  </si>
  <si>
    <t>Desember</t>
  </si>
  <si>
    <t>Hal.</t>
  </si>
  <si>
    <t>Kondisi Tempat Kalibrasi</t>
  </si>
  <si>
    <t>HASIL KALIBRASI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</si>
  <si>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</si>
  <si>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</si>
  <si>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Manufacture</t>
  </si>
  <si>
    <t>Tipe / Nomor Seri</t>
  </si>
  <si>
    <t>Kapasitas / Resolusi</t>
  </si>
  <si>
    <t>Ketertelusuran</t>
  </si>
  <si>
    <t>OUTSIDE MICROMETER</t>
  </si>
  <si>
    <t>21</t>
  </si>
  <si>
    <t>24</t>
  </si>
  <si>
    <t>27</t>
  </si>
  <si>
    <t>26</t>
  </si>
  <si>
    <t>MERK</t>
  </si>
  <si>
    <t>TANGGAL KALIBRASI</t>
  </si>
  <si>
    <t>TEMPAT KALIBRASI</t>
  </si>
  <si>
    <t>KOREKSI</t>
  </si>
  <si>
    <t>13</t>
  </si>
  <si>
    <t>14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</si>
  <si>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</si>
  <si>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</si>
  <si>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</si>
  <si>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</si>
  <si>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</si>
  <si>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</si>
  <si>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</si>
  <si>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</si>
  <si>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</si>
  <si>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28</t>
  </si>
  <si>
    <t>29</t>
  </si>
  <si>
    <t>30</t>
  </si>
  <si>
    <t>31</t>
  </si>
  <si>
    <t>Tambahkan nama alat pada kolom berikut jika belum tercantum pada pilihan diatas.</t>
  </si>
  <si>
    <t>NOMOR SERI</t>
  </si>
  <si>
    <t>*  Perhitungan ketidakpastian pengukuran mengacu ke ISO GUM 2008.</t>
  </si>
  <si>
    <t xml:space="preserve">    Calculation of measurement uncertainty refers to ISO GUM 2008.</t>
  </si>
  <si>
    <t>STDEV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</si>
  <si>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</si>
  <si>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</si>
  <si>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</si>
  <si>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</si>
  <si>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</si>
  <si>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</si>
  <si>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</si>
  <si>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</si>
  <si>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</si>
  <si>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</si>
  <si>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</si>
  <si>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UNCERTAINTY BUDGET SEBAGAI PENDUKUNG KLAIM CMC</t>
  </si>
  <si>
    <t>Besaran yang diukur</t>
  </si>
  <si>
    <t>Dimensi</t>
  </si>
  <si>
    <t>Jenis alat yang dikalibrasi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</si>
  <si>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</si>
  <si>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</si>
  <si>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</si>
  <si>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</si>
  <si>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</si>
  <si>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u</t>
  </si>
  <si>
    <t>Pembagi</t>
  </si>
  <si>
    <r>
      <t>u</t>
    </r>
    <r>
      <rPr>
        <vertAlign val="subscript"/>
        <sz val="10"/>
        <rFont val="Arial"/>
        <family val="2"/>
      </rPr>
      <t>i</t>
    </r>
  </si>
  <si>
    <r>
      <t>c</t>
    </r>
    <r>
      <rPr>
        <vertAlign val="subscript"/>
        <sz val="10"/>
        <rFont val="Arial"/>
        <family val="2"/>
      </rPr>
      <t>i</t>
    </r>
  </si>
  <si>
    <r>
      <t>u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</si>
  <si>
    <r>
      <t>(u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2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</si>
  <si>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</si>
  <si>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</si>
  <si>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</si>
  <si>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</si>
  <si>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</si>
  <si>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</si>
  <si>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</si>
  <si>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</si>
  <si>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</si>
  <si>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</si>
  <si>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</si>
  <si>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Perbedaan suhu UUT dan standar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</si>
  <si>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</si>
  <si>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</si>
  <si>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</si>
  <si>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</si>
  <si>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</si>
  <si>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</si>
  <si>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Micrometer</t>
  </si>
  <si>
    <t>CMC dari KAN</t>
  </si>
  <si>
    <t>Anvil</t>
  </si>
  <si>
    <t>Nominal Optical Parallel</t>
  </si>
  <si>
    <t>Jumlah Frinji</t>
  </si>
  <si>
    <t>Nilai Kerataan</t>
  </si>
  <si>
    <t>Spindle</t>
  </si>
  <si>
    <t>TANGGAL HARI INI</t>
  </si>
  <si>
    <t>TANGGAL TERBIT SERTIFIKAT</t>
  </si>
  <si>
    <t>NOMOR SERTIFIKAT</t>
  </si>
  <si>
    <t>ALAT &amp; SPESIFIKASI</t>
  </si>
  <si>
    <t>NAMA ALAT</t>
  </si>
  <si>
    <t>TIPE</t>
  </si>
  <si>
    <t>--</t>
  </si>
  <si>
    <t>Mitutoyo</t>
  </si>
  <si>
    <t>Kanon</t>
  </si>
  <si>
    <t>Insize</t>
  </si>
  <si>
    <t>Krisbow</t>
  </si>
  <si>
    <t>Niigata Seiki</t>
  </si>
  <si>
    <t>Teclock</t>
  </si>
  <si>
    <t>PASTIKAN SEMUA DATA PADA LEMBAR KERJA SUDAH LENGKAP SEBELUM MELAKUKAN INPUT DATA</t>
  </si>
  <si>
    <t>RENTANG UKUR</t>
  </si>
  <si>
    <t>KAPASITAS</t>
  </si>
  <si>
    <t>RESOLUSI/ SKALA TERKECIL</t>
  </si>
  <si>
    <t>IDENTITAS PEMILIK ALAT</t>
  </si>
  <si>
    <t>CABANG/ DIVISI/ UNIT</t>
  </si>
  <si>
    <t>ALAMAT</t>
  </si>
  <si>
    <t>RINCIAN KALIBRASI</t>
  </si>
  <si>
    <t>SUHU RUANGAN</t>
  </si>
  <si>
    <t>KELEMBAPAN RUANGAN</t>
  </si>
  <si>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</t>
    </r>
  </si>
  <si>
    <t>PENANDATANGAN SERTIFIKAT</t>
  </si>
  <si>
    <t>METODE KALIBRASI</t>
  </si>
  <si>
    <t>PAS-IK-1102-02</t>
  </si>
  <si>
    <t>ACUAN REFERENSI</t>
  </si>
  <si>
    <t>NAMA PERUSAHAAN</t>
  </si>
  <si>
    <t>PERHITUNGAN SERTIFIKAT KALIBRASI OUTSIDE MICROMETER UNTUK RENTANG UKUR  0 - 500 mm</t>
  </si>
  <si>
    <t>1. UJI KERATAAN (KHUSUS OUTSIDE MICROMETER)</t>
  </si>
  <si>
    <t>2. UJI SKALA NOMINAL</t>
  </si>
  <si>
    <t>Max STDEV</t>
  </si>
  <si>
    <t>MOHON PERIKSA KEMBALI SEBELUM MENCETAK SERTIFIKAT</t>
  </si>
  <si>
    <r>
      <t xml:space="preserve">Equipment </t>
    </r>
    <r>
      <rPr>
        <sz val="10"/>
        <rFont val="Segoe UI"/>
        <family val="2"/>
      </rPr>
      <t>/</t>
    </r>
    <r>
      <rPr>
        <i/>
        <sz val="10"/>
        <rFont val="Segoe UI"/>
        <family val="2"/>
      </rPr>
      <t xml:space="preserve"> Instrument</t>
    </r>
  </si>
  <si>
    <r>
      <t xml:space="preserve">Type </t>
    </r>
    <r>
      <rPr>
        <sz val="10"/>
        <rFont val="Segoe UI"/>
        <family val="2"/>
      </rPr>
      <t xml:space="preserve">/ </t>
    </r>
    <r>
      <rPr>
        <i/>
        <sz val="10"/>
        <rFont val="Segoe UI"/>
        <family val="2"/>
      </rPr>
      <t>Serial Number</t>
    </r>
  </si>
  <si>
    <r>
      <t xml:space="preserve">Capacity </t>
    </r>
    <r>
      <rPr>
        <sz val="10"/>
        <rFont val="Segoe UI"/>
        <family val="2"/>
      </rPr>
      <t>/</t>
    </r>
    <r>
      <rPr>
        <i/>
        <sz val="10"/>
        <rFont val="Segoe UI"/>
        <family val="2"/>
      </rPr>
      <t xml:space="preserve"> Resolution</t>
    </r>
  </si>
  <si>
    <t xml:space="preserve"> RT</t>
  </si>
  <si>
    <t xml:space="preserve"> RH</t>
  </si>
  <si>
    <t>Penunjukkan Alat</t>
  </si>
  <si>
    <t>Instrument Reading</t>
  </si>
  <si>
    <t>Measurement Uncertainty</t>
  </si>
  <si>
    <t>THERMOHYGROMETER PT PANANJUNG ANUGRAH SOLUTION</t>
  </si>
  <si>
    <t>TYPE/ MODEL</t>
  </si>
  <si>
    <t>NO. SERI</t>
  </si>
  <si>
    <t>TEMPERATURE</t>
  </si>
  <si>
    <t>HUMIDITY</t>
  </si>
  <si>
    <t>PEMBACAAN ALAT</t>
  </si>
  <si>
    <t>U95</t>
  </si>
  <si>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</t>
    </r>
  </si>
  <si>
    <t>ALAT</t>
  </si>
  <si>
    <t>Temperature Terkoreksi</t>
  </si>
  <si>
    <t>Humidity Terkoreksi</t>
  </si>
  <si>
    <t>FORMULA</t>
  </si>
  <si>
    <t>U. STD</t>
  </si>
  <si>
    <t>UC</t>
  </si>
  <si>
    <t>EXP</t>
  </si>
  <si>
    <t>THERMOHYGROMETER</t>
  </si>
  <si>
    <t>TANGGAL</t>
  </si>
  <si>
    <t>BULAN</t>
  </si>
  <si>
    <t>MERK ALAT</t>
  </si>
  <si>
    <t>Juni</t>
  </si>
  <si>
    <t>Tricle Brand</t>
  </si>
  <si>
    <t>TTD</t>
  </si>
  <si>
    <t>LOKASI</t>
  </si>
  <si>
    <t>MICROMETER</t>
  </si>
  <si>
    <t>DIGIMATIC MICROMETER</t>
  </si>
  <si>
    <t>DIGITAL MICROMETER</t>
  </si>
  <si>
    <t>DIGIMATIC BLADE MICROMETER</t>
  </si>
  <si>
    <t>RESOLUSI</t>
  </si>
  <si>
    <t>DEKKO</t>
  </si>
  <si>
    <t>642N</t>
  </si>
  <si>
    <t>TH-01</t>
  </si>
  <si>
    <t>TH-02</t>
  </si>
  <si>
    <t>TH-03</t>
  </si>
  <si>
    <t>TH-04</t>
  </si>
  <si>
    <t>TH-05</t>
  </si>
  <si>
    <t>TH-06</t>
  </si>
  <si>
    <t>TH-07</t>
  </si>
  <si>
    <t>TH-08</t>
  </si>
  <si>
    <t>Rudi Eko Suryono</t>
  </si>
  <si>
    <t>M. Iqbal Fauzi</t>
  </si>
  <si>
    <t>Septya Nugroho</t>
  </si>
  <si>
    <t>Lab. Kalibrasi PT Pananjung Anugrah Solution.</t>
  </si>
  <si>
    <t>Nomer Identitas</t>
  </si>
  <si>
    <t>ID Number</t>
  </si>
  <si>
    <t>Riwayat Perubahan Template</t>
  </si>
  <si>
    <t>Deskripsi</t>
  </si>
  <si>
    <t>Petugas</t>
  </si>
  <si>
    <t>Update ketidakpastian standar</t>
  </si>
  <si>
    <t>Nugi</t>
  </si>
  <si>
    <t>K</t>
  </si>
  <si>
    <t>Revisi lampiran kalibrasi</t>
  </si>
  <si>
    <t>Ketidakpastian Pengukuran</t>
  </si>
  <si>
    <t>Update nilai thermohygro</t>
  </si>
  <si>
    <t>PT PAS (LK-150-IDN)</t>
  </si>
  <si>
    <t>Update Nilai Standar</t>
  </si>
  <si>
    <t>Menambahkan keterangan Akhir Sertifikat</t>
  </si>
  <si>
    <r>
      <t xml:space="preserve">--- Akhir Sertifikat / </t>
    </r>
    <r>
      <rPr>
        <i/>
        <sz val="9"/>
        <rFont val="Calibri"/>
        <family val="2"/>
        <scheme val="minor"/>
      </rPr>
      <t>End of Certificate</t>
    </r>
    <r>
      <rPr>
        <sz val="9"/>
        <rFont val="Calibri"/>
        <family val="2"/>
        <scheme val="minor"/>
      </rPr>
      <t xml:space="preserve"> ---</t>
    </r>
  </si>
  <si>
    <t xml:space="preserve">   Correction are added to the instrument reading for obtaining true reading.</t>
  </si>
  <si>
    <r>
      <t>*  Nilai pembacaan alat sebenarnya adalah pembacaan alat</t>
    </r>
    <r>
      <rPr>
        <sz val="8"/>
        <rFont val="Segoe UI"/>
        <family val="2"/>
      </rPr>
      <t xml:space="preserve"> ditambahkan dengan nilai koreksi.</t>
    </r>
  </si>
  <si>
    <t>Nilai Standar</t>
  </si>
  <si>
    <t>Standard Value</t>
  </si>
  <si>
    <t>TH-09</t>
  </si>
  <si>
    <t>TH-10</t>
  </si>
  <si>
    <t>TH-11</t>
  </si>
  <si>
    <t>TH-12</t>
  </si>
  <si>
    <t>TH-13</t>
  </si>
  <si>
    <t>PEMILIHAN STANDAR GAUGE BLOCK</t>
  </si>
  <si>
    <t>Beri tanda "x" pada gauge block yang dipilih</t>
  </si>
  <si>
    <t>Dev</t>
  </si>
  <si>
    <r>
      <t>(</t>
    </r>
    <r>
      <rPr>
        <sz val="10"/>
        <rFont val="Calibri"/>
        <family val="2"/>
      </rPr>
      <t>μ</t>
    </r>
    <r>
      <rPr>
        <sz val="10"/>
        <rFont val="Arial"/>
        <family val="2"/>
      </rPr>
      <t>m)</t>
    </r>
  </si>
  <si>
    <t>Actual</t>
  </si>
  <si>
    <t>LK-066-IDN</t>
  </si>
  <si>
    <t>Cal date</t>
  </si>
  <si>
    <t>Telusuran</t>
  </si>
  <si>
    <t>Kelas</t>
  </si>
  <si>
    <t>Remark</t>
  </si>
  <si>
    <t>GB khusus Micrometer</t>
  </si>
  <si>
    <t>GB Set 100 mm</t>
  </si>
  <si>
    <t>Laboratorium SNSU BSN</t>
  </si>
  <si>
    <t>Long GB</t>
  </si>
  <si>
    <t>KOLOM PENGISIAN</t>
  </si>
  <si>
    <t>SORTIR NILAI AKTUAL</t>
  </si>
  <si>
    <t>SORTIR NILAI KETIDAKPASTIAN STANDAR</t>
  </si>
  <si>
    <t>JUMLAH NILAI AKTUAL</t>
  </si>
  <si>
    <t>JUMLAH NILAI KETIDAKPASTIAN</t>
  </si>
  <si>
    <t>JUMLAH WRINGING</t>
  </si>
  <si>
    <t>SORTIR KETERTELUSURAN</t>
  </si>
  <si>
    <t>-</t>
  </si>
  <si>
    <t>x</t>
  </si>
  <si>
    <t>SUSUN KE BAWAH</t>
  </si>
  <si>
    <t>Title</t>
  </si>
  <si>
    <t>Mitutoyo, 516-106-10, S/N. 1103008</t>
  </si>
  <si>
    <t>Mitutoyo, 516-938-10, S/N. 1162776</t>
  </si>
  <si>
    <t>Mitutoyo, S/N. 110424</t>
  </si>
  <si>
    <t>Mitutoyo, S/N. 190035</t>
  </si>
  <si>
    <t>Mitutoyo, S/N. 110072</t>
  </si>
  <si>
    <t>SORTIR IDENTITAS STANDAR</t>
  </si>
  <si>
    <t>Titik Ukur Utama</t>
  </si>
  <si>
    <t>Nilai Aktual</t>
  </si>
  <si>
    <t>inch</t>
  </si>
  <si>
    <t>Satuan Kecil</t>
  </si>
  <si>
    <t>mil</t>
  </si>
  <si>
    <r>
      <rPr>
        <sz val="9"/>
        <rFont val="Calibri"/>
        <family val="2"/>
      </rPr>
      <t>μ</t>
    </r>
    <r>
      <rPr>
        <sz val="9"/>
        <rFont val="Arial"/>
        <family val="2"/>
      </rPr>
      <t>m</t>
    </r>
  </si>
  <si>
    <t>Konversi Satuan</t>
  </si>
  <si>
    <t>SATUAN</t>
  </si>
  <si>
    <t>&gt;&gt; ke pengolahan ketidakpastian</t>
  </si>
  <si>
    <t>Ukuran Balok Ukur Standar</t>
  </si>
  <si>
    <t>PENENTUAN NILAI KOREKSI UUT</t>
  </si>
  <si>
    <t>Standar</t>
  </si>
  <si>
    <t>Rata-rata UUT</t>
  </si>
  <si>
    <t>Koreksi UUT</t>
  </si>
  <si>
    <t>Pembulatan</t>
  </si>
  <si>
    <t>PENENTUAN HASIL UJI KERATAAN</t>
  </si>
  <si>
    <t xml:space="preserve">Anvil </t>
  </si>
  <si>
    <t>Re-desain halaman input dan standar</t>
  </si>
  <si>
    <t>Rudi</t>
  </si>
  <si>
    <t>Stick Bar</t>
  </si>
  <si>
    <t>Jika menggunakan stick bar</t>
  </si>
  <si>
    <t>Nominal stick bar</t>
  </si>
  <si>
    <t>Rentang Ukur</t>
  </si>
  <si>
    <t>0 = tanpa stick bar</t>
  </si>
  <si>
    <t>Resolusi</t>
  </si>
  <si>
    <t>Standar balok ukur</t>
  </si>
  <si>
    <r>
      <t xml:space="preserve">Perubahan terhadap suhu acuan 20 </t>
    </r>
    <r>
      <rPr>
        <sz val="10"/>
        <color theme="1"/>
        <rFont val="Calibri"/>
        <family val="2"/>
      </rPr>
      <t>°</t>
    </r>
    <r>
      <rPr>
        <sz val="10"/>
        <color theme="1"/>
        <rFont val="Arial"/>
        <family val="2"/>
      </rPr>
      <t>C</t>
    </r>
  </si>
  <si>
    <t>Koefisien muai thermal</t>
  </si>
  <si>
    <t>Lapisan Wringing</t>
  </si>
  <si>
    <r>
      <t>v</t>
    </r>
    <r>
      <rPr>
        <vertAlign val="subscript"/>
        <sz val="10"/>
        <rFont val="Arial"/>
        <family val="2"/>
      </rPr>
      <t>i</t>
    </r>
  </si>
  <si>
    <r>
      <t>(u</t>
    </r>
    <r>
      <rPr>
        <vertAlign val="subscript"/>
        <sz val="10"/>
        <rFont val="Arial"/>
        <family val="2"/>
      </rPr>
      <t>i.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4</t>
    </r>
    <r>
      <rPr>
        <sz val="10"/>
        <rFont val="Arial"/>
        <family val="2"/>
      </rPr>
      <t>/v</t>
    </r>
    <r>
      <rPr>
        <vertAlign val="subscript"/>
        <sz val="10"/>
        <rFont val="Arial"/>
        <family val="2"/>
      </rPr>
      <t>i</t>
    </r>
  </si>
  <si>
    <t>&gt;&gt; resolusi 0.01 mm pilih 10%</t>
  </si>
  <si>
    <t>PEMBAGI</t>
  </si>
  <si>
    <t>u RESOLUSI</t>
  </si>
  <si>
    <r>
      <rPr>
        <sz val="10"/>
        <color theme="1"/>
        <rFont val="Calibri"/>
        <family val="2"/>
      </rPr>
      <t>°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</si>
  <si>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Calibri"/>
        <family val="2"/>
      </rPr>
      <t>/°</t>
    </r>
    <r>
      <rPr>
        <sz val="10"/>
        <color theme="1"/>
        <rFont val="Arial"/>
        <family val="2"/>
      </rPr>
      <t>C</t>
    </r>
  </si>
  <si>
    <t>Outside</t>
  </si>
  <si>
    <t>Inside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</si>
  <si>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</si>
  <si>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</si>
  <si>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</si>
  <si>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Depth</t>
  </si>
  <si>
    <t>Jenis Alat</t>
  </si>
  <si>
    <t>JENIS ALAT</t>
  </si>
  <si>
    <t>U Akhir</t>
  </si>
  <si>
    <t>&gt;&gt; 2 angka penting</t>
  </si>
  <si>
    <t>Pembulatan:</t>
  </si>
  <si>
    <t>Flatness</t>
  </si>
  <si>
    <r>
      <rPr>
        <sz val="10"/>
        <rFont val="Calibri"/>
        <family val="2"/>
      </rPr>
      <t>°</t>
    </r>
    <r>
      <rPr>
        <sz val="10"/>
        <rFont val="Segoe UI"/>
        <family val="2"/>
      </rPr>
      <t>C</t>
    </r>
  </si>
  <si>
    <t>TARGET</t>
  </si>
  <si>
    <t>ACTUAL</t>
  </si>
  <si>
    <t>~</t>
  </si>
  <si>
    <t>Uji Kerataan Muka Ukur</t>
  </si>
  <si>
    <t>Uji Skala Nominal</t>
  </si>
  <si>
    <t>IK</t>
  </si>
  <si>
    <t>PAS-IK-1102-01</t>
  </si>
  <si>
    <t>PAS-IK-1102-06</t>
  </si>
  <si>
    <t>Review komponen ketidakpastian suhu</t>
  </si>
  <si>
    <t>Link</t>
  </si>
  <si>
    <t>Penambahan fitur pembulatan otomatis pada laporan kalibrasi</t>
  </si>
  <si>
    <t>JIS</t>
  </si>
  <si>
    <t>JIS B 7544 : 1994</t>
  </si>
  <si>
    <t>JIS B 7502:2016 (JMA/JSA); SNSU PK.P-01:2020.</t>
  </si>
  <si>
    <t>cek keseluruhan data</t>
  </si>
  <si>
    <t>19 Maret 2024</t>
  </si>
  <si>
    <t>Update nilai thermohygrometer</t>
  </si>
  <si>
    <t>11 Juli 2024</t>
  </si>
  <si>
    <t>Update Nilai Standar GB 0.5 ~ 100mm</t>
  </si>
  <si>
    <t>15 Oktober 2024</t>
  </si>
  <si>
    <t>18 Oktober 2024</t>
  </si>
  <si>
    <t>TH-14</t>
  </si>
  <si>
    <t>TH-15</t>
  </si>
  <si>
    <t>TH-16</t>
  </si>
  <si>
    <t>TH-17</t>
  </si>
  <si>
    <t>TH-18</t>
  </si>
  <si>
    <t>Tanggal Alat Masuk</t>
  </si>
  <si>
    <t>Tanggal Terbit</t>
  </si>
  <si>
    <t>TANGGAL ALAT MASUK</t>
  </si>
  <si>
    <t>Menambahkan kolom tanggal alat masuk</t>
  </si>
  <si>
    <t>No ID</t>
  </si>
  <si>
    <t>D.012</t>
  </si>
  <si>
    <t>D.013</t>
  </si>
  <si>
    <t>Update nilai CMC terbaru</t>
  </si>
  <si>
    <t>Update thermohygro TH-04, TH-06, TH-08, TH-11</t>
  </si>
  <si>
    <t>15 Mei 2025</t>
  </si>
  <si>
    <t>23 Mei 2025</t>
  </si>
  <si>
    <r>
      <rPr>
        <sz val="10"/>
        <rFont val="Calibri"/>
        <family val="2"/>
      </rPr>
      <t>↓</t>
    </r>
    <r>
      <rPr>
        <sz val="10"/>
        <rFont val="Arial"/>
        <family val="2"/>
      </rPr>
      <t xml:space="preserve"> Dari input data</t>
    </r>
  </si>
  <si>
    <r>
      <rPr>
        <sz val="10"/>
        <rFont val="Calibri"/>
        <family val="2"/>
      </rPr>
      <t>↓</t>
    </r>
    <r>
      <rPr>
        <sz val="10"/>
        <rFont val="Arial"/>
        <family val="2"/>
      </rPr>
      <t xml:space="preserve"> Hasil lookup</t>
    </r>
  </si>
  <si>
    <t>LK-150-IDN</t>
  </si>
  <si>
    <t>Update standar gauge block 150 dan 300 mm</t>
  </si>
  <si>
    <t>QRCode</t>
  </si>
  <si>
    <t>https://pascalibration.com/</t>
  </si>
  <si>
    <t>CodeAlat</t>
  </si>
  <si>
    <t>File Name</t>
  </si>
  <si>
    <t>QRCodeContent</t>
  </si>
  <si>
    <t>999999</t>
  </si>
  <si>
    <t>Merek</t>
  </si>
  <si>
    <t>Kode alat</t>
  </si>
  <si>
    <t>type alat</t>
  </si>
  <si>
    <t>No seri</t>
  </si>
  <si>
    <t>rentang ukur min</t>
  </si>
  <si>
    <t>rentang ukur max</t>
  </si>
  <si>
    <t>kapasitas</t>
  </si>
  <si>
    <t>resolusi</t>
  </si>
  <si>
    <t>nama pemilik</t>
  </si>
  <si>
    <t>tanggal alat masuk</t>
  </si>
  <si>
    <t>tanggal kalibrasi</t>
  </si>
  <si>
    <t>jenis pembacaan</t>
  </si>
  <si>
    <t>tempat kalibrasi</t>
  </si>
  <si>
    <t>lokasi PT</t>
  </si>
  <si>
    <t>Kondisi alat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</si>
  <si>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</si>
  <si>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</si>
  <si>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</si>
  <si>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</si>
  <si>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</si>
  <si>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</si>
  <si>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</si>
  <si>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</si>
  <si>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</si>
  <si>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</si>
  <si>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Metode kalibrasi</t>
  </si>
  <si>
    <t>Dikalibrasi oleh</t>
  </si>
  <si>
    <t>Diperiksa oleh</t>
  </si>
  <si>
    <t>id Calibration</t>
  </si>
  <si>
    <t>SILAHKAN KE SHEET INPUT DATA UNTUK MELAKUKAN EXTRACT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</si>
</sst>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(* #,##0_);_(* \(#,##0\);_(* &quot;-&quot;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0000"/>
    <numFmt numFmtId="168" formatCode="0.0"/>
    <numFmt numFmtId="169" formatCode="dd"/>
    <numFmt numFmtId="170" formatCode="[$-E97F0000]mmmm"/>
    <numFmt numFmtId="171" formatCode="[$-421]dd\ mmmm\ yyyy;@"/>
    <numFmt numFmtId="172" formatCode="#,##0.0"/>
    <numFmt numFmtId="173" formatCode="0.0000000"/>
    <numFmt numFmtId="174" formatCode="0.0E+00"/>
  </numFmts>
  <fonts count="7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i/>
      <sz val="10"/>
      <color theme="1"/>
      <name val="Arial"/>
      <family val="2"/>
    </font>
    <font>
      <b/>
      <sz val="11"/>
      <name val="Calibri"/>
      <family val="2"/>
    </font>
    <font>
      <b/>
      <sz val="11"/>
      <color rgb="FFFF0000"/>
      <name val="Arial"/>
      <family val="2"/>
    </font>
    <font>
      <b/>
      <vertAlign val="superscript"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rgb="FFFF0000"/>
      <name val="Segoe UI"/>
      <family val="2"/>
    </font>
    <font>
      <sz val="10"/>
      <name val="Segoe UI"/>
      <family val="2"/>
    </font>
    <font>
      <b/>
      <sz val="10"/>
      <name val="Segoe UI"/>
      <family val="2"/>
    </font>
    <font>
      <i/>
      <sz val="10"/>
      <name val="Segoe UI"/>
      <family val="2"/>
    </font>
    <font>
      <b/>
      <i/>
      <sz val="10"/>
      <name val="Segoe UI"/>
      <family val="2"/>
    </font>
    <font>
      <sz val="11"/>
      <color theme="1"/>
      <name val="Segoe UI"/>
      <family val="2"/>
    </font>
    <font>
      <i/>
      <sz val="9"/>
      <name val="Segoe UI"/>
      <family val="2"/>
    </font>
    <font>
      <sz val="10"/>
      <color theme="1"/>
      <name val="Segoe UI"/>
      <family val="2"/>
    </font>
    <font>
      <i/>
      <sz val="9"/>
      <color theme="1"/>
      <name val="Segoe UI"/>
      <family val="2"/>
    </font>
    <font>
      <sz val="10"/>
      <name val="Calibri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b/>
      <i/>
      <sz val="8"/>
      <name val="Segoe UI"/>
      <family val="2"/>
    </font>
    <font>
      <sz val="8"/>
      <name val="Segoe UI"/>
      <family val="2"/>
    </font>
    <font>
      <i/>
      <sz val="8"/>
      <name val="Segoe U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name val="Arial Narrow"/>
      <family val="2"/>
    </font>
    <font>
      <sz val="8"/>
      <name val="Arial Narrow"/>
      <family val="2"/>
    </font>
    <font>
      <sz val="9"/>
      <name val="Arial Narrow"/>
      <family val="2"/>
    </font>
    <font>
      <b/>
      <sz val="10"/>
      <name val="Arial Narrow"/>
      <family val="2"/>
    </font>
    <font>
      <sz val="8"/>
      <name val="Times New Roman"/>
      <family val="1"/>
    </font>
    <font>
      <sz val="8"/>
      <color rgb="FFFF0000"/>
      <name val="Times New Roman"/>
      <family val="1"/>
    </font>
    <font>
      <b/>
      <sz val="8"/>
      <color rgb="FF0070C0"/>
      <name val="Times New Roman"/>
      <family val="1"/>
    </font>
    <font>
      <sz val="9"/>
      <name val="Calibri"/>
      <family val="2"/>
    </font>
    <font>
      <b/>
      <sz val="10"/>
      <color rgb="FF0070C0"/>
      <name val="Arial"/>
      <family val="2"/>
    </font>
    <font>
      <sz val="10"/>
      <color theme="9" tint="-0.499984740745262"/>
      <name val="Arial"/>
      <family val="2"/>
    </font>
    <font>
      <sz val="10"/>
      <color theme="1"/>
      <name val="Calibri"/>
      <family val="2"/>
    </font>
    <font>
      <b/>
      <sz val="10"/>
      <color theme="1"/>
      <name val="Segoe UI"/>
      <family val="2"/>
    </font>
    <font>
      <b/>
      <sz val="10"/>
      <color rgb="FFFFFF00"/>
      <name val="Segoe UI"/>
      <family val="2"/>
    </font>
    <font>
      <i/>
      <sz val="10"/>
      <color rgb="FFFFFF00"/>
      <name val="Segoe UI"/>
      <family val="2"/>
    </font>
    <font>
      <sz val="10"/>
      <color rgb="FFFFFF00"/>
      <name val="Segoe UI"/>
      <family val="2"/>
    </font>
    <font>
      <b/>
      <sz val="8"/>
      <name val="Arial Narrow"/>
      <family val="2"/>
    </font>
    <font>
      <b/>
      <sz val="10"/>
      <color rgb="FFFFFF66"/>
      <name val="Segoe UI"/>
      <family val="2"/>
    </font>
    <font>
      <b/>
      <i/>
      <sz val="9"/>
      <color rgb="FFFFFF00"/>
      <name val="Segoe UI"/>
      <family val="2"/>
    </font>
    <font>
      <b/>
      <sz val="9"/>
      <name val="Segoe UI"/>
      <family val="2"/>
    </font>
    <font>
      <sz val="10"/>
      <name val="Arial"/>
      <family val="2"/>
      <charset val="1"/>
    </font>
    <font>
      <sz val="11"/>
      <color theme="1"/>
      <name val="Calibri"/>
      <family val="2"/>
      <charset val="1"/>
      <scheme val="minor"/>
    </font>
    <font>
      <u/>
      <sz val="10"/>
      <color theme="10"/>
      <name val="Arial"/>
      <family val="2"/>
    </font>
    <font>
      <i/>
      <sz val="5"/>
      <name val="Segoe UI"/>
      <family val="2"/>
    </font>
    <font>
      <sz val="6"/>
      <name val="Segoe UI"/>
      <family val="2"/>
    </font>
    <font>
      <sz val="11"/>
      <name val="Calibri"/>
      <family val="2"/>
      <scheme val="minor"/>
    </font>
    <font>
      <sz val="10"/>
      <color theme="2"/>
      <name val="Segoe UI"/>
      <family val="2"/>
    </font>
    <font>
      <sz val="12"/>
      <name val="Arial"/>
      <family val="2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839">
    <xf numFmtId="0" fontId="0" fillId="0" borderId="0"/>
    <xf numFmtId="0" fontId="13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4" fontId="13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4" fillId="0" borderId="0"/>
    <xf numFmtId="0" fontId="1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9" fontId="13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1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41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41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41" fontId="2" fillId="0" borderId="0" applyFont="0" applyFill="0" applyBorder="0" applyAlignment="0" applyProtection="0"/>
    <xf numFmtId="0" fontId="2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9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7" fillId="0" borderId="0"/>
    <xf numFmtId="0" fontId="2" fillId="0" borderId="0"/>
    <xf numFmtId="43" fontId="6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2" fillId="0" borderId="0"/>
    <xf numFmtId="165" fontId="6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3" fillId="0" borderId="0"/>
    <xf numFmtId="41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7" fillId="0" borderId="0"/>
    <xf numFmtId="164" fontId="13" fillId="0" borderId="0" applyFont="0" applyFill="0" applyBorder="0" applyAlignment="0" applyProtection="0"/>
    <xf numFmtId="0" fontId="1" fillId="0" borderId="0"/>
    <xf numFmtId="165" fontId="6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7" fillId="0" borderId="0"/>
    <xf numFmtId="0" fontId="1" fillId="0" borderId="0"/>
    <xf numFmtId="165" fontId="6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0" fontId="1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" fillId="0" borderId="0"/>
    <xf numFmtId="164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164" fontId="13" fillId="0" borderId="0" applyFont="0" applyFill="0" applyBorder="0" applyAlignment="0" applyProtection="0"/>
    <xf numFmtId="0" fontId="13" fillId="0" borderId="0"/>
    <xf numFmtId="0" fontId="1" fillId="0" borderId="0"/>
    <xf numFmtId="165" fontId="6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165" fontId="13" fillId="0" borderId="0" applyFont="0" applyFill="0" applyBorder="0" applyAlignment="0" applyProtection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165" fontId="67" fillId="0" borderId="0" applyFont="0" applyFill="0" applyBorder="0" applyAlignment="0" applyProtection="0"/>
    <xf numFmtId="0" fontId="13" fillId="0" borderId="0"/>
    <xf numFmtId="165" fontId="13" fillId="0" borderId="0" applyFont="0" applyFill="0" applyBorder="0" applyAlignment="0" applyProtection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8" fillId="0" borderId="0" applyNumberFormat="0" applyFill="0" applyBorder="0" applyAlignment="0" applyProtection="0"/>
  </cellStyleXfs>
  <cellXfs count="471">
    <xf numFmtId="0" fontId="0" fillId="0" borderId="0" xfId="0"/>
    <xf numFmtId="0" fontId="0" fillId="0" borderId="0" xfId="0" applyAlignment="1">
      <alignment vertical="center"/>
    </xf>
    <xf numFmtId="0" fontId="12" fillId="5" borderId="1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19" fillId="0" borderId="2" xfId="0" applyFont="1" applyBorder="1"/>
    <xf numFmtId="0" fontId="18" fillId="0" borderId="2" xfId="0" applyFont="1" applyBorder="1"/>
    <xf numFmtId="0" fontId="18" fillId="2" borderId="1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3" fillId="0" borderId="4" xfId="0" applyFont="1" applyBorder="1"/>
    <xf numFmtId="0" fontId="23" fillId="0" borderId="2" xfId="0" applyFont="1" applyBorder="1"/>
    <xf numFmtId="0" fontId="23" fillId="0" borderId="3" xfId="0" applyFont="1" applyBorder="1"/>
    <xf numFmtId="0" fontId="0" fillId="0" borderId="1" xfId="0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0" fillId="0" borderId="1" xfId="0" applyBorder="1"/>
    <xf numFmtId="168" fontId="0" fillId="0" borderId="1" xfId="0" applyNumberFormat="1" applyBorder="1" applyAlignment="1">
      <alignment horizontal="center"/>
    </xf>
    <xf numFmtId="169" fontId="0" fillId="0" borderId="0" xfId="0" applyNumberFormat="1" applyAlignment="1">
      <alignment vertical="center"/>
    </xf>
    <xf numFmtId="0" fontId="12" fillId="0" borderId="0" xfId="0" applyFont="1" applyAlignment="1">
      <alignment horizontal="center" vertical="center"/>
    </xf>
    <xf numFmtId="169" fontId="12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9" fontId="0" fillId="0" borderId="2" xfId="0" applyNumberFormat="1" applyBorder="1" applyAlignment="1">
      <alignment vertical="center"/>
    </xf>
    <xf numFmtId="0" fontId="12" fillId="6" borderId="9" xfId="0" applyFont="1" applyFill="1" applyBorder="1" applyAlignment="1">
      <alignment horizontal="center" vertical="center"/>
    </xf>
    <xf numFmtId="169" fontId="12" fillId="5" borderId="2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vertical="center"/>
    </xf>
    <xf numFmtId="0" fontId="12" fillId="6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168" fontId="12" fillId="6" borderId="1" xfId="0" applyNumberFormat="1" applyFont="1" applyFill="1" applyBorder="1" applyAlignment="1">
      <alignment horizontal="center" vertical="center"/>
    </xf>
    <xf numFmtId="168" fontId="12" fillId="5" borderId="1" xfId="0" applyNumberFormat="1" applyFont="1" applyFill="1" applyBorder="1" applyAlignment="1">
      <alignment horizontal="center" vertical="center"/>
    </xf>
    <xf numFmtId="168" fontId="24" fillId="4" borderId="1" xfId="0" applyNumberFormat="1" applyFont="1" applyFill="1" applyBorder="1" applyAlignment="1">
      <alignment horizontal="center" vertical="center"/>
    </xf>
    <xf numFmtId="168" fontId="12" fillId="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/>
    </xf>
    <xf numFmtId="0" fontId="12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2" fillId="0" borderId="0" xfId="0" applyNumberFormat="1" applyFont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29" fillId="0" borderId="0" xfId="2" applyFont="1" applyAlignment="1">
      <alignment vertical="center"/>
    </xf>
    <xf numFmtId="0" fontId="30" fillId="0" borderId="0" xfId="2" applyFont="1" applyAlignment="1">
      <alignment vertical="center"/>
    </xf>
    <xf numFmtId="0" fontId="29" fillId="0" borderId="0" xfId="2" applyFont="1" applyAlignment="1">
      <alignment horizontal="right" vertical="center"/>
    </xf>
    <xf numFmtId="0" fontId="31" fillId="0" borderId="0" xfId="2" applyFont="1" applyAlignment="1">
      <alignment vertical="center"/>
    </xf>
    <xf numFmtId="0" fontId="31" fillId="0" borderId="0" xfId="2" applyFont="1" applyAlignment="1">
      <alignment horizontal="right" vertical="center"/>
    </xf>
    <xf numFmtId="0" fontId="32" fillId="0" borderId="0" xfId="2" applyFont="1" applyAlignment="1">
      <alignment horizontal="center" vertical="center"/>
    </xf>
    <xf numFmtId="0" fontId="31" fillId="0" borderId="0" xfId="2" applyFont="1" applyAlignment="1">
      <alignment horizontal="left" vertical="center"/>
    </xf>
    <xf numFmtId="0" fontId="29" fillId="0" borderId="0" xfId="2" applyFont="1" applyAlignment="1">
      <alignment horizontal="left" vertical="center"/>
    </xf>
    <xf numFmtId="0" fontId="30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0" fontId="29" fillId="0" borderId="10" xfId="2" applyFont="1" applyBorder="1" applyAlignment="1">
      <alignment vertical="center"/>
    </xf>
    <xf numFmtId="168" fontId="29" fillId="0" borderId="0" xfId="2" applyNumberFormat="1" applyFont="1" applyAlignment="1">
      <alignment horizontal="center" vertical="center"/>
    </xf>
    <xf numFmtId="168" fontId="29" fillId="0" borderId="0" xfId="2" applyNumberFormat="1" applyFont="1" applyAlignment="1">
      <alignment vertical="center"/>
    </xf>
    <xf numFmtId="0" fontId="29" fillId="0" borderId="11" xfId="2" applyFont="1" applyBorder="1" applyAlignment="1">
      <alignment vertical="center"/>
    </xf>
    <xf numFmtId="0" fontId="29" fillId="0" borderId="6" xfId="2" applyFont="1" applyBorder="1" applyAlignment="1">
      <alignment vertical="center"/>
    </xf>
    <xf numFmtId="0" fontId="29" fillId="0" borderId="5" xfId="2" applyFont="1" applyBorder="1" applyAlignment="1">
      <alignment horizontal="center" vertical="center"/>
    </xf>
    <xf numFmtId="168" fontId="29" fillId="0" borderId="5" xfId="2" applyNumberFormat="1" applyFont="1" applyBorder="1" applyAlignment="1">
      <alignment horizontal="center" vertical="center"/>
    </xf>
    <xf numFmtId="168" fontId="29" fillId="0" borderId="5" xfId="2" applyNumberFormat="1" applyFont="1" applyBorder="1" applyAlignment="1">
      <alignment vertical="center"/>
    </xf>
    <xf numFmtId="0" fontId="29" fillId="0" borderId="7" xfId="2" applyFont="1" applyBorder="1" applyAlignment="1">
      <alignment vertical="center"/>
    </xf>
    <xf numFmtId="0" fontId="34" fillId="0" borderId="0" xfId="2" applyFont="1" applyAlignment="1">
      <alignment horizontal="left" vertical="center"/>
    </xf>
    <xf numFmtId="0" fontId="35" fillId="0" borderId="0" xfId="2" applyFont="1"/>
    <xf numFmtId="0" fontId="36" fillId="0" borderId="0" xfId="2" applyFont="1"/>
    <xf numFmtId="0" fontId="34" fillId="0" borderId="0" xfId="2" applyFont="1" applyAlignment="1">
      <alignment vertical="center"/>
    </xf>
    <xf numFmtId="0" fontId="30" fillId="0" borderId="0" xfId="2" applyFont="1" applyAlignment="1">
      <alignment horizontal="left" vertical="center"/>
    </xf>
    <xf numFmtId="0" fontId="33" fillId="0" borderId="0" xfId="2" applyFont="1" applyAlignment="1">
      <alignment horizontal="center" vertical="center"/>
    </xf>
    <xf numFmtId="0" fontId="29" fillId="0" borderId="0" xfId="0" applyFont="1"/>
    <xf numFmtId="0" fontId="34" fillId="0" borderId="0" xfId="0" applyFont="1"/>
    <xf numFmtId="0" fontId="34" fillId="0" borderId="0" xfId="2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5" fillId="0" borderId="0" xfId="2" applyFont="1" applyAlignment="1">
      <alignment horizontal="center" vertical="center"/>
    </xf>
    <xf numFmtId="0" fontId="38" fillId="0" borderId="0" xfId="1" applyFont="1" applyAlignment="1">
      <alignment vertical="center"/>
    </xf>
    <xf numFmtId="0" fontId="12" fillId="5" borderId="1" xfId="1" applyFont="1" applyFill="1" applyBorder="1" applyAlignment="1">
      <alignment vertical="center"/>
    </xf>
    <xf numFmtId="0" fontId="12" fillId="0" borderId="0" xfId="1" applyFont="1" applyAlignment="1">
      <alignment vertical="center"/>
    </xf>
    <xf numFmtId="0" fontId="12" fillId="5" borderId="4" xfId="1" applyFont="1" applyFill="1" applyBorder="1" applyAlignment="1">
      <alignment vertical="center"/>
    </xf>
    <xf numFmtId="0" fontId="12" fillId="5" borderId="3" xfId="1" applyFont="1" applyFill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13" fillId="0" borderId="0" xfId="1" applyAlignment="1">
      <alignment vertical="center"/>
    </xf>
    <xf numFmtId="0" fontId="12" fillId="5" borderId="1" xfId="1" applyFont="1" applyFill="1" applyBorder="1" applyAlignment="1">
      <alignment horizontal="center" vertical="center" wrapText="1"/>
    </xf>
    <xf numFmtId="0" fontId="12" fillId="0" borderId="0" xfId="1" applyFont="1" applyAlignment="1">
      <alignment horizontal="center" vertical="center" wrapText="1"/>
    </xf>
    <xf numFmtId="168" fontId="13" fillId="0" borderId="1" xfId="1" applyNumberFormat="1" applyBorder="1" applyAlignment="1">
      <alignment horizontal="center" vertical="center"/>
    </xf>
    <xf numFmtId="168" fontId="13" fillId="0" borderId="0" xfId="1" applyNumberFormat="1" applyAlignment="1">
      <alignment horizontal="center" vertical="center"/>
    </xf>
    <xf numFmtId="168" fontId="12" fillId="5" borderId="1" xfId="1" applyNumberFormat="1" applyFont="1" applyFill="1" applyBorder="1" applyAlignment="1">
      <alignment horizontal="center" vertical="center"/>
    </xf>
    <xf numFmtId="168" fontId="13" fillId="7" borderId="0" xfId="1" applyNumberFormat="1" applyFill="1" applyAlignment="1">
      <alignment horizontal="center" vertical="center"/>
    </xf>
    <xf numFmtId="0" fontId="13" fillId="7" borderId="0" xfId="1" applyFill="1" applyAlignment="1">
      <alignment vertical="center"/>
    </xf>
    <xf numFmtId="168" fontId="13" fillId="0" borderId="0" xfId="1" applyNumberFormat="1" applyAlignment="1">
      <alignment vertical="center"/>
    </xf>
    <xf numFmtId="0" fontId="12" fillId="5" borderId="23" xfId="1" applyFont="1" applyFill="1" applyBorder="1" applyAlignment="1">
      <alignment horizontal="center" vertical="center"/>
    </xf>
    <xf numFmtId="0" fontId="12" fillId="5" borderId="24" xfId="1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5" borderId="14" xfId="1" applyFont="1" applyFill="1" applyBorder="1" applyAlignment="1">
      <alignment horizontal="center" vertical="center"/>
    </xf>
    <xf numFmtId="0" fontId="12" fillId="5" borderId="26" xfId="1" applyFont="1" applyFill="1" applyBorder="1" applyAlignment="1">
      <alignment horizontal="center" vertical="center"/>
    </xf>
    <xf numFmtId="0" fontId="13" fillId="0" borderId="27" xfId="1" applyBorder="1" applyAlignment="1">
      <alignment horizontal="center" vertical="center"/>
    </xf>
    <xf numFmtId="168" fontId="13" fillId="0" borderId="28" xfId="1" applyNumberFormat="1" applyBorder="1" applyAlignment="1">
      <alignment horizontal="center" vertical="center"/>
    </xf>
    <xf numFmtId="0" fontId="13" fillId="0" borderId="0" xfId="1" applyAlignment="1">
      <alignment horizontal="center" vertical="center"/>
    </xf>
    <xf numFmtId="0" fontId="12" fillId="0" borderId="29" xfId="1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3" fillId="0" borderId="4" xfId="1" applyBorder="1" applyAlignment="1">
      <alignment vertical="center"/>
    </xf>
    <xf numFmtId="0" fontId="13" fillId="0" borderId="2" xfId="1" applyBorder="1" applyAlignment="1">
      <alignment vertical="center"/>
    </xf>
    <xf numFmtId="169" fontId="13" fillId="0" borderId="2" xfId="1" applyNumberFormat="1" applyBorder="1" applyAlignment="1">
      <alignment vertical="center"/>
    </xf>
    <xf numFmtId="0" fontId="12" fillId="0" borderId="3" xfId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0" fillId="0" borderId="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49" fontId="39" fillId="0" borderId="1" xfId="0" quotePrefix="1" applyNumberFormat="1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9" fillId="0" borderId="1" xfId="0" quotePrefix="1" applyFont="1" applyBorder="1" applyAlignment="1">
      <alignment horizontal="center" vertical="center"/>
    </xf>
    <xf numFmtId="49" fontId="12" fillId="6" borderId="8" xfId="0" applyNumberFormat="1" applyFont="1" applyFill="1" applyBorder="1" applyAlignment="1">
      <alignment horizontal="center" vertical="center"/>
    </xf>
    <xf numFmtId="49" fontId="12" fillId="6" borderId="4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43" fillId="0" borderId="0" xfId="0" applyFont="1"/>
    <xf numFmtId="0" fontId="44" fillId="0" borderId="0" xfId="0" applyFont="1" applyAlignment="1">
      <alignment vertical="center"/>
    </xf>
    <xf numFmtId="168" fontId="0" fillId="0" borderId="1" xfId="1" applyNumberFormat="1" applyFont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36" fillId="0" borderId="0" xfId="2" applyFont="1" applyAlignment="1">
      <alignment vertical="center"/>
    </xf>
    <xf numFmtId="2" fontId="13" fillId="0" borderId="0" xfId="1" applyNumberFormat="1" applyAlignment="1">
      <alignment horizontal="center" vertical="center"/>
    </xf>
    <xf numFmtId="168" fontId="12" fillId="0" borderId="0" xfId="1" applyNumberFormat="1" applyFont="1" applyAlignment="1">
      <alignment horizontal="center" vertical="center"/>
    </xf>
    <xf numFmtId="168" fontId="12" fillId="8" borderId="1" xfId="1" applyNumberFormat="1" applyFont="1" applyFill="1" applyBorder="1" applyAlignment="1">
      <alignment horizontal="center" vertical="center"/>
    </xf>
    <xf numFmtId="168" fontId="12" fillId="6" borderId="1" xfId="1" applyNumberFormat="1" applyFont="1" applyFill="1" applyBorder="1" applyAlignment="1">
      <alignment horizontal="center" vertical="center"/>
    </xf>
    <xf numFmtId="168" fontId="12" fillId="9" borderId="1" xfId="1" applyNumberFormat="1" applyFont="1" applyFill="1" applyBorder="1" applyAlignment="1">
      <alignment horizontal="center" vertical="center"/>
    </xf>
    <xf numFmtId="168" fontId="12" fillId="10" borderId="1" xfId="1" applyNumberFormat="1" applyFont="1" applyFill="1" applyBorder="1" applyAlignment="1">
      <alignment horizontal="center" vertical="center"/>
    </xf>
    <xf numFmtId="168" fontId="45" fillId="11" borderId="16" xfId="1" applyNumberFormat="1" applyFont="1" applyFill="1" applyBorder="1" applyAlignment="1">
      <alignment horizontal="center" vertical="center"/>
    </xf>
    <xf numFmtId="0" fontId="0" fillId="0" borderId="0" xfId="1" applyFont="1" applyAlignment="1">
      <alignment vertical="center"/>
    </xf>
    <xf numFmtId="168" fontId="12" fillId="12" borderId="30" xfId="1" applyNumberFormat="1" applyFont="1" applyFill="1" applyBorder="1" applyAlignment="1">
      <alignment horizontal="center" vertical="center"/>
    </xf>
    <xf numFmtId="168" fontId="12" fillId="12" borderId="31" xfId="1" applyNumberFormat="1" applyFont="1" applyFill="1" applyBorder="1" applyAlignment="1">
      <alignment horizontal="center" vertical="center"/>
    </xf>
    <xf numFmtId="168" fontId="13" fillId="4" borderId="17" xfId="1" applyNumberFormat="1" applyFill="1" applyBorder="1" applyAlignment="1">
      <alignment horizontal="center" vertical="center"/>
    </xf>
    <xf numFmtId="0" fontId="39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29" fillId="0" borderId="0" xfId="2" applyNumberFormat="1" applyFont="1" applyAlignment="1">
      <alignment vertical="center"/>
    </xf>
    <xf numFmtId="0" fontId="0" fillId="0" borderId="1" xfId="0" applyBorder="1" applyAlignment="1">
      <alignment horizontal="left"/>
    </xf>
    <xf numFmtId="168" fontId="13" fillId="0" borderId="13" xfId="1" applyNumberFormat="1" applyBorder="1" applyAlignment="1">
      <alignment horizontal="center" vertical="center"/>
    </xf>
    <xf numFmtId="168" fontId="13" fillId="0" borderId="14" xfId="1" applyNumberFormat="1" applyBorder="1" applyAlignment="1">
      <alignment horizontal="center" vertical="center"/>
    </xf>
    <xf numFmtId="168" fontId="13" fillId="0" borderId="12" xfId="1" applyNumberFormat="1" applyBorder="1" applyAlignment="1">
      <alignment vertical="center"/>
    </xf>
    <xf numFmtId="172" fontId="13" fillId="0" borderId="1" xfId="1" applyNumberFormat="1" applyBorder="1" applyAlignment="1">
      <alignment horizontal="center" vertical="center"/>
    </xf>
    <xf numFmtId="2" fontId="13" fillId="0" borderId="0" xfId="1" applyNumberFormat="1" applyAlignment="1">
      <alignment vertical="center"/>
    </xf>
    <xf numFmtId="2" fontId="13" fillId="0" borderId="12" xfId="1" applyNumberFormat="1" applyBorder="1" applyAlignment="1">
      <alignment vertical="center"/>
    </xf>
    <xf numFmtId="168" fontId="46" fillId="11" borderId="1" xfId="1" applyNumberFormat="1" applyFont="1" applyFill="1" applyBorder="1" applyAlignment="1">
      <alignment horizontal="center" vertical="center"/>
    </xf>
    <xf numFmtId="168" fontId="12" fillId="0" borderId="1" xfId="1" applyNumberFormat="1" applyFont="1" applyBorder="1" applyAlignment="1">
      <alignment horizontal="center" vertical="center"/>
    </xf>
    <xf numFmtId="164" fontId="12" fillId="0" borderId="0" xfId="8" applyFont="1" applyFill="1" applyBorder="1" applyAlignment="1">
      <alignment horizontal="center" vertical="center"/>
    </xf>
    <xf numFmtId="164" fontId="13" fillId="0" borderId="0" xfId="8" applyFill="1" applyAlignment="1">
      <alignment vertical="center"/>
    </xf>
    <xf numFmtId="164" fontId="13" fillId="0" borderId="0" xfId="8" applyAlignment="1">
      <alignment vertical="center"/>
    </xf>
    <xf numFmtId="167" fontId="12" fillId="5" borderId="1" xfId="0" applyNumberFormat="1" applyFont="1" applyFill="1" applyBorder="1" applyAlignment="1">
      <alignment horizontal="center" vertical="center"/>
    </xf>
    <xf numFmtId="167" fontId="0" fillId="5" borderId="1" xfId="0" applyNumberForma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2" fillId="0" borderId="0" xfId="0" applyFont="1"/>
    <xf numFmtId="2" fontId="0" fillId="0" borderId="0" xfId="0" applyNumberFormat="1"/>
    <xf numFmtId="168" fontId="0" fillId="0" borderId="0" xfId="0" applyNumberFormat="1"/>
    <xf numFmtId="168" fontId="0" fillId="0" borderId="1" xfId="0" applyNumberFormat="1" applyBorder="1"/>
    <xf numFmtId="2" fontId="0" fillId="0" borderId="1" xfId="0" applyNumberFormat="1" applyBorder="1"/>
    <xf numFmtId="0" fontId="47" fillId="0" borderId="0" xfId="0" applyFont="1"/>
    <xf numFmtId="0" fontId="47" fillId="0" borderId="1" xfId="0" applyFont="1" applyBorder="1"/>
    <xf numFmtId="0" fontId="49" fillId="13" borderId="1" xfId="0" applyFont="1" applyFill="1" applyBorder="1"/>
    <xf numFmtId="0" fontId="0" fillId="13" borderId="1" xfId="0" applyFill="1" applyBorder="1"/>
    <xf numFmtId="1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7" fontId="0" fillId="13" borderId="1" xfId="0" applyNumberFormat="1" applyFill="1" applyBorder="1"/>
    <xf numFmtId="0" fontId="48" fillId="14" borderId="1" xfId="0" applyFont="1" applyFill="1" applyBorder="1"/>
    <xf numFmtId="0" fontId="0" fillId="14" borderId="1" xfId="0" applyFill="1" applyBorder="1"/>
    <xf numFmtId="168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7" fontId="0" fillId="14" borderId="1" xfId="0" applyNumberFormat="1" applyFill="1" applyBorder="1"/>
    <xf numFmtId="171" fontId="0" fillId="14" borderId="1" xfId="0" applyNumberFormat="1" applyFill="1" applyBorder="1"/>
    <xf numFmtId="2" fontId="0" fillId="13" borderId="1" xfId="0" applyNumberFormat="1" applyFill="1" applyBorder="1" applyAlignment="1">
      <alignment horizontal="center" vertical="center"/>
    </xf>
    <xf numFmtId="168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0" fontId="49" fillId="15" borderId="1" xfId="0" applyFont="1" applyFill="1" applyBorder="1"/>
    <xf numFmtId="0" fontId="0" fillId="15" borderId="1" xfId="0" applyFill="1" applyBorder="1"/>
    <xf numFmtId="1" fontId="0" fillId="15" borderId="1" xfId="0" applyNumberFormat="1" applyFill="1" applyBorder="1" applyAlignment="1">
      <alignment horizontal="center"/>
    </xf>
    <xf numFmtId="2" fontId="0" fillId="15" borderId="1" xfId="0" applyNumberFormat="1" applyFill="1" applyBorder="1"/>
    <xf numFmtId="167" fontId="0" fillId="15" borderId="1" xfId="0" applyNumberFormat="1" applyFill="1" applyBorder="1"/>
    <xf numFmtId="171" fontId="0" fillId="15" borderId="1" xfId="0" applyNumberFormat="1" applyFill="1" applyBorder="1"/>
    <xf numFmtId="0" fontId="48" fillId="15" borderId="1" xfId="0" applyFont="1" applyFill="1" applyBorder="1"/>
    <xf numFmtId="168" fontId="50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51" fillId="0" borderId="1" xfId="0" applyFont="1" applyBorder="1" applyAlignment="1" applyProtection="1">
      <alignment horizontal="left"/>
      <protection locked="0"/>
    </xf>
    <xf numFmtId="0" fontId="51" fillId="0" borderId="1" xfId="0" applyFont="1" applyBorder="1" applyAlignment="1" applyProtection="1">
      <alignment horizontal="center"/>
      <protection locked="0"/>
    </xf>
    <xf numFmtId="0" fontId="51" fillId="0" borderId="0" xfId="0" applyFont="1" applyAlignment="1" applyProtection="1">
      <alignment horizontal="left"/>
      <protection locked="0"/>
    </xf>
    <xf numFmtId="0" fontId="51" fillId="0" borderId="0" xfId="0" applyFont="1" applyAlignment="1" applyProtection="1">
      <alignment horizont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0" fontId="53" fillId="0" borderId="1" xfId="0" applyFont="1" applyBorder="1" applyAlignment="1" applyProtection="1">
      <alignment horizontal="left"/>
      <protection locked="0"/>
    </xf>
    <xf numFmtId="0" fontId="48" fillId="13" borderId="1" xfId="0" applyFont="1" applyFill="1" applyBorder="1"/>
    <xf numFmtId="0" fontId="31" fillId="0" borderId="0" xfId="2" applyFont="1" applyAlignment="1">
      <alignment vertical="top"/>
    </xf>
    <xf numFmtId="0" fontId="40" fillId="0" borderId="1" xfId="0" applyFont="1" applyBorder="1" applyAlignment="1">
      <alignment horizontal="center" vertical="center" wrapText="1"/>
    </xf>
    <xf numFmtId="9" fontId="39" fillId="0" borderId="4" xfId="0" applyNumberFormat="1" applyFont="1" applyBorder="1" applyAlignment="1">
      <alignment horizontal="center" vertical="center"/>
    </xf>
    <xf numFmtId="0" fontId="39" fillId="16" borderId="4" xfId="0" applyFont="1" applyFill="1" applyBorder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9" fontId="39" fillId="14" borderId="4" xfId="46" applyFont="1" applyFill="1" applyBorder="1" applyAlignment="1">
      <alignment horizontal="center" vertical="center"/>
    </xf>
    <xf numFmtId="0" fontId="39" fillId="14" borderId="1" xfId="0" applyFont="1" applyFill="1" applyBorder="1" applyAlignment="1">
      <alignment horizontal="center" vertical="center"/>
    </xf>
    <xf numFmtId="0" fontId="55" fillId="5" borderId="1" xfId="0" applyFont="1" applyFill="1" applyBorder="1" applyAlignment="1">
      <alignment horizontal="center" vertical="center"/>
    </xf>
    <xf numFmtId="2" fontId="55" fillId="0" borderId="0" xfId="0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2" fontId="56" fillId="0" borderId="0" xfId="0" applyNumberFormat="1" applyFont="1" applyAlignment="1">
      <alignment vertical="center"/>
    </xf>
    <xf numFmtId="2" fontId="55" fillId="5" borderId="1" xfId="0" applyNumberFormat="1" applyFont="1" applyFill="1" applyBorder="1" applyAlignment="1">
      <alignment horizontal="center" vertical="center"/>
    </xf>
    <xf numFmtId="167" fontId="56" fillId="5" borderId="1" xfId="0" applyNumberFormat="1" applyFont="1" applyFill="1" applyBorder="1" applyAlignment="1">
      <alignment horizontal="center" vertical="center"/>
    </xf>
    <xf numFmtId="0" fontId="12" fillId="5" borderId="0" xfId="0" applyFont="1" applyFill="1"/>
    <xf numFmtId="0" fontId="50" fillId="5" borderId="0" xfId="0" applyFont="1" applyFill="1"/>
    <xf numFmtId="0" fontId="0" fillId="5" borderId="0" xfId="0" applyFill="1"/>
    <xf numFmtId="0" fontId="47" fillId="5" borderId="0" xfId="0" applyFont="1" applyFill="1"/>
    <xf numFmtId="0" fontId="12" fillId="17" borderId="1" xfId="0" applyFon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2" fontId="50" fillId="17" borderId="1" xfId="0" applyNumberFormat="1" applyFont="1" applyFill="1" applyBorder="1" applyAlignment="1">
      <alignment horizontal="center"/>
    </xf>
    <xf numFmtId="171" fontId="0" fillId="0" borderId="1" xfId="0" applyNumberFormat="1" applyBorder="1" applyAlignment="1">
      <alignment horizontal="center" vertical="center"/>
    </xf>
    <xf numFmtId="0" fontId="0" fillId="18" borderId="1" xfId="0" applyFill="1" applyBorder="1"/>
    <xf numFmtId="0" fontId="47" fillId="18" borderId="1" xfId="0" applyFont="1" applyFill="1" applyBorder="1"/>
    <xf numFmtId="168" fontId="0" fillId="18" borderId="1" xfId="0" applyNumberFormat="1" applyFill="1" applyBorder="1" applyAlignment="1">
      <alignment horizontal="center"/>
    </xf>
    <xf numFmtId="2" fontId="0" fillId="18" borderId="1" xfId="0" applyNumberFormat="1" applyFill="1" applyBorder="1" applyAlignment="1">
      <alignment horizontal="right"/>
    </xf>
    <xf numFmtId="167" fontId="0" fillId="18" borderId="1" xfId="0" applyNumberFormat="1" applyFill="1" applyBorder="1"/>
    <xf numFmtId="2" fontId="0" fillId="18" borderId="1" xfId="0" applyNumberFormat="1" applyFill="1" applyBorder="1"/>
    <xf numFmtId="0" fontId="39" fillId="16" borderId="1" xfId="0" applyFont="1" applyFill="1" applyBorder="1" applyAlignment="1">
      <alignment horizontal="center" vertical="center"/>
    </xf>
    <xf numFmtId="173" fontId="18" fillId="0" borderId="1" xfId="0" applyNumberFormat="1" applyFont="1" applyBorder="1" applyAlignment="1">
      <alignment horizontal="center"/>
    </xf>
    <xf numFmtId="2" fontId="18" fillId="0" borderId="1" xfId="0" applyNumberFormat="1" applyFont="1" applyBorder="1"/>
    <xf numFmtId="166" fontId="18" fillId="0" borderId="1" xfId="0" applyNumberFormat="1" applyFont="1" applyBorder="1"/>
    <xf numFmtId="166" fontId="18" fillId="3" borderId="1" xfId="0" applyNumberFormat="1" applyFont="1" applyFill="1" applyBorder="1"/>
    <xf numFmtId="166" fontId="0" fillId="0" borderId="0" xfId="0" applyNumberFormat="1"/>
    <xf numFmtId="0" fontId="0" fillId="2" borderId="1" xfId="0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/>
    </xf>
    <xf numFmtId="2" fontId="18" fillId="9" borderId="1" xfId="0" applyNumberFormat="1" applyFont="1" applyFill="1" applyBorder="1" applyAlignment="1">
      <alignment horizontal="center"/>
    </xf>
    <xf numFmtId="166" fontId="18" fillId="9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3" fontId="18" fillId="9" borderId="1" xfId="0" applyNumberFormat="1" applyFont="1" applyFill="1" applyBorder="1" applyAlignment="1">
      <alignment horizontal="center"/>
    </xf>
    <xf numFmtId="174" fontId="18" fillId="9" borderId="1" xfId="0" applyNumberFormat="1" applyFont="1" applyFill="1" applyBorder="1" applyAlignment="1">
      <alignment horizontal="center"/>
    </xf>
    <xf numFmtId="1" fontId="18" fillId="9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18" fillId="0" borderId="1" xfId="0" applyNumberFormat="1" applyFont="1" applyBorder="1"/>
    <xf numFmtId="1" fontId="0" fillId="9" borderId="1" xfId="0" applyNumberFormat="1" applyFill="1" applyBorder="1"/>
    <xf numFmtId="0" fontId="0" fillId="16" borderId="1" xfId="0" applyFill="1" applyBorder="1" applyAlignment="1">
      <alignment horizontal="center"/>
    </xf>
    <xf numFmtId="0" fontId="12" fillId="0" borderId="1" xfId="0" applyFont="1" applyBorder="1"/>
    <xf numFmtId="0" fontId="58" fillId="0" borderId="0" xfId="2" applyFont="1" applyAlignment="1">
      <alignment horizontal="center" vertical="center"/>
    </xf>
    <xf numFmtId="0" fontId="59" fillId="0" borderId="0" xfId="2" applyFont="1" applyAlignment="1">
      <alignment horizontal="left" vertical="center"/>
    </xf>
    <xf numFmtId="0" fontId="60" fillId="0" borderId="0" xfId="2" applyFont="1" applyAlignment="1">
      <alignment horizontal="center" vertical="center"/>
    </xf>
    <xf numFmtId="0" fontId="59" fillId="0" borderId="0" xfId="2" applyFont="1" applyAlignment="1">
      <alignment vertical="center"/>
    </xf>
    <xf numFmtId="2" fontId="0" fillId="10" borderId="1" xfId="0" applyNumberFormat="1" applyFill="1" applyBorder="1" applyAlignment="1">
      <alignment horizontal="center" vertical="center"/>
    </xf>
    <xf numFmtId="167" fontId="0" fillId="10" borderId="1" xfId="0" applyNumberFormat="1" applyFill="1" applyBorder="1" applyAlignment="1">
      <alignment horizontal="center" vertical="center"/>
    </xf>
    <xf numFmtId="166" fontId="0" fillId="10" borderId="1" xfId="0" applyNumberFormat="1" applyFill="1" applyBorder="1" applyAlignment="1">
      <alignment horizontal="center" vertical="center"/>
    </xf>
    <xf numFmtId="0" fontId="62" fillId="4" borderId="15" xfId="0" applyFont="1" applyFill="1" applyBorder="1" applyAlignment="1">
      <alignment horizontal="center"/>
    </xf>
    <xf numFmtId="0" fontId="0" fillId="4" borderId="0" xfId="0" applyFill="1"/>
    <xf numFmtId="2" fontId="50" fillId="13" borderId="1" xfId="0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20" borderId="3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21" borderId="0" xfId="0" applyFont="1" applyFill="1" applyAlignment="1">
      <alignment vertical="center"/>
    </xf>
    <xf numFmtId="0" fontId="0" fillId="21" borderId="0" xfId="0" applyFill="1" applyAlignment="1">
      <alignment vertical="center"/>
    </xf>
    <xf numFmtId="0" fontId="12" fillId="5" borderId="3" xfId="0" applyFont="1" applyFill="1" applyBorder="1" applyAlignment="1">
      <alignment horizontal="center" vertical="center"/>
    </xf>
    <xf numFmtId="0" fontId="61" fillId="0" borderId="1" xfId="2" applyFont="1" applyBorder="1" applyAlignment="1">
      <alignment horizontal="left" vertical="center"/>
    </xf>
    <xf numFmtId="0" fontId="65" fillId="0" borderId="0" xfId="0" applyFont="1" applyAlignment="1">
      <alignment vertical="center"/>
    </xf>
    <xf numFmtId="0" fontId="64" fillId="0" borderId="8" xfId="2" applyFont="1" applyBorder="1" applyAlignment="1">
      <alignment vertical="center"/>
    </xf>
    <xf numFmtId="0" fontId="34" fillId="0" borderId="12" xfId="2" applyFont="1" applyBorder="1" applyAlignment="1">
      <alignment vertical="center"/>
    </xf>
    <xf numFmtId="0" fontId="34" fillId="0" borderId="9" xfId="2" applyFont="1" applyBorder="1" applyAlignment="1">
      <alignment vertical="center"/>
    </xf>
    <xf numFmtId="0" fontId="61" fillId="0" borderId="6" xfId="2" applyFont="1" applyBorder="1" applyAlignment="1">
      <alignment horizontal="center" vertical="center"/>
    </xf>
    <xf numFmtId="0" fontId="31" fillId="0" borderId="5" xfId="2" applyFont="1" applyBorder="1" applyAlignment="1">
      <alignment vertical="center"/>
    </xf>
    <xf numFmtId="0" fontId="31" fillId="0" borderId="7" xfId="2" applyFont="1" applyBorder="1" applyAlignment="1">
      <alignment vertical="center"/>
    </xf>
    <xf numFmtId="0" fontId="63" fillId="0" borderId="5" xfId="2" applyFont="1" applyBorder="1" applyAlignment="1">
      <alignment vertical="center"/>
    </xf>
    <xf numFmtId="0" fontId="60" fillId="0" borderId="5" xfId="2" applyFont="1" applyBorder="1" applyAlignment="1">
      <alignment horizontal="center" vertical="center"/>
    </xf>
    <xf numFmtId="0" fontId="29" fillId="0" borderId="5" xfId="2" applyFont="1" applyBorder="1" applyAlignment="1">
      <alignment vertical="center"/>
    </xf>
    <xf numFmtId="168" fontId="13" fillId="0" borderId="4" xfId="1" applyNumberFormat="1" applyBorder="1" applyAlignment="1">
      <alignment horizontal="center" vertical="center"/>
    </xf>
    <xf numFmtId="0" fontId="13" fillId="0" borderId="1" xfId="1" applyBorder="1" applyAlignment="1">
      <alignment horizontal="center" vertical="center"/>
    </xf>
    <xf numFmtId="168" fontId="12" fillId="5" borderId="4" xfId="1" applyNumberFormat="1" applyFont="1" applyFill="1" applyBorder="1" applyAlignment="1">
      <alignment horizontal="center" vertical="center"/>
    </xf>
    <xf numFmtId="171" fontId="13" fillId="0" borderId="1" xfId="1" applyNumberFormat="1" applyBorder="1" applyAlignment="1">
      <alignment horizontal="center" vertical="center"/>
    </xf>
    <xf numFmtId="0" fontId="13" fillId="0" borderId="1" xfId="1" applyBorder="1" applyAlignment="1">
      <alignment vertical="center"/>
    </xf>
    <xf numFmtId="171" fontId="0" fillId="0" borderId="1" xfId="1" applyNumberFormat="1" applyFont="1" applyBorder="1" applyAlignment="1">
      <alignment horizontal="center" vertical="center"/>
    </xf>
    <xf numFmtId="171" fontId="0" fillId="13" borderId="1" xfId="0" applyNumberFormat="1" applyFill="1" applyBorder="1" applyAlignment="1">
      <alignment horizontal="right"/>
    </xf>
    <xf numFmtId="2" fontId="13" fillId="0" borderId="1" xfId="1" applyNumberFormat="1" applyBorder="1" applyAlignment="1">
      <alignment horizontal="center" vertical="center"/>
    </xf>
    <xf numFmtId="1" fontId="13" fillId="16" borderId="0" xfId="1" applyNumberFormat="1" applyFill="1" applyAlignment="1">
      <alignment horizontal="center" vertical="center"/>
    </xf>
    <xf numFmtId="168" fontId="13" fillId="16" borderId="1" xfId="1" applyNumberFormat="1" applyFill="1" applyBorder="1" applyAlignment="1">
      <alignment horizontal="center" vertical="center"/>
    </xf>
    <xf numFmtId="1" fontId="13" fillId="0" borderId="0" xfId="1" applyNumberFormat="1" applyAlignment="1">
      <alignment horizontal="center" vertical="center"/>
    </xf>
    <xf numFmtId="168" fontId="13" fillId="16" borderId="0" xfId="1" applyNumberFormat="1" applyFill="1" applyAlignment="1">
      <alignment horizontal="center" vertical="center"/>
    </xf>
    <xf numFmtId="2" fontId="12" fillId="5" borderId="1" xfId="1" applyNumberFormat="1" applyFont="1" applyFill="1" applyBorder="1" applyAlignment="1">
      <alignment horizontal="center" vertical="center"/>
    </xf>
    <xf numFmtId="171" fontId="0" fillId="0" borderId="1" xfId="0" applyNumberFormat="1" applyBorder="1" applyAlignment="1">
      <alignment horizontal="center"/>
    </xf>
    <xf numFmtId="171" fontId="0" fillId="0" borderId="0" xfId="0" applyNumberFormat="1" applyAlignment="1">
      <alignment horizontal="center"/>
    </xf>
    <xf numFmtId="0" fontId="48" fillId="13" borderId="1" xfId="0" applyFont="1" applyFill="1" applyBorder="1" applyAlignment="1">
      <alignment horizontal="center"/>
    </xf>
    <xf numFmtId="0" fontId="48" fillId="14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71" fontId="13" fillId="0" borderId="1" xfId="1" applyNumberFormat="1" applyBorder="1" applyAlignment="1">
      <alignment horizontal="center"/>
    </xf>
    <xf numFmtId="0" fontId="13" fillId="0" borderId="1" xfId="1" applyBorder="1"/>
    <xf numFmtId="0" fontId="3" fillId="0" borderId="0" xfId="100"/>
    <xf numFmtId="0" fontId="27" fillId="0" borderId="0" xfId="100" applyFont="1"/>
    <xf numFmtId="49" fontId="13" fillId="0" borderId="0" xfId="13" applyNumberFormat="1" applyAlignment="1">
      <alignment horizontal="left" vertical="center"/>
    </xf>
    <xf numFmtId="0" fontId="69" fillId="0" borderId="0" xfId="449" applyFont="1" applyAlignment="1">
      <alignment horizontal="center" vertical="center" wrapText="1"/>
    </xf>
    <xf numFmtId="0" fontId="70" fillId="0" borderId="0" xfId="449" applyFont="1" applyAlignment="1">
      <alignment horizontal="center" vertical="center"/>
    </xf>
    <xf numFmtId="0" fontId="29" fillId="0" borderId="0" xfId="5" applyFont="1" applyAlignment="1">
      <alignment vertical="center"/>
    </xf>
    <xf numFmtId="0" fontId="29" fillId="0" borderId="0" xfId="449" applyFont="1" applyAlignment="1">
      <alignment horizontal="right" vertical="center"/>
    </xf>
    <xf numFmtId="0" fontId="71" fillId="0" borderId="0" xfId="13" applyFont="1" applyAlignment="1">
      <alignment horizontal="right" vertical="center"/>
    </xf>
    <xf numFmtId="0" fontId="29" fillId="0" borderId="0" xfId="449" applyFont="1" applyAlignment="1">
      <alignment vertical="center"/>
    </xf>
    <xf numFmtId="0" fontId="68" fillId="0" borderId="0" xfId="1838" applyAlignment="1">
      <alignment vertical="center"/>
    </xf>
    <xf numFmtId="0" fontId="72" fillId="0" borderId="0" xfId="2" applyFont="1" applyAlignment="1">
      <alignment vertical="center" wrapText="1"/>
    </xf>
    <xf numFmtId="0" fontId="0" fillId="0" borderId="13" xfId="0" applyBorder="1"/>
    <xf numFmtId="0" fontId="0" fillId="0" borderId="2" xfId="0" applyBorder="1"/>
    <xf numFmtId="0" fontId="73" fillId="0" borderId="0" xfId="0" applyFont="1" applyAlignment="1">
      <alignment vertical="center"/>
    </xf>
    <xf numFmtId="0" fontId="0" fillId="0" borderId="0" xfId="0" applyAlignment="1">
      <alignment wrapText="1"/>
    </xf>
    <xf numFmtId="167" fontId="0" fillId="0" borderId="1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0" fontId="0" fillId="20" borderId="4" xfId="0" applyFill="1" applyBorder="1" applyAlignment="1">
      <alignment horizontal="center"/>
    </xf>
    <xf numFmtId="0" fontId="0" fillId="20" borderId="2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168" fontId="0" fillId="19" borderId="1" xfId="0" applyNumberFormat="1" applyFill="1" applyBorder="1" applyAlignment="1">
      <alignment horizontal="right" vertical="center" indent="2"/>
    </xf>
    <xf numFmtId="168" fontId="0" fillId="0" borderId="1" xfId="0" applyNumberFormat="1" applyBorder="1" applyAlignment="1">
      <alignment horizontal="right" vertical="center" indent="2"/>
    </xf>
    <xf numFmtId="166" fontId="0" fillId="0" borderId="3" xfId="0" applyNumberFormat="1" applyBorder="1" applyAlignment="1">
      <alignment horizontal="center" vertical="center"/>
    </xf>
    <xf numFmtId="1" fontId="0" fillId="6" borderId="4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0" fontId="12" fillId="5" borderId="2" xfId="0" applyNumberFormat="1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2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25" fillId="0" borderId="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" fontId="12" fillId="5" borderId="1" xfId="0" applyNumberFormat="1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left" vertical="center"/>
    </xf>
    <xf numFmtId="0" fontId="12" fillId="6" borderId="3" xfId="0" applyFont="1" applyFill="1" applyBorder="1" applyAlignment="1">
      <alignment horizontal="left" vertical="center"/>
    </xf>
    <xf numFmtId="49" fontId="0" fillId="6" borderId="4" xfId="0" applyNumberFormat="1" applyFill="1" applyBorder="1" applyAlignment="1">
      <alignment horizontal="left" vertical="center"/>
    </xf>
    <xf numFmtId="49" fontId="0" fillId="6" borderId="2" xfId="0" applyNumberFormat="1" applyFill="1" applyBorder="1" applyAlignment="1">
      <alignment horizontal="left" vertical="center"/>
    </xf>
    <xf numFmtId="49" fontId="0" fillId="6" borderId="3" xfId="0" applyNumberFormat="1" applyFill="1" applyBorder="1" applyAlignment="1">
      <alignment horizontal="left" vertical="center"/>
    </xf>
    <xf numFmtId="49" fontId="12" fillId="6" borderId="2" xfId="0" applyNumberFormat="1" applyFont="1" applyFill="1" applyBorder="1" applyAlignment="1">
      <alignment horizontal="center" vertical="center"/>
    </xf>
    <xf numFmtId="49" fontId="12" fillId="6" borderId="3" xfId="0" applyNumberFormat="1" applyFont="1" applyFill="1" applyBorder="1" applyAlignment="1">
      <alignment horizontal="center" vertical="center"/>
    </xf>
    <xf numFmtId="0" fontId="41" fillId="5" borderId="4" xfId="0" applyFont="1" applyFill="1" applyBorder="1" applyAlignment="1">
      <alignment horizontal="center" vertical="center"/>
    </xf>
    <xf numFmtId="0" fontId="41" fillId="5" borderId="2" xfId="0" applyFont="1" applyFill="1" applyBorder="1" applyAlignment="1">
      <alignment horizontal="center" vertical="center"/>
    </xf>
    <xf numFmtId="0" fontId="41" fillId="5" borderId="3" xfId="0" applyFont="1" applyFill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1" fontId="12" fillId="6" borderId="1" xfId="0" applyNumberFormat="1" applyFont="1" applyFill="1" applyBorder="1" applyAlignment="1">
      <alignment horizontal="center" vertical="center"/>
    </xf>
    <xf numFmtId="49" fontId="0" fillId="21" borderId="1" xfId="0" applyNumberFormat="1" applyFill="1" applyBorder="1" applyAlignment="1">
      <alignment horizontal="left" vertical="center"/>
    </xf>
    <xf numFmtId="0" fontId="12" fillId="5" borderId="8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5" borderId="13" xfId="0" applyFont="1" applyFill="1" applyBorder="1" applyAlignment="1">
      <alignment horizontal="center" vertical="center" wrapText="1"/>
    </xf>
    <xf numFmtId="0" fontId="12" fillId="5" borderId="14" xfId="0" applyFont="1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1" xfId="1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49" fontId="12" fillId="6" borderId="4" xfId="13" applyNumberFormat="1" applyFont="1" applyFill="1" applyBorder="1" applyAlignment="1">
      <alignment horizontal="left" vertical="center"/>
    </xf>
    <xf numFmtId="49" fontId="12" fillId="6" borderId="2" xfId="13" applyNumberFormat="1" applyFont="1" applyFill="1" applyBorder="1" applyAlignment="1">
      <alignment horizontal="left" vertical="center"/>
    </xf>
    <xf numFmtId="49" fontId="12" fillId="6" borderId="3" xfId="13" applyNumberFormat="1" applyFont="1" applyFill="1" applyBorder="1" applyAlignment="1">
      <alignment horizontal="left" vertical="center"/>
    </xf>
    <xf numFmtId="49" fontId="13" fillId="6" borderId="4" xfId="13" applyNumberFormat="1" applyFill="1" applyBorder="1" applyAlignment="1">
      <alignment horizontal="left" vertical="center"/>
    </xf>
    <xf numFmtId="49" fontId="13" fillId="6" borderId="2" xfId="13" applyNumberFormat="1" applyFill="1" applyBorder="1" applyAlignment="1">
      <alignment horizontal="left" vertical="center"/>
    </xf>
    <xf numFmtId="49" fontId="13" fillId="6" borderId="3" xfId="13" applyNumberFormat="1" applyFill="1" applyBorder="1" applyAlignment="1">
      <alignment horizontal="left" vertical="center"/>
    </xf>
    <xf numFmtId="49" fontId="12" fillId="6" borderId="1" xfId="13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168" fontId="0" fillId="21" borderId="1" xfId="0" applyNumberFormat="1" applyFill="1" applyBorder="1" applyAlignment="1">
      <alignment horizontal="right" vertical="center" indent="2"/>
    </xf>
    <xf numFmtId="0" fontId="15" fillId="5" borderId="4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1" fontId="12" fillId="21" borderId="1" xfId="0" applyNumberFormat="1" applyFont="1" applyFill="1" applyBorder="1" applyAlignment="1">
      <alignment horizontal="center" vertical="center"/>
    </xf>
    <xf numFmtId="2" fontId="12" fillId="5" borderId="13" xfId="0" applyNumberFormat="1" applyFont="1" applyFill="1" applyBorder="1" applyAlignment="1">
      <alignment horizontal="center" vertical="center"/>
    </xf>
    <xf numFmtId="2" fontId="12" fillId="5" borderId="14" xfId="0" applyNumberFormat="1" applyFont="1" applyFill="1" applyBorder="1" applyAlignment="1">
      <alignment horizontal="center" vertical="center"/>
    </xf>
    <xf numFmtId="2" fontId="12" fillId="5" borderId="13" xfId="0" applyNumberFormat="1" applyFont="1" applyFill="1" applyBorder="1" applyAlignment="1">
      <alignment horizontal="center" vertical="center" wrapText="1"/>
    </xf>
    <xf numFmtId="2" fontId="12" fillId="5" borderId="14" xfId="0" applyNumberFormat="1" applyFont="1" applyFill="1" applyBorder="1" applyAlignment="1">
      <alignment horizontal="center" vertical="center" wrapText="1"/>
    </xf>
    <xf numFmtId="2" fontId="12" fillId="0" borderId="1" xfId="0" applyNumberFormat="1" applyFont="1" applyBorder="1" applyAlignment="1">
      <alignment horizontal="center" vertical="center"/>
    </xf>
    <xf numFmtId="2" fontId="12" fillId="5" borderId="8" xfId="0" applyNumberFormat="1" applyFont="1" applyFill="1" applyBorder="1" applyAlignment="1">
      <alignment horizontal="center" vertical="center"/>
    </xf>
    <xf numFmtId="2" fontId="12" fillId="5" borderId="9" xfId="0" applyNumberFormat="1" applyFont="1" applyFill="1" applyBorder="1" applyAlignment="1">
      <alignment horizontal="center" vertical="center"/>
    </xf>
    <xf numFmtId="2" fontId="12" fillId="0" borderId="1" xfId="0" applyNumberFormat="1" applyFont="1" applyBorder="1" applyAlignment="1">
      <alignment horizontal="left" vertical="center"/>
    </xf>
    <xf numFmtId="2" fontId="12" fillId="5" borderId="4" xfId="0" applyNumberFormat="1" applyFont="1" applyFill="1" applyBorder="1" applyAlignment="1">
      <alignment horizontal="center" vertical="center"/>
    </xf>
    <xf numFmtId="2" fontId="12" fillId="5" borderId="2" xfId="0" applyNumberFormat="1" applyFont="1" applyFill="1" applyBorder="1" applyAlignment="1">
      <alignment horizontal="center" vertical="center"/>
    </xf>
    <xf numFmtId="2" fontId="12" fillId="5" borderId="3" xfId="0" applyNumberFormat="1" applyFont="1" applyFill="1" applyBorder="1" applyAlignment="1">
      <alignment horizontal="center" vertical="center"/>
    </xf>
    <xf numFmtId="2" fontId="55" fillId="5" borderId="4" xfId="0" applyNumberFormat="1" applyFont="1" applyFill="1" applyBorder="1" applyAlignment="1">
      <alignment horizontal="center" vertical="center"/>
    </xf>
    <xf numFmtId="2" fontId="55" fillId="5" borderId="2" xfId="0" applyNumberFormat="1" applyFont="1" applyFill="1" applyBorder="1" applyAlignment="1">
      <alignment horizontal="center" vertical="center"/>
    </xf>
    <xf numFmtId="2" fontId="55" fillId="5" borderId="3" xfId="0" applyNumberFormat="1" applyFont="1" applyFill="1" applyBorder="1" applyAlignment="1">
      <alignment horizontal="center" vertical="center"/>
    </xf>
    <xf numFmtId="2" fontId="12" fillId="5" borderId="1" xfId="0" applyNumberFormat="1" applyFont="1" applyFill="1" applyBorder="1" applyAlignment="1">
      <alignment horizontal="center" vertical="center"/>
    </xf>
    <xf numFmtId="2" fontId="0" fillId="10" borderId="1" xfId="0" applyNumberFormat="1" applyFill="1" applyBorder="1" applyAlignment="1">
      <alignment horizontal="center" vertical="center"/>
    </xf>
    <xf numFmtId="0" fontId="28" fillId="5" borderId="0" xfId="2" applyFont="1" applyFill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30" fillId="0" borderId="0" xfId="2" applyFont="1" applyAlignment="1">
      <alignment horizontal="left" vertical="center"/>
    </xf>
    <xf numFmtId="0" fontId="29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1" fontId="29" fillId="0" borderId="0" xfId="2" quotePrefix="1" applyNumberFormat="1" applyFont="1" applyAlignment="1">
      <alignment horizontal="left" vertical="center"/>
    </xf>
    <xf numFmtId="0" fontId="29" fillId="0" borderId="0" xfId="2" applyFont="1" applyAlignment="1">
      <alignment horizontal="left" vertical="center"/>
    </xf>
    <xf numFmtId="0" fontId="30" fillId="0" borderId="5" xfId="2" applyFont="1" applyBorder="1" applyAlignment="1">
      <alignment horizontal="left" vertical="center"/>
    </xf>
    <xf numFmtId="0" fontId="31" fillId="0" borderId="12" xfId="2" applyFont="1" applyBorder="1" applyAlignment="1">
      <alignment horizontal="left" vertical="center"/>
    </xf>
    <xf numFmtId="0" fontId="31" fillId="0" borderId="0" xfId="2" applyFont="1" applyAlignment="1">
      <alignment horizontal="left" vertical="center"/>
    </xf>
    <xf numFmtId="0" fontId="29" fillId="20" borderId="0" xfId="449" applyFont="1" applyFill="1" applyAlignment="1">
      <alignment horizontal="center" vertical="center"/>
    </xf>
    <xf numFmtId="0" fontId="29" fillId="0" borderId="0" xfId="2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2" fillId="17" borderId="13" xfId="0" applyFont="1" applyFill="1" applyBorder="1" applyAlignment="1">
      <alignment horizontal="center" vertical="center"/>
    </xf>
    <xf numFmtId="0" fontId="12" fillId="17" borderId="14" xfId="0" applyFont="1" applyFill="1" applyBorder="1" applyAlignment="1">
      <alignment horizontal="center" vertical="center"/>
    </xf>
    <xf numFmtId="0" fontId="50" fillId="17" borderId="13" xfId="0" applyFont="1" applyFill="1" applyBorder="1" applyAlignment="1">
      <alignment horizontal="center" vertical="center"/>
    </xf>
    <xf numFmtId="0" fontId="50" fillId="17" borderId="14" xfId="0" applyFont="1" applyFill="1" applyBorder="1" applyAlignment="1">
      <alignment horizontal="center" vertical="center"/>
    </xf>
    <xf numFmtId="0" fontId="18" fillId="9" borderId="4" xfId="0" applyFont="1" applyFill="1" applyBorder="1" applyAlignment="1">
      <alignment horizontal="left"/>
    </xf>
    <xf numFmtId="0" fontId="18" fillId="9" borderId="3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4" fillId="0" borderId="12" xfId="2" applyFont="1" applyBorder="1" applyAlignment="1">
      <alignment horizontal="left" vertical="center"/>
    </xf>
    <xf numFmtId="2" fontId="29" fillId="5" borderId="6" xfId="0" applyNumberFormat="1" applyFont="1" applyFill="1" applyBorder="1" applyAlignment="1">
      <alignment horizontal="center"/>
    </xf>
    <xf numFmtId="0" fontId="29" fillId="5" borderId="5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29" fillId="0" borderId="11" xfId="2" applyFont="1" applyBorder="1" applyAlignment="1">
      <alignment horizontal="left" vertical="top" wrapText="1"/>
    </xf>
    <xf numFmtId="0" fontId="16" fillId="0" borderId="0" xfId="1" quotePrefix="1" applyFont="1" applyAlignment="1">
      <alignment horizontal="center" vertical="center"/>
    </xf>
    <xf numFmtId="166" fontId="29" fillId="0" borderId="1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5" borderId="8" xfId="0" applyFont="1" applyFill="1" applyBorder="1" applyAlignment="1">
      <alignment horizontal="center"/>
    </xf>
    <xf numFmtId="0" fontId="29" fillId="5" borderId="12" xfId="0" applyFont="1" applyFill="1" applyBorder="1" applyAlignment="1">
      <alignment horizontal="center"/>
    </xf>
    <xf numFmtId="0" fontId="29" fillId="5" borderId="9" xfId="0" applyFont="1" applyFill="1" applyBorder="1" applyAlignment="1">
      <alignment horizontal="center"/>
    </xf>
    <xf numFmtId="2" fontId="29" fillId="0" borderId="1" xfId="0" applyNumberFormat="1" applyFont="1" applyBorder="1" applyAlignment="1">
      <alignment horizontal="center" vertical="center"/>
    </xf>
    <xf numFmtId="0" fontId="29" fillId="0" borderId="0" xfId="2" applyFont="1" applyAlignment="1">
      <alignment horizontal="right" vertical="center"/>
    </xf>
    <xf numFmtId="0" fontId="31" fillId="0" borderId="0" xfId="2" applyFont="1" applyAlignment="1">
      <alignment horizontal="right" vertical="center"/>
    </xf>
    <xf numFmtId="0" fontId="29" fillId="0" borderId="4" xfId="2" applyFont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30" fillId="0" borderId="4" xfId="0" applyFont="1" applyBorder="1" applyAlignment="1">
      <alignment horizontal="center"/>
    </xf>
    <xf numFmtId="0" fontId="30" fillId="0" borderId="2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4" xfId="2" applyFont="1" applyBorder="1" applyAlignment="1">
      <alignment horizontal="center" vertical="center"/>
    </xf>
    <xf numFmtId="0" fontId="30" fillId="0" borderId="2" xfId="2" applyFont="1" applyBorder="1" applyAlignment="1">
      <alignment horizontal="center" vertical="center"/>
    </xf>
    <xf numFmtId="0" fontId="30" fillId="0" borderId="3" xfId="2" applyFont="1" applyBorder="1" applyAlignment="1">
      <alignment horizontal="center" vertical="center"/>
    </xf>
    <xf numFmtId="0" fontId="34" fillId="5" borderId="10" xfId="0" applyFont="1" applyFill="1" applyBorder="1" applyAlignment="1">
      <alignment horizontal="center"/>
    </xf>
    <xf numFmtId="0" fontId="34" fillId="5" borderId="0" xfId="0" applyFont="1" applyFill="1" applyAlignment="1">
      <alignment horizontal="center"/>
    </xf>
    <xf numFmtId="0" fontId="34" fillId="5" borderId="11" xfId="0" applyFont="1" applyFill="1" applyBorder="1" applyAlignment="1">
      <alignment horizontal="center"/>
    </xf>
    <xf numFmtId="0" fontId="37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5" xfId="0" applyFont="1" applyBorder="1" applyAlignment="1">
      <alignment horizontal="left"/>
    </xf>
    <xf numFmtId="0" fontId="34" fillId="0" borderId="0" xfId="0" applyFont="1" applyAlignment="1">
      <alignment horizontal="left"/>
    </xf>
    <xf numFmtId="0" fontId="58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61" fillId="0" borderId="13" xfId="2" applyFont="1" applyBorder="1" applyAlignment="1">
      <alignment horizontal="center" vertical="center"/>
    </xf>
    <xf numFmtId="0" fontId="61" fillId="0" borderId="14" xfId="2" applyFont="1" applyBorder="1" applyAlignment="1">
      <alignment horizontal="center" vertical="center"/>
    </xf>
    <xf numFmtId="2" fontId="13" fillId="0" borderId="13" xfId="1" applyNumberFormat="1" applyBorder="1" applyAlignment="1">
      <alignment horizontal="center" vertical="center"/>
    </xf>
    <xf numFmtId="2" fontId="13" fillId="0" borderId="15" xfId="1" applyNumberFormat="1" applyBorder="1" applyAlignment="1">
      <alignment horizontal="center" vertical="center"/>
    </xf>
    <xf numFmtId="2" fontId="13" fillId="0" borderId="14" xfId="1" applyNumberFormat="1" applyBorder="1" applyAlignment="1">
      <alignment horizontal="center" vertical="center"/>
    </xf>
    <xf numFmtId="168" fontId="13" fillId="0" borderId="1" xfId="1" applyNumberFormat="1" applyBorder="1" applyAlignment="1">
      <alignment horizontal="center" vertical="center"/>
    </xf>
    <xf numFmtId="0" fontId="12" fillId="4" borderId="1" xfId="1" quotePrefix="1" applyFont="1" applyFill="1" applyBorder="1" applyAlignment="1">
      <alignment horizontal="left" vertical="center"/>
    </xf>
    <xf numFmtId="0" fontId="12" fillId="4" borderId="1" xfId="1" applyFont="1" applyFill="1" applyBorder="1" applyAlignment="1">
      <alignment horizontal="left" vertical="center"/>
    </xf>
    <xf numFmtId="171" fontId="12" fillId="0" borderId="4" xfId="1" quotePrefix="1" applyNumberFormat="1" applyFont="1" applyBorder="1" applyAlignment="1">
      <alignment horizontal="left" vertical="center"/>
    </xf>
    <xf numFmtId="171" fontId="12" fillId="0" borderId="3" xfId="1" quotePrefix="1" applyNumberFormat="1" applyFont="1" applyBorder="1" applyAlignment="1">
      <alignment horizontal="left" vertical="center"/>
    </xf>
    <xf numFmtId="0" fontId="12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horizontal="center" vertical="center"/>
    </xf>
    <xf numFmtId="0" fontId="12" fillId="0" borderId="3" xfId="1" applyFont="1" applyBorder="1" applyAlignment="1">
      <alignment horizontal="center" vertical="center"/>
    </xf>
    <xf numFmtId="2" fontId="13" fillId="0" borderId="1" xfId="1" applyNumberFormat="1" applyBorder="1" applyAlignment="1">
      <alignment horizontal="center" vertical="center"/>
    </xf>
    <xf numFmtId="0" fontId="12" fillId="20" borderId="1" xfId="1" quotePrefix="1" applyFont="1" applyFill="1" applyBorder="1" applyAlignment="1">
      <alignment horizontal="left" vertical="center"/>
    </xf>
    <xf numFmtId="168" fontId="13" fillId="0" borderId="13" xfId="1" applyNumberFormat="1" applyBorder="1" applyAlignment="1">
      <alignment horizontal="center" vertical="center"/>
    </xf>
    <xf numFmtId="168" fontId="13" fillId="0" borderId="15" xfId="1" applyNumberFormat="1" applyBorder="1" applyAlignment="1">
      <alignment horizontal="center" vertical="center"/>
    </xf>
    <xf numFmtId="168" fontId="13" fillId="0" borderId="14" xfId="1" applyNumberFormat="1" applyBorder="1" applyAlignment="1">
      <alignment horizontal="center" vertical="center"/>
    </xf>
    <xf numFmtId="168" fontId="12" fillId="12" borderId="20" xfId="1" applyNumberFormat="1" applyFont="1" applyFill="1" applyBorder="1" applyAlignment="1">
      <alignment horizontal="center" vertical="center"/>
    </xf>
    <xf numFmtId="0" fontId="12" fillId="12" borderId="21" xfId="1" applyFont="1" applyFill="1" applyBorder="1" applyAlignment="1">
      <alignment horizontal="center" vertical="center"/>
    </xf>
    <xf numFmtId="0" fontId="12" fillId="5" borderId="22" xfId="1" applyFont="1" applyFill="1" applyBorder="1" applyAlignment="1">
      <alignment horizontal="center" vertical="center"/>
    </xf>
    <xf numFmtId="0" fontId="12" fillId="5" borderId="25" xfId="1" applyFont="1" applyFill="1" applyBorder="1" applyAlignment="1">
      <alignment horizontal="center" vertical="center"/>
    </xf>
    <xf numFmtId="0" fontId="12" fillId="5" borderId="13" xfId="1" applyFont="1" applyFill="1" applyBorder="1" applyAlignment="1">
      <alignment horizontal="center" vertical="center" wrapText="1"/>
    </xf>
    <xf numFmtId="0" fontId="12" fillId="5" borderId="14" xfId="1" applyFont="1" applyFill="1" applyBorder="1" applyAlignment="1">
      <alignment horizontal="center" vertical="center" wrapText="1"/>
    </xf>
    <xf numFmtId="168" fontId="12" fillId="0" borderId="18" xfId="1" applyNumberFormat="1" applyFont="1" applyBorder="1" applyAlignment="1">
      <alignment horizontal="center" vertical="center"/>
    </xf>
    <xf numFmtId="168" fontId="12" fillId="0" borderId="19" xfId="1" applyNumberFormat="1" applyFont="1" applyBorder="1" applyAlignment="1">
      <alignment horizontal="center" vertical="center"/>
    </xf>
  </cellXfs>
  <cellStyles count="1839">
    <cellStyle name="Comma [0] 2" xfId="8" xr:uid="{00000000-0005-0000-0000-000000000000}"/>
    <cellStyle name="Comma [0] 2 2" xfId="64" xr:uid="{66493A80-B267-4B92-A822-D32C16D52A5E}"/>
    <cellStyle name="Comma [0] 2 2 2" xfId="495" xr:uid="{D3BCEC37-D5DA-41E5-87B3-589DFA99F7F5}"/>
    <cellStyle name="Comma [0] 2 2 2 2" xfId="1063" xr:uid="{AE3FC5F4-12F4-4453-A2ED-2BE730462943}"/>
    <cellStyle name="Comma [0] 2 2 3" xfId="1723" xr:uid="{C00E6B1B-1E3E-49D9-ABA3-1F5E034089D0}"/>
    <cellStyle name="Comma [0] 2 2 4" xfId="1145" xr:uid="{9EBB0BA2-E010-4E10-A3D1-BFFE7E5FDED3}"/>
    <cellStyle name="Comma [0] 2 3" xfId="450" xr:uid="{C15F32C6-A4EF-4C09-8FCA-9549B6F8674F}"/>
    <cellStyle name="Comma [0] 2 3 2" xfId="1062" xr:uid="{3DDED92F-87FF-4464-917C-1A68BF05D5B0}"/>
    <cellStyle name="Comma [0] 2 3 2 2" xfId="1791" xr:uid="{F9FE1B07-B80C-400D-9BFC-10889217892B}"/>
    <cellStyle name="Comma [0] 2 3 3" xfId="1721" xr:uid="{B71FC684-E79F-4792-8534-DC3A33BB7E92}"/>
    <cellStyle name="Comma [0] 2 4" xfId="396" xr:uid="{096FB817-082B-422C-BE94-665315670599}"/>
    <cellStyle name="Comma [0] 2 4 2" xfId="981" xr:uid="{1BCA6D65-7694-43D3-AC60-2CFB5A0E4356}"/>
    <cellStyle name="Comma [0] 2 5" xfId="1717" xr:uid="{B1A6462B-84E9-4A9C-A291-C47CAD253549}"/>
    <cellStyle name="Comma [0] 2 6" xfId="1133" xr:uid="{D2933295-7ECF-43A1-907A-CAA0D06D546D}"/>
    <cellStyle name="Comma [0] 2 7" xfId="1123" xr:uid="{C9771CA6-A1B1-4A00-8748-1DBE5814F803}"/>
    <cellStyle name="Comma [0] 3" xfId="172" xr:uid="{0EF8B608-887B-4A23-A603-E813DDE68C6E}"/>
    <cellStyle name="Comma [0] 3 2" xfId="1768" xr:uid="{17A9B66B-A459-419E-AD41-5AB12BE9403A}"/>
    <cellStyle name="Comma 2" xfId="433" xr:uid="{6EFEA93B-D543-4368-A69F-EFDA0F017221}"/>
    <cellStyle name="Comma 2 2" xfId="819" xr:uid="{37533266-56FD-4B65-B636-2F305CA16DAD}"/>
    <cellStyle name="Comma 2 2 2" xfId="1794" xr:uid="{7C504AA6-13D2-4FAF-94A2-298F60D118C3}"/>
    <cellStyle name="Comma 2 2 3" xfId="1264" xr:uid="{05A3DA7F-B6C4-4C59-AFD8-632EDE94E448}"/>
    <cellStyle name="Comma 2 3" xfId="1065" xr:uid="{D264B943-D291-4CBC-99FA-53959251C4A6}"/>
    <cellStyle name="Comma 2 3 2" xfId="1784" xr:uid="{F8BC2A3E-4E37-48F5-A699-B8A912CB6229}"/>
    <cellStyle name="Comma 2 4" xfId="1169" xr:uid="{88CD85DA-408D-4058-A017-9B33C7EC6AA4}"/>
    <cellStyle name="Comma 3" xfId="1147" xr:uid="{CF879049-BA75-4009-AB87-694974362DE7}"/>
    <cellStyle name="Comma 3 2" xfId="1792" xr:uid="{035561E9-CF74-4F6D-9C50-1CE3B8E1D2BC}"/>
    <cellStyle name="Comma 3 3" xfId="1771" xr:uid="{DBF910D9-4E15-4FE7-AEB9-2F7F5328A5B0}"/>
    <cellStyle name="Hyperlink" xfId="1838" builtinId="8"/>
    <cellStyle name="Normal" xfId="0" builtinId="0"/>
    <cellStyle name="Normal 10" xfId="496" xr:uid="{979CDBEB-0601-4C37-B901-9983D27F683E}"/>
    <cellStyle name="Normal 10 2" xfId="1715" xr:uid="{981EE6F3-82B6-458B-A38E-18C27FAD6D97}"/>
    <cellStyle name="Normal 11" xfId="497" xr:uid="{B11524DF-A34B-4356-825F-F5DE3CEA0273}"/>
    <cellStyle name="Normal 11 2" xfId="1121" xr:uid="{020190DA-9C22-4175-A415-4D6EE9BDD73F}"/>
    <cellStyle name="Normal 12" xfId="445" xr:uid="{39B767D2-4A9E-40B9-A15F-A8568BCE59B4}"/>
    <cellStyle name="Normal 12 2" xfId="1117" xr:uid="{361C1A0A-436D-4A73-AD96-9A0DCE16207B}"/>
    <cellStyle name="Normal 13" xfId="394" xr:uid="{A37C7286-8223-4166-AC11-31507B5FACA3}"/>
    <cellStyle name="Normal 2" xfId="1" xr:uid="{00000000-0005-0000-0000-000002000000}"/>
    <cellStyle name="Normal 2 2" xfId="13" xr:uid="{00000000-0005-0000-0000-000003000000}"/>
    <cellStyle name="Normal 2 2 2" xfId="498" xr:uid="{CBD645B9-6A5B-48F2-8DFD-9FFCF43786AB}"/>
    <cellStyle name="Normal 2 2 3" xfId="494" xr:uid="{C764C9B4-CFEF-4A8B-A459-4AFA17110F4E}"/>
    <cellStyle name="Normal 2 3" xfId="31" xr:uid="{00000000-0005-0000-0000-000004000000}"/>
    <cellStyle name="Normal 2 3 2" xfId="85" xr:uid="{79F46A5D-88A1-4770-94E3-CD8501F31C6B}"/>
    <cellStyle name="Normal 2 3 2 2" xfId="721" xr:uid="{EC54F4A4-1CDF-4AB4-94B3-57BF9BA6D8AF}"/>
    <cellStyle name="Normal 2 3 2 2 2" xfId="1769" xr:uid="{AE5C2BCE-11A1-4A6F-AE77-1FCFBCECD4DC}"/>
    <cellStyle name="Normal 2 3 2 3" xfId="964" xr:uid="{A9035CC7-EEEB-452B-A7AE-B0BDFCEBEB0F}"/>
    <cellStyle name="Normal 2 3 2 4" xfId="322" xr:uid="{4A8D8980-F83D-4240-B041-69A93B9C9637}"/>
    <cellStyle name="Normal 2 3 2 5" xfId="1554" xr:uid="{B28611FC-DC41-4D0E-AF97-7D072D6D17AD}"/>
    <cellStyle name="Normal 2 3 3" xfId="51" xr:uid="{2130C8BE-FEE7-4835-A337-F31CCF56E63C}"/>
    <cellStyle name="Normal 2 3 3 2" xfId="685" xr:uid="{417D1E9E-D2EF-4305-A6AB-CB55BAD7BAD0}"/>
    <cellStyle name="Normal 2 3 3 3" xfId="931" xr:uid="{885A4EE2-8D1D-4353-ABA8-9EA978910E43}"/>
    <cellStyle name="Normal 2 3 3 4" xfId="286" xr:uid="{D3BD1F45-78D4-45EE-9A92-529E4D92D557}"/>
    <cellStyle name="Normal 2 3 3 5" xfId="1518" xr:uid="{D8C2EC3A-1CF4-45DA-95A6-E4D5D2C8ABEF}"/>
    <cellStyle name="Normal 2 3 4" xfId="162" xr:uid="{3570E26D-3811-44A3-AC9E-42C7C97B83AB}"/>
    <cellStyle name="Normal 2 3 5" xfId="338" xr:uid="{DB9A2AAC-68B5-4840-AD4C-19DC33821614}"/>
    <cellStyle name="Normal 2 3 5 2" xfId="531" xr:uid="{6F3F572E-D6A5-40AB-856C-A43E7362C47B}"/>
    <cellStyle name="Normal 2 3 5 3" xfId="1570" xr:uid="{0ED40CF7-0633-4222-8719-48B2D8EA52F3}"/>
    <cellStyle name="Normal 2 3 6" xfId="479" xr:uid="{00DBD011-28C5-4DDF-A30C-AF7100971BCB}"/>
    <cellStyle name="Normal 2 3 6 2" xfId="1643" xr:uid="{984D3DB4-8A76-4591-A521-0BDF4DE58ECA}"/>
    <cellStyle name="Normal 2 3 7" xfId="871" xr:uid="{89CD9D78-8E60-4DFA-9DD3-CA972921D47A}"/>
    <cellStyle name="Normal 2 3 7 2" xfId="1363" xr:uid="{58318FD1-EA8F-4697-B10C-19BB2A0BCC5F}"/>
    <cellStyle name="Normal 2 3 8" xfId="912" xr:uid="{EDCA7615-86B8-4704-92C9-3F2D730541FD}"/>
    <cellStyle name="Normal 2 3 8 2" xfId="1751" xr:uid="{EC4F826D-EA29-4012-8034-583EE879BB80}"/>
    <cellStyle name="Normal 2 3 9" xfId="127" xr:uid="{15FF06AC-C88C-4678-AF4F-18A62A6FA5E1}"/>
    <cellStyle name="Normal 2 4" xfId="28" xr:uid="{00000000-0005-0000-0000-000005000000}"/>
    <cellStyle name="Normal 2 4 2" xfId="82" xr:uid="{05328B6E-5A92-45D1-A47D-121D6A4C28E1}"/>
    <cellStyle name="Normal 2 4 2 2" xfId="718" xr:uid="{BACFE173-89DA-46FD-B141-65AE5E133F87}"/>
    <cellStyle name="Normal 2 4 2 3" xfId="961" xr:uid="{3EEA08BE-5A9E-4F0F-ADCF-24A39E9D3E9C}"/>
    <cellStyle name="Normal 2 4 2 4" xfId="319" xr:uid="{E313740F-133C-4923-A6C3-C1612D336615}"/>
    <cellStyle name="Normal 2 4 2 5" xfId="1551" xr:uid="{16A1B6F9-D973-4349-97B2-84FABC56670A}"/>
    <cellStyle name="Normal 2 4 3" xfId="528" xr:uid="{45E1FAC2-A23E-4559-AB8F-A99DB2209364}"/>
    <cellStyle name="Normal 2 4 3 2" xfId="1640" xr:uid="{942C91DD-E7E8-4B5C-A100-80AF4C5D0257}"/>
    <cellStyle name="Normal 2 4 4" xfId="476" xr:uid="{AD0F3B3A-5932-4348-B578-F902769ED214}"/>
    <cellStyle name="Normal 2 4 4 2" xfId="1748" xr:uid="{9DAA37E9-C350-4D5C-81D7-15CAE2F3BDB5}"/>
    <cellStyle name="Normal 2 4 5" xfId="868" xr:uid="{9DC6E6A1-B593-4D41-9B86-AD873480649D}"/>
    <cellStyle name="Normal 2 4 6" xfId="909" xr:uid="{7762D87A-F0BD-42A3-B36B-133568E2C4FD}"/>
    <cellStyle name="Normal 2 4 7" xfId="124" xr:uid="{28AFB3F5-3DB4-42FD-9D01-DD3BE624C37A}"/>
    <cellStyle name="Normal 2 4 8" xfId="1360" xr:uid="{0EA0F2B3-383E-4150-B0CF-DD8B06E28B27}"/>
    <cellStyle name="Normal 2 5" xfId="48" xr:uid="{8BEC3B33-21B6-4C70-9468-6FEAE5BE8702}"/>
    <cellStyle name="Normal 2 5 2" xfId="682" xr:uid="{5595F78B-64A8-45DF-97E8-8354C5090BF0}"/>
    <cellStyle name="Normal 2 5 3" xfId="928" xr:uid="{05DE4C7F-B2C2-4656-8B68-E66242D1B839}"/>
    <cellStyle name="Normal 2 5 4" xfId="283" xr:uid="{4EC101EA-4B1D-47B7-B976-9CFD43AE70CF}"/>
    <cellStyle name="Normal 2 5 5" xfId="1515" xr:uid="{EDCCDB9E-7303-421A-8649-1B73C1CE3341}"/>
    <cellStyle name="Normal 2 6" xfId="335" xr:uid="{99BB3A44-FFC6-408C-8F7D-CB42A6379F65}"/>
    <cellStyle name="Normal 2 6 2" xfId="1567" xr:uid="{F1668ED5-FAE2-4890-A599-67CE7DDF110C}"/>
    <cellStyle name="Normal 3" xfId="2" xr:uid="{00000000-0005-0000-0000-000006000000}"/>
    <cellStyle name="Normal 3 10" xfId="25" xr:uid="{00000000-0005-0000-0000-000007000000}"/>
    <cellStyle name="Normal 3 10 10" xfId="121" xr:uid="{BB61C48F-3F6D-43A2-A5D8-D0823B77E659}"/>
    <cellStyle name="Normal 3 10 10 2" xfId="1669" xr:uid="{DDA4D5F6-59E4-4ABC-8679-7B72ACF4C6FC}"/>
    <cellStyle name="Normal 3 10 11" xfId="1745" xr:uid="{CD0FAB00-F306-4E02-A9BF-245ACADE6122}"/>
    <cellStyle name="Normal 3 10 12" xfId="1148" xr:uid="{88918CD0-3798-433B-915F-C858C6ADCAB9}"/>
    <cellStyle name="Normal 3 10 2" xfId="79" xr:uid="{983A7547-3DD6-4E70-9CDE-031338E5F25C}"/>
    <cellStyle name="Normal 3 10 2 2" xfId="653" xr:uid="{1FB4E5DC-9FCB-4D89-8570-44277BE5E042}"/>
    <cellStyle name="Normal 3 10 2 2 2" xfId="1033" xr:uid="{43F87E18-E4AA-4D75-AC73-019234A13F49}"/>
    <cellStyle name="Normal 3 10 2 2 3" xfId="1487" xr:uid="{E6542298-BC38-4226-BB2B-3FB941D59EC8}"/>
    <cellStyle name="Normal 3 10 2 3" xfId="473" xr:uid="{5B8240CB-C562-4090-9D35-F0BC0967A0A9}"/>
    <cellStyle name="Normal 3 10 2 3 2" xfId="1801" xr:uid="{35162FD6-99DC-4BB9-84B4-7C2DB1356BCC}"/>
    <cellStyle name="Normal 3 10 2 4" xfId="788" xr:uid="{03BAA991-6589-4B1B-8A72-75BF959E95A5}"/>
    <cellStyle name="Normal 3 10 2 5" xfId="958" xr:uid="{369DD970-B42F-4362-B11D-561C8A96F0E3}"/>
    <cellStyle name="Normal 3 10 2 6" xfId="254" xr:uid="{4C31AD75-95A1-480C-8AF3-3E74F11A4BBA}"/>
    <cellStyle name="Normal 3 10 2 7" xfId="1232" xr:uid="{DFA7DEBD-9668-4F76-8AE5-ECB2F0953297}"/>
    <cellStyle name="Normal 3 10 3" xfId="310" xr:uid="{E3DD5DA6-4748-4DFC-AD55-20D66E396BAD}"/>
    <cellStyle name="Normal 3 10 3 2" xfId="709" xr:uid="{B4D1EEF2-1D6E-4ADE-B409-273E34AC9338}"/>
    <cellStyle name="Normal 3 10 3 3" xfId="865" xr:uid="{479E9089-858D-4349-AF81-E7C61C144749}"/>
    <cellStyle name="Normal 3 10 3 4" xfId="1004" xr:uid="{013B4A22-9B67-4CB4-93A5-57E2B4234220}"/>
    <cellStyle name="Normal 3 10 3 5" xfId="1542" xr:uid="{F2406038-B660-4AC8-A844-77D87897DAE2}"/>
    <cellStyle name="Normal 3 10 4" xfId="225" xr:uid="{4971B706-D76F-4544-B102-83EC70B6F6CA}"/>
    <cellStyle name="Normal 3 10 4 2" xfId="624" xr:uid="{627BF56D-04CD-4720-B7CB-50FBFECBD13F}"/>
    <cellStyle name="Normal 3 10 4 3" xfId="1458" xr:uid="{FA7995D7-6E16-4C8E-927D-8D298FE32940}"/>
    <cellStyle name="Normal 3 10 5" xfId="192" xr:uid="{F0939E81-03E3-432B-9FD1-40D2D1D13F11}"/>
    <cellStyle name="Normal 3 10 5 2" xfId="591" xr:uid="{65FFE211-3527-4F1D-BE5F-022F83B6ADA6}"/>
    <cellStyle name="Normal 3 10 5 3" xfId="1425" xr:uid="{9A511747-B5D9-4F27-A955-E2529DEADC41}"/>
    <cellStyle name="Normal 3 10 6" xfId="525" xr:uid="{12ADFD12-115A-46EF-B807-1806CB76D2B1}"/>
    <cellStyle name="Normal 3 10 6 2" xfId="1637" xr:uid="{EE75144B-EEA2-48C1-B0FB-33606292643C}"/>
    <cellStyle name="Normal 3 10 7" xfId="424" xr:uid="{57508636-A5D2-4054-8478-B6D750CC6F29}"/>
    <cellStyle name="Normal 3 10 7 2" xfId="1357" xr:uid="{F82E0FA8-61FD-4C6B-B609-5B100F901828}"/>
    <cellStyle name="Normal 3 10 8" xfId="759" xr:uid="{7E670AEF-C5B0-4D12-B27C-082A792CBE65}"/>
    <cellStyle name="Normal 3 10 8 2" xfId="1296" xr:uid="{45C597EC-A206-4E9D-B9F8-B6E6EC5E1A8D}"/>
    <cellStyle name="Normal 3 10 9" xfId="906" xr:uid="{8EA429E4-1356-4096-AE0C-D58787B6C35E}"/>
    <cellStyle name="Normal 3 10 9 2" xfId="1203" xr:uid="{588CAA9E-3D7C-4DD1-A83D-9DC431813A48}"/>
    <cellStyle name="Normal 3 11" xfId="36" xr:uid="{00000000-0005-0000-0000-000008000000}"/>
    <cellStyle name="Normal 3 11 10" xfId="132" xr:uid="{32618C90-817F-4CA2-9C36-A3B156AA232E}"/>
    <cellStyle name="Normal 3 11 11" xfId="1138" xr:uid="{817CDA57-DC95-4B03-9AEF-9271FACFFCA7}"/>
    <cellStyle name="Normal 3 11 2" xfId="90" xr:uid="{A3152D80-0141-49AD-9DE8-0D4AEB8F7784}"/>
    <cellStyle name="Normal 3 11 2 2" xfId="634" xr:uid="{A85D93AC-50B5-498E-9CB6-A70217E5B72E}"/>
    <cellStyle name="Normal 3 11 2 2 2" xfId="1014" xr:uid="{354185BC-A35C-4EA0-9FEF-56E73643EDDC}"/>
    <cellStyle name="Normal 3 11 2 2 3" xfId="1468" xr:uid="{F2D01A25-C1EC-48C2-9E77-380179C2DFC8}"/>
    <cellStyle name="Normal 3 11 2 3" xfId="484" xr:uid="{EA32D125-8E24-4AF3-BDA4-33BB364C9C79}"/>
    <cellStyle name="Normal 3 11 2 3 2" xfId="1830" xr:uid="{7A2A9F44-6C93-4E34-8250-ED507C16FDA4}"/>
    <cellStyle name="Normal 3 11 2 4" xfId="769" xr:uid="{C0B32077-5E35-47D2-A83B-E9B0B27AD3AC}"/>
    <cellStyle name="Normal 3 11 2 5" xfId="969" xr:uid="{B45B2798-CD80-4944-8C64-97CA79E22E98}"/>
    <cellStyle name="Normal 3 11 2 6" xfId="235" xr:uid="{BCFB9360-357F-4346-A002-0B8B3E14C48C}"/>
    <cellStyle name="Normal 3 11 2 7" xfId="1213" xr:uid="{130EDFA9-B997-44D0-A2C7-F806D0D0A2D3}"/>
    <cellStyle name="Normal 3 11 3" xfId="291" xr:uid="{B39184EA-D580-4DB2-8CDC-DEFA2A2C5544}"/>
    <cellStyle name="Normal 3 11 3 2" xfId="690" xr:uid="{EE024E9B-0B0B-4B0C-82D2-003CA45240F6}"/>
    <cellStyle name="Normal 3 11 3 3" xfId="876" xr:uid="{56529BBB-BC57-4E57-BDD0-F30239FD485C}"/>
    <cellStyle name="Normal 3 11 3 4" xfId="985" xr:uid="{B3C25F28-BEF3-47E7-89BE-DBBB06E5F31D}"/>
    <cellStyle name="Normal 3 11 3 5" xfId="1523" xr:uid="{A9A95780-ACDF-4F91-946F-5B4C55B0139A}"/>
    <cellStyle name="Normal 3 11 4" xfId="206" xr:uid="{C23988BA-4900-4037-B1C3-D9EEB40B3A22}"/>
    <cellStyle name="Normal 3 11 4 2" xfId="605" xr:uid="{CFCA02DF-B0A8-4D60-BC3D-C4C3F35ECBB8}"/>
    <cellStyle name="Normal 3 11 4 3" xfId="1439" xr:uid="{2B46DDBA-40C8-47DD-B017-8CDDBDA767D3}"/>
    <cellStyle name="Normal 3 11 5" xfId="171" xr:uid="{79816BFA-FCD6-4EE5-B261-E9CAD7E3A1FE}"/>
    <cellStyle name="Normal 3 11 5 2" xfId="572" xr:uid="{FBB5801C-7BD7-40E1-9397-F41DD7E598D7}"/>
    <cellStyle name="Normal 3 11 5 3" xfId="1405" xr:uid="{EE317719-DD75-464D-A085-FC96FCD71619}"/>
    <cellStyle name="Normal 3 11 6" xfId="536" xr:uid="{48A849B2-A02C-44E7-8A27-085CA824690E}"/>
    <cellStyle name="Normal 3 11 6 2" xfId="1648" xr:uid="{5A99C44C-5EF0-4FAF-BD9C-F952CBFD388C}"/>
    <cellStyle name="Normal 3 11 7" xfId="405" xr:uid="{F64CF869-22BD-42A2-9A24-B789B1BCA425}"/>
    <cellStyle name="Normal 3 11 7 2" xfId="1368" xr:uid="{4F3C02D4-2641-4392-BBA9-70B57B53212C}"/>
    <cellStyle name="Normal 3 11 8" xfId="740" xr:uid="{0FC7D6CD-E859-4F9E-9F6A-1C91BA9B4B74}"/>
    <cellStyle name="Normal 3 11 8 2" xfId="1183" xr:uid="{C3833EF2-A461-4ED3-A1F4-0150DE4470C8}"/>
    <cellStyle name="Normal 3 11 9" xfId="917" xr:uid="{2873CD62-FA7F-498B-B8FD-B085C3EE2BA6}"/>
    <cellStyle name="Normal 3 11 9 2" xfId="1756" xr:uid="{DC74676D-D9B1-4BEE-9866-BC0254ECB4F2}"/>
    <cellStyle name="Normal 3 12" xfId="58" xr:uid="{85086B2C-5395-4BF7-90DE-AABEA67D9890}"/>
    <cellStyle name="Normal 3 12 2" xfId="453" xr:uid="{0292B8B0-0488-4AFA-973D-2111BD85F1E1}"/>
    <cellStyle name="Normal 3 12 2 2" xfId="1041" xr:uid="{0411371A-481E-44C7-AE3A-2F0AAA1B6F7D}"/>
    <cellStyle name="Normal 3 12 2 3" xfId="1617" xr:uid="{761A9E25-4504-43E7-8822-E2AB657B19D3}"/>
    <cellStyle name="Normal 3 12 3" xfId="661" xr:uid="{2A0936FF-3A40-4F80-8F60-8C54B05B52B1}"/>
    <cellStyle name="Normal 3 12 3 2" xfId="1495" xr:uid="{E213A771-B04D-4AC8-8C71-A88806F8BF93}"/>
    <cellStyle name="Normal 3 12 4" xfId="402" xr:uid="{D8416D02-AD00-4DB7-9281-7108EC2F1B50}"/>
    <cellStyle name="Normal 3 12 4 2" xfId="1725" xr:uid="{1AD6C966-A2B1-4AAB-96D2-9A05E084124E}"/>
    <cellStyle name="Normal 3 12 5" xfId="796" xr:uid="{33DC5514-F4AA-4958-BCA0-60B380E9736A}"/>
    <cellStyle name="Normal 3 12 6" xfId="938" xr:uid="{73876090-A018-4CB9-806E-51E253343DA8}"/>
    <cellStyle name="Normal 3 12 7" xfId="262" xr:uid="{49F96A95-FDAE-4EB1-8223-D24A82CCA571}"/>
    <cellStyle name="Normal 3 12 8" xfId="1240" xr:uid="{8AD7005B-91A3-4785-898D-497284671B55}"/>
    <cellStyle name="Normal 3 13" xfId="49" xr:uid="{53286D63-1D00-4052-8229-5E9F8495DA31}"/>
    <cellStyle name="Normal 3 13 2" xfId="449" xr:uid="{BF56D3B8-A72F-429D-A7F3-015AA6CD9F0B}"/>
    <cellStyle name="Normal 3 13 2 2" xfId="1012" xr:uid="{7E300F0A-DA8C-49E2-B65D-964896C36ED9}"/>
    <cellStyle name="Normal 3 13 2 3" xfId="1466" xr:uid="{3D83261E-728A-4747-88EF-8BA746440FE8}"/>
    <cellStyle name="Normal 3 13 3" xfId="632" xr:uid="{05338A3F-01B1-4C31-8F4E-1090887278FB}"/>
    <cellStyle name="Normal 3 13 3 2" xfId="1720" xr:uid="{45D6352A-7BA7-4CB4-B179-D1848501DE1E}"/>
    <cellStyle name="Normal 3 13 4" xfId="432" xr:uid="{8FEFA4B7-43BC-445D-9C9B-ADE0C23E2D4A}"/>
    <cellStyle name="Normal 3 13 5" xfId="767" xr:uid="{50BD583E-0296-4822-849D-CE38187C16C1}"/>
    <cellStyle name="Normal 3 13 6" xfId="929" xr:uid="{669F0E2F-949B-4548-B139-8C2300A3D389}"/>
    <cellStyle name="Normal 3 13 7" xfId="233" xr:uid="{A8083409-FB3A-4FB0-86DA-138E42250E3B}"/>
    <cellStyle name="Normal 3 13 8" xfId="1211" xr:uid="{E5A16463-4C50-40C5-9BAB-B3665BD509E1}"/>
    <cellStyle name="Normal 3 14" xfId="271" xr:uid="{4A2F1ECE-E35A-4667-B337-DAF83C482920}"/>
    <cellStyle name="Normal 3 14 2" xfId="670" xr:uid="{C67B87FD-5B81-4C63-A5F3-F559726B6895}"/>
    <cellStyle name="Normal 3 14 2 2" xfId="1504" xr:uid="{8BF5A5C4-ED37-4DF3-8723-8D7C405AE80D}"/>
    <cellStyle name="Normal 3 14 3" xfId="446" xr:uid="{C30DB463-EB6B-431B-9C20-BFDF75B1BDB8}"/>
    <cellStyle name="Normal 3 14 4" xfId="805" xr:uid="{AB67D284-981B-47C3-8D32-ED048C83EF39}"/>
    <cellStyle name="Normal 3 14 5" xfId="1050" xr:uid="{969BD5D4-85EF-4F4F-9FB7-C6ABA45185B2}"/>
    <cellStyle name="Normal 3 14 6" xfId="1249" xr:uid="{5B5426C5-92BD-4DB3-9EF2-67920EC464C1}"/>
    <cellStyle name="Normal 3 15" xfId="204" xr:uid="{72CADF77-700B-40CE-B83A-9A46EE4E6F5E}"/>
    <cellStyle name="Normal 3 15 2" xfId="603" xr:uid="{F4D892C2-AF18-4D19-9CD0-191BF61C637A}"/>
    <cellStyle name="Normal 3 15 2 2" xfId="1437" xr:uid="{99F5DCF0-9E57-4FB3-AA23-78B623BC3BA9}"/>
    <cellStyle name="Normal 3 15 3" xfId="738" xr:uid="{4320EBF3-A93E-41C8-A718-EA19B086AF41}"/>
    <cellStyle name="Normal 3 15 4" xfId="983" xr:uid="{70D42856-E299-4AD4-8277-99F10267A18A}"/>
    <cellStyle name="Normal 3 15 5" xfId="1180" xr:uid="{1F975DB7-E76F-4910-A936-E56E25329C11}"/>
    <cellStyle name="Normal 3 16" xfId="284" xr:uid="{2F650995-C172-4E4C-9F5F-3D60ADED2876}"/>
    <cellStyle name="Normal 3 16 2" xfId="683" xr:uid="{93BF4784-71D2-4BCD-B84F-BE388D78D35F}"/>
    <cellStyle name="Normal 3 16 2 2" xfId="1516" xr:uid="{F21D18D3-2A97-45E9-8222-04A3B994BCE4}"/>
    <cellStyle name="Normal 3 16 3" xfId="820" xr:uid="{9B434F70-6060-4C19-9368-DFF232C64EDE}"/>
    <cellStyle name="Normal 3 16 4" xfId="1066" xr:uid="{B7EB79D4-44FF-4F70-9D1F-D17D7F6D484B}"/>
    <cellStyle name="Normal 3 16 5" xfId="1265" xr:uid="{87D7FDC9-22C1-4F0C-A7AE-AC22C2AA3208}"/>
    <cellStyle name="Normal 3 17" xfId="201" xr:uid="{303CE512-0F4C-4DB7-84D9-1FC8AADB0062}"/>
    <cellStyle name="Normal 3 17 2" xfId="600" xr:uid="{1E482D7C-A168-48E3-B71A-DF8503D585D3}"/>
    <cellStyle name="Normal 3 17 3" xfId="845" xr:uid="{704940DE-301F-4D52-ABEA-023EDD0253B2}"/>
    <cellStyle name="Normal 3 17 4" xfId="979" xr:uid="{2D34FAC2-CC9E-4E24-A1D7-9B9448FDD142}"/>
    <cellStyle name="Normal 3 17 5" xfId="1434" xr:uid="{72B67611-E498-4CBF-983B-9454F518335E}"/>
    <cellStyle name="Normal 3 18" xfId="142" xr:uid="{48E5FB86-32C4-40E1-856A-8BCB5590384C}"/>
    <cellStyle name="Normal 3 18 2" xfId="546" xr:uid="{88D2C87F-9AF1-431E-BC69-1362B47EEE90}"/>
    <cellStyle name="Normal 3 18 3" xfId="1378" xr:uid="{BAA82665-B56F-424B-BD82-F3049B3BBFF4}"/>
    <cellStyle name="Normal 3 19" xfId="336" xr:uid="{9B00C76D-F666-4F41-85B3-C09BAA995382}"/>
    <cellStyle name="Normal 3 19 2" xfId="505" xr:uid="{0A2AC9E8-7AAC-404B-9B54-8C29327BAFF7}"/>
    <cellStyle name="Normal 3 19 3" xfId="1568" xr:uid="{AB588BB1-84F3-42A4-8624-93609B01E083}"/>
    <cellStyle name="Normal 3 2" xfId="5" xr:uid="{00000000-0005-0000-0000-000009000000}"/>
    <cellStyle name="Normal 3 2 10" xfId="50" xr:uid="{959D2AB8-3209-492D-BA1E-E85516D5CB03}"/>
    <cellStyle name="Normal 3 2 10 2" xfId="633" xr:uid="{8338EAD9-0FD0-4B41-B870-BA464E49D05B}"/>
    <cellStyle name="Normal 3 2 10 2 2" xfId="1013" xr:uid="{C4E1B918-B628-4879-9D43-B891197A18B9}"/>
    <cellStyle name="Normal 3 2 10 2 2 2" xfId="1832" xr:uid="{27700E53-853A-4CC6-92E1-0F5FB74921F5}"/>
    <cellStyle name="Normal 3 2 10 2 3" xfId="1467" xr:uid="{007EF087-E3F4-4575-9681-CDDDA0E5C6EC}"/>
    <cellStyle name="Normal 3 2 10 3" xfId="435" xr:uid="{7F1A8D51-0574-481C-AC90-4827A5A7FF11}"/>
    <cellStyle name="Normal 3 2 10 3 2" xfId="1212" xr:uid="{77B1828C-5CC3-4E69-AADB-12C01CF3B8C3}"/>
    <cellStyle name="Normal 3 2 10 4" xfId="768" xr:uid="{76D61897-91FA-49A8-A634-9740977B88DF}"/>
    <cellStyle name="Normal 3 2 10 4 2" xfId="1775" xr:uid="{6F892661-A1A5-48BF-AA14-BEA310FD190F}"/>
    <cellStyle name="Normal 3 2 10 5" xfId="930" xr:uid="{0E924A92-521A-4B88-95E0-AAF9FD498C70}"/>
    <cellStyle name="Normal 3 2 10 6" xfId="234" xr:uid="{F73555F7-6090-4DF3-BF4A-80A0D2334965}"/>
    <cellStyle name="Normal 3 2 10 7" xfId="1140" xr:uid="{DD7843AE-10BA-47BC-9880-54D88CCCA935}"/>
    <cellStyle name="Normal 3 2 11" xfId="272" xr:uid="{00ED9C58-483F-40E7-986B-0F90F02E28E4}"/>
    <cellStyle name="Normal 3 2 11 2" xfId="671" xr:uid="{4DFE0E03-4E13-4F93-8126-F061D2447724}"/>
    <cellStyle name="Normal 3 2 11 2 2" xfId="1505" xr:uid="{C24149A8-CFBD-4010-8947-F2EA22186F3C}"/>
    <cellStyle name="Normal 3 2 11 3" xfId="442" xr:uid="{94B2B67E-1AE9-4039-963B-0848C9F7DDEE}"/>
    <cellStyle name="Normal 3 2 11 3 2" xfId="1786" xr:uid="{6EAC9FBF-3ED0-4738-8031-73070E512741}"/>
    <cellStyle name="Normal 3 2 11 4" xfId="806" xr:uid="{3125A7CC-7F07-4E8B-8B64-67A5741AB428}"/>
    <cellStyle name="Normal 3 2 11 5" xfId="1051" xr:uid="{9A143A29-F6EB-4495-93A0-F0040FD19B79}"/>
    <cellStyle name="Normal 3 2 11 6" xfId="1250" xr:uid="{117C510C-EF67-4D75-BB46-86F8CE24974D}"/>
    <cellStyle name="Normal 3 2 12" xfId="205" xr:uid="{EB58E515-69E5-4024-98F1-68DDE72BE07B}"/>
    <cellStyle name="Normal 3 2 12 2" xfId="604" xr:uid="{3E1BE4F4-C5CD-4635-9388-B9F88C6ACA7F}"/>
    <cellStyle name="Normal 3 2 12 2 2" xfId="1438" xr:uid="{42F1F8BC-9DF0-44BA-8CC8-BC8A25EB308C}"/>
    <cellStyle name="Normal 3 2 12 3" xfId="451" xr:uid="{29CDD77F-B410-4833-9286-EB084C249D66}"/>
    <cellStyle name="Normal 3 2 12 4" xfId="739" xr:uid="{FF7E5BAE-B1A3-446B-B768-5EF14C01E1B8}"/>
    <cellStyle name="Normal 3 2 12 5" xfId="984" xr:uid="{F89592BA-C3DC-4173-8F47-BFC566D90E1A}"/>
    <cellStyle name="Normal 3 2 12 6" xfId="1182" xr:uid="{67804BD2-5866-4FE6-B4CE-2DAEDEC2C119}"/>
    <cellStyle name="Normal 3 2 13" xfId="285" xr:uid="{729535A9-6E86-4DE5-8CA9-F339A785A0ED}"/>
    <cellStyle name="Normal 3 2 13 2" xfId="684" xr:uid="{CC203BE5-98E8-451D-A748-DFBE73C0B0CF}"/>
    <cellStyle name="Normal 3 2 13 2 2" xfId="1517" xr:uid="{38757954-591D-43CF-8B3E-E3631D0C6C4B}"/>
    <cellStyle name="Normal 3 2 13 3" xfId="818" xr:uid="{64D0F303-9888-4F18-899A-4363EE5DE5F6}"/>
    <cellStyle name="Normal 3 2 13 4" xfId="1064" xr:uid="{64F40466-FBA8-4E66-A5E8-ABC6887A90E8}"/>
    <cellStyle name="Normal 3 2 13 5" xfId="1263" xr:uid="{3D2C1637-65B4-47C1-9368-F1B91F51071F}"/>
    <cellStyle name="Normal 3 2 14" xfId="202" xr:uid="{AC27F027-8EFA-48A4-A95C-AAC4ADC3A9A9}"/>
    <cellStyle name="Normal 3 2 14 2" xfId="601" xr:uid="{76E87F82-B8CE-4274-BB51-DDAE3B10B2EC}"/>
    <cellStyle name="Normal 3 2 14 3" xfId="848" xr:uid="{D6DDA6F0-EE03-42AB-93BE-B580483F763F}"/>
    <cellStyle name="Normal 3 2 14 4" xfId="980" xr:uid="{D57AEC6C-BF9B-4F23-8823-4D6127BE0220}"/>
    <cellStyle name="Normal 3 2 14 5" xfId="1435" xr:uid="{6444C403-C8B1-4876-97DC-42BAEADED6A4}"/>
    <cellStyle name="Normal 3 2 15" xfId="144" xr:uid="{A59A6F22-9798-4781-B688-E72431201457}"/>
    <cellStyle name="Normal 3 2 15 2" xfId="548" xr:uid="{06C15D28-747E-4545-A488-63D630D40354}"/>
    <cellStyle name="Normal 3 2 15 3" xfId="1380" xr:uid="{D621F29E-3F37-4102-A576-7008845E8BDC}"/>
    <cellStyle name="Normal 3 2 16" xfId="337" xr:uid="{D10305D6-807E-463B-B211-DAD58F938ACB}"/>
    <cellStyle name="Normal 3 2 16 2" xfId="508" xr:uid="{149E87A0-A8AF-4020-9925-0B5D4C03E6EF}"/>
    <cellStyle name="Normal 3 2 16 3" xfId="1569" xr:uid="{DACECEA5-A09B-4C47-999F-9F63F91518FF}"/>
    <cellStyle name="Normal 3 2 17" xfId="378" xr:uid="{DCC2B540-AC3C-4728-8C98-ADECD16BC2B6}"/>
    <cellStyle name="Normal 3 2 17 2" xfId="1610" xr:uid="{2E832230-AE0A-4C99-9F22-19F229C652CE}"/>
    <cellStyle name="Normal 3 2 18" xfId="397" xr:uid="{26E342ED-CC6D-4671-88F4-3F1F7928EABC}"/>
    <cellStyle name="Normal 3 2 18 2" xfId="1339" xr:uid="{40C68538-8BA0-4E81-B820-8C0B053203BD}"/>
    <cellStyle name="Normal 3 2 19" xfId="736" xr:uid="{9DFC1692-E602-4E02-9197-EA9A22C10FCD}"/>
    <cellStyle name="Normal 3 2 19 2" xfId="1290" xr:uid="{870F8D22-B161-4EE8-9492-FFB786247B66}"/>
    <cellStyle name="Normal 3 2 2" xfId="15" xr:uid="{00000000-0005-0000-0000-00000A000000}"/>
    <cellStyle name="Normal 3 2 2 10" xfId="203" xr:uid="{B746EDF1-90B0-4718-97E8-DA4ABF17FDC7}"/>
    <cellStyle name="Normal 3 2 2 10 2" xfId="602" xr:uid="{77CE25E5-3595-4635-9F82-E0394E3E84C5}"/>
    <cellStyle name="Normal 3 2 2 10 2 2" xfId="1436" xr:uid="{054E1F26-5196-4193-B5FA-22CEE7C8DA35}"/>
    <cellStyle name="Normal 3 2 2 10 3" xfId="821" xr:uid="{682A3260-BFB4-4E97-A90A-D5898FA846BD}"/>
    <cellStyle name="Normal 3 2 2 10 3 2" xfId="1798" xr:uid="{79CEE2E0-0A85-4C67-A75B-9BC0C18F7BD5}"/>
    <cellStyle name="Normal 3 2 2 10 4" xfId="1067" xr:uid="{09548134-3505-43B4-A260-3F32028D2011}"/>
    <cellStyle name="Normal 3 2 2 10 5" xfId="1266" xr:uid="{06777339-745C-442C-B8F6-6F03110109CD}"/>
    <cellStyle name="Normal 3 2 2 11" xfId="147" xr:uid="{78E1DC43-F6CC-4DAE-A337-2D875265BA59}"/>
    <cellStyle name="Normal 3 2 2 11 2" xfId="551" xr:uid="{6E34957F-60B0-4857-8B13-3E3ED4623021}"/>
    <cellStyle name="Normal 3 2 2 11 3" xfId="855" xr:uid="{A58C878A-4BCC-45D6-BC64-B007E0735921}"/>
    <cellStyle name="Normal 3 2 2 11 4" xfId="982" xr:uid="{08FFD782-8359-401C-97DC-2302743F2C76}"/>
    <cellStyle name="Normal 3 2 2 11 5" xfId="1383" xr:uid="{16B2B3ED-E77F-4812-AA11-26FD58C43D14}"/>
    <cellStyle name="Normal 3 2 2 12" xfId="340" xr:uid="{1C13AEFA-F61C-4618-8FE4-7352D050AC27}"/>
    <cellStyle name="Normal 3 2 2 12 2" xfId="515" xr:uid="{8EA5D40D-C2F6-4C28-A5C2-E2830645CCB1}"/>
    <cellStyle name="Normal 3 2 2 12 3" xfId="1572" xr:uid="{532F1055-C4DC-4A96-A489-33065D284206}"/>
    <cellStyle name="Normal 3 2 2 13" xfId="379" xr:uid="{4DC872B3-7BB4-42B7-9AD3-002605D86C7E}"/>
    <cellStyle name="Normal 3 2 2 13 2" xfId="1611" xr:uid="{D3FD61C6-CD24-4421-99DB-806E39E42C7C}"/>
    <cellStyle name="Normal 3 2 2 14" xfId="400" xr:uid="{810FE2BE-29E8-425F-895A-1A318AD7ACB8}"/>
    <cellStyle name="Normal 3 2 2 14 2" xfId="1347" xr:uid="{41ED4F50-99C4-4D6F-B636-EDE86EAFD512}"/>
    <cellStyle name="Normal 3 2 2 15" xfId="737" xr:uid="{AE40C3C7-53F8-4E46-88A1-20D6C8D96B5B}"/>
    <cellStyle name="Normal 3 2 2 15 2" xfId="1292" xr:uid="{25117E15-5AC3-4218-805D-020031025BC4}"/>
    <cellStyle name="Normal 3 2 2 16" xfId="896" xr:uid="{EFB1903F-5B94-40DC-BE62-EC522CFC6F01}"/>
    <cellStyle name="Normal 3 2 2 16 2" xfId="1179" xr:uid="{5672304B-71BB-4490-9F79-14F06E66C2F7}"/>
    <cellStyle name="Normal 3 2 2 17" xfId="111" xr:uid="{A8AD3E1D-F5F6-46A9-A324-ADB832E0F144}"/>
    <cellStyle name="Normal 3 2 2 17 2" xfId="1666" xr:uid="{D15219FE-2811-4CC1-BB61-E39DC2C302DD}"/>
    <cellStyle name="Normal 3 2 2 18" xfId="1718" xr:uid="{F3243129-4C50-469D-A61B-24BC4B675C08}"/>
    <cellStyle name="Normal 3 2 2 19" xfId="1135" xr:uid="{09EBDB8E-5B36-4385-A195-E896F9FB5BCF}"/>
    <cellStyle name="Normal 3 2 2 2" xfId="23" xr:uid="{00000000-0005-0000-0000-00000B000000}"/>
    <cellStyle name="Normal 3 2 2 2 10" xfId="734" xr:uid="{0A356D20-823D-44E7-8F03-69361E96FB30}"/>
    <cellStyle name="Normal 3 2 2 2 10 2" xfId="1295" xr:uid="{FBB43EEF-89FA-43C2-A91E-1E8229B7F50E}"/>
    <cellStyle name="Normal 3 2 2 2 11" xfId="758" xr:uid="{4F3ACCBF-C4FA-4925-9D96-EEBF6165F538}"/>
    <cellStyle name="Normal 3 2 2 2 11 2" xfId="1202" xr:uid="{946E16C0-7C44-4031-926A-DC1E507C3CB5}"/>
    <cellStyle name="Normal 3 2 2 2 12" xfId="904" xr:uid="{EF94CC47-55A3-4DBD-A96A-A9AF39A8FDFC}"/>
    <cellStyle name="Normal 3 2 2 2 12 2" xfId="1667" xr:uid="{689C397A-CC51-441C-960F-8CC8986BDD6B}"/>
    <cellStyle name="Normal 3 2 2 2 13" xfId="119" xr:uid="{96E57422-3814-4E22-86A9-95186A306D78}"/>
    <cellStyle name="Normal 3 2 2 2 13 2" xfId="1724" xr:uid="{D6A21038-BC2A-4F9C-AE67-93519B91A6EB}"/>
    <cellStyle name="Normal 3 2 2 2 14" xfId="1137" xr:uid="{F344E41D-95C7-4699-A01C-8E324E24112E}"/>
    <cellStyle name="Normal 3 2 2 2 15" xfId="1129" xr:uid="{DDC1ACCB-276F-46C5-A953-15EC3402537A}"/>
    <cellStyle name="Normal 3 2 2 2 16" xfId="1111" xr:uid="{1F212B14-C461-4C21-A0F1-470A02A2E0B0}"/>
    <cellStyle name="Normal 3 2 2 2 2" xfId="35" xr:uid="{00000000-0005-0000-0000-00000C000000}"/>
    <cellStyle name="Normal 3 2 2 2 2 10" xfId="131" xr:uid="{826A7082-E2E1-4C47-A08E-3423308AFA7C}"/>
    <cellStyle name="Normal 3 2 2 2 2 10 2" xfId="1709" xr:uid="{BF9E91BD-BAD8-457F-8E18-89A5211BEDBD}"/>
    <cellStyle name="Normal 3 2 2 2 2 11" xfId="1755" xr:uid="{1D7CBE74-044C-40A2-9A89-B0997AAA8992}"/>
    <cellStyle name="Normal 3 2 2 2 2 12" xfId="1154" xr:uid="{D0DCAE9C-5C0F-4F96-817B-BE889361B750}"/>
    <cellStyle name="Normal 3 2 2 2 2 13" xfId="1130" xr:uid="{3D9AA839-1131-4A48-8632-236D32CDBCEF}"/>
    <cellStyle name="Normal 3 2 2 2 2 14" xfId="1120" xr:uid="{4DE0CF6D-582A-4E1A-A646-70F3629734A0}"/>
    <cellStyle name="Normal 3 2 2 2 2 2" xfId="89" xr:uid="{FBB31B8A-3D2F-45CB-9C7A-B69BAA504739}"/>
    <cellStyle name="Normal 3 2 2 2 2 2 2" xfId="733" xr:uid="{08727DA1-0650-4C1E-AF50-C06FE91EBA3E}"/>
    <cellStyle name="Normal 3 2 2 2 2 2 2 2" xfId="1089" xr:uid="{B1FB9A7F-1302-4E90-A10D-F85375786A8B}"/>
    <cellStyle name="Normal 3 2 2 2 2 2 2 3" xfId="1566" xr:uid="{7F9A5358-F065-48D2-A994-693BF4F35B25}"/>
    <cellStyle name="Normal 3 2 2 2 2 2 3" xfId="843" xr:uid="{6F792900-3730-42C0-B8D7-C77D9A8DFBF0}"/>
    <cellStyle name="Normal 3 2 2 2 2 2 3 2" xfId="1828" xr:uid="{5943D3F3-8556-426A-A90E-9882E2E84D1E}"/>
    <cellStyle name="Normal 3 2 2 2 2 2 4" xfId="968" xr:uid="{F652D352-6B26-4B21-996E-55BE9749E748}"/>
    <cellStyle name="Normal 3 2 2 2 2 2 5" xfId="334" xr:uid="{D44D4FDB-4D08-454D-BF97-3110234D0987}"/>
    <cellStyle name="Normal 3 2 2 2 2 2 6" xfId="1288" xr:uid="{562F1951-0D1B-4D68-AB47-1CE836E77D78}"/>
    <cellStyle name="Normal 3 2 2 2 2 3" xfId="57" xr:uid="{AD3CE32B-1CF1-43F4-B087-B4D6D127DBBD}"/>
    <cellStyle name="Normal 3 2 2 2 2 3 2" xfId="652" xr:uid="{8C80B2A0-7108-4D4A-BF06-AEA25DF570A0}"/>
    <cellStyle name="Normal 3 2 2 2 2 3 3" xfId="875" xr:uid="{08769A56-CD8F-4FBF-942E-315D11A6D681}"/>
    <cellStyle name="Normal 3 2 2 2 2 3 4" xfId="937" xr:uid="{E3A7D7D0-476A-4EA1-9DFC-D14B9A7008E9}"/>
    <cellStyle name="Normal 3 2 2 2 2 3 5" xfId="253" xr:uid="{486C13F3-F695-411E-A9FD-5BE75ED3B142}"/>
    <cellStyle name="Normal 3 2 2 2 2 3 6" xfId="1486" xr:uid="{55C3B89B-F264-4D8E-97C6-C1DB8656AF17}"/>
    <cellStyle name="Normal 3 2 2 2 2 4" xfId="199" xr:uid="{078FD0FD-D71F-46BF-9FD1-A9D6FAEAE8DA}"/>
    <cellStyle name="Normal 3 2 2 2 2 4 2" xfId="598" xr:uid="{AD06674E-D8CE-43E1-932E-57E74CD31352}"/>
    <cellStyle name="Normal 3 2 2 2 2 4 3" xfId="1032" xr:uid="{657B3B08-AC03-439C-BCF3-CF224F4E07A4}"/>
    <cellStyle name="Normal 3 2 2 2 2 4 4" xfId="1432" xr:uid="{B4EA366C-56A4-4192-88A6-2C041CA25AA6}"/>
    <cellStyle name="Normal 3 2 2 2 2 5" xfId="376" xr:uid="{9FD5CB7A-03B4-4FB1-9099-89BB7B6AA8B8}"/>
    <cellStyle name="Normal 3 2 2 2 2 5 2" xfId="535" xr:uid="{E7E3B80E-F9BF-43DF-A7EE-C498503CCFD7}"/>
    <cellStyle name="Normal 3 2 2 2 2 5 3" xfId="1608" xr:uid="{F7602B15-110C-492E-A48E-F11E96BA11C8}"/>
    <cellStyle name="Normal 3 2 2 2 2 6" xfId="385" xr:uid="{4EAFC967-8603-4789-A123-A37AAA21E03C}"/>
    <cellStyle name="Normal 3 2 2 2 2 6 2" xfId="1647" xr:uid="{C40938DE-F1D7-48E7-B6C8-A9DA2169155C}"/>
    <cellStyle name="Normal 3 2 2 2 2 7" xfId="483" xr:uid="{1CC12123-B6EB-490A-B3DB-0A3AB68951A1}"/>
    <cellStyle name="Normal 3 2 2 2 2 7 2" xfId="1367" xr:uid="{96FB139A-F502-42C9-AC02-6FD0C38870E0}"/>
    <cellStyle name="Normal 3 2 2 2 2 8" xfId="787" xr:uid="{DC25C9B5-5F1F-40A5-9087-3B49780C4D7F}"/>
    <cellStyle name="Normal 3 2 2 2 2 8 2" xfId="1318" xr:uid="{8346EB2D-4640-4615-AB3B-8815041096D6}"/>
    <cellStyle name="Normal 3 2 2 2 2 9" xfId="916" xr:uid="{2D66B51B-BFDE-4A7E-9838-1A113E162567}"/>
    <cellStyle name="Normal 3 2 2 2 2 9 2" xfId="1231" xr:uid="{59270D6B-BDE2-489E-842F-DA8F29FC9B8D}"/>
    <cellStyle name="Normal 3 2 2 2 3" xfId="47" xr:uid="{BD596A83-DFFB-4B6D-A17D-49E428CF64BD}"/>
    <cellStyle name="Normal 3 2 2 2 3 10" xfId="1743" xr:uid="{6EE1AC6A-E880-4A6C-A396-5323741E5D1E}"/>
    <cellStyle name="Normal 3 2 2 2 3 11" xfId="1150" xr:uid="{8B0B1894-D553-4680-A667-2A0E9A382907}"/>
    <cellStyle name="Normal 3 2 2 2 3 2" xfId="77" xr:uid="{0EAAAB1D-802F-4EC0-873D-B51A7A31A3EF}"/>
    <cellStyle name="Normal 3 2 2 2 3 2 2" xfId="708" xr:uid="{FACB6E99-DE68-470D-99FE-297D69801A09}"/>
    <cellStyle name="Normal 3 2 2 2 3 2 2 2" xfId="1080" xr:uid="{95D0AA26-84C8-47EB-8124-C5065E8EDFFA}"/>
    <cellStyle name="Normal 3 2 2 2 3 2 2 3" xfId="1541" xr:uid="{E2853352-2989-48D6-ABA8-AC96633B3B25}"/>
    <cellStyle name="Normal 3 2 2 2 3 2 3" xfId="834" xr:uid="{73AF7C1E-F1EF-4D6F-92D5-0E05DD163799}"/>
    <cellStyle name="Normal 3 2 2 2 3 2 3 2" xfId="1823" xr:uid="{F0528492-A007-4B51-A1CC-AA8E88298E47}"/>
    <cellStyle name="Normal 3 2 2 2 3 2 4" xfId="956" xr:uid="{12F28B59-ABBA-4CE9-9C8D-18BFD8137803}"/>
    <cellStyle name="Normal 3 2 2 2 3 2 5" xfId="309" xr:uid="{DB64CCED-1043-4F7A-9B6F-A1776FBA66CF}"/>
    <cellStyle name="Normal 3 2 2 2 3 2 6" xfId="1279" xr:uid="{9852B5DC-95FA-47FE-8E32-807F32AB13BE}"/>
    <cellStyle name="Normal 3 2 2 2 3 3" xfId="278" xr:uid="{D8CAB721-A230-4DB4-8D6C-0564D1905440}"/>
    <cellStyle name="Normal 3 2 2 2 3 3 2" xfId="677" xr:uid="{1D53E2C0-AF81-4905-A250-4C84DF07F8FC}"/>
    <cellStyle name="Normal 3 2 2 2 3 3 3" xfId="1056" xr:uid="{6EDD223F-51AC-4961-801A-AA83AAA11405}"/>
    <cellStyle name="Normal 3 2 2 2 3 3 4" xfId="1510" xr:uid="{C61BFC7B-0C52-446D-B0EB-AC4539248DC0}"/>
    <cellStyle name="Normal 3 2 2 2 3 4" xfId="365" xr:uid="{15F5537A-CC7C-4EC0-ACCD-3A904B0D5372}"/>
    <cellStyle name="Normal 3 2 2 2 3 4 2" xfId="590" xr:uid="{BB18CBFD-F849-45C4-8F16-D62B5FA01675}"/>
    <cellStyle name="Normal 3 2 2 2 3 4 3" xfId="1597" xr:uid="{C84A6CC7-A868-42BA-A1BF-17DA58CAD531}"/>
    <cellStyle name="Normal 3 2 2 2 3 5" xfId="471" xr:uid="{BDD31613-5087-409D-BE8A-F99EE15DC7A4}"/>
    <cellStyle name="Normal 3 2 2 2 3 5 2" xfId="1635" xr:uid="{8028BA86-B173-4D44-85D8-92E38E2871B5}"/>
    <cellStyle name="Normal 3 2 2 2 3 6" xfId="811" xr:uid="{38433F39-482F-4E30-90ED-34B2C33ACD0C}"/>
    <cellStyle name="Normal 3 2 2 2 3 6 2" xfId="1424" xr:uid="{43FCE599-9087-4522-AEE1-EA449B66C2E3}"/>
    <cellStyle name="Normal 3 2 2 2 3 7" xfId="927" xr:uid="{A4703146-FB09-4FBF-9BB3-BD67DDEFB3CA}"/>
    <cellStyle name="Normal 3 2 2 2 3 7 2" xfId="1302" xr:uid="{B2E6B021-BB7E-47B1-92CB-AA7CD4EFB333}"/>
    <cellStyle name="Normal 3 2 2 2 3 8" xfId="191" xr:uid="{7CD232B9-72B2-49E8-BE67-FD9B51D7AF52}"/>
    <cellStyle name="Normal 3 2 2 2 3 8 2" xfId="1256" xr:uid="{FA8DEEE7-5912-4F4B-B588-00696C914605}"/>
    <cellStyle name="Normal 3 2 2 2 3 9" xfId="1700" xr:uid="{71668ACB-8E94-4FCC-9038-73E4ADA834D2}"/>
    <cellStyle name="Normal 3 2 2 2 4" xfId="55" xr:uid="{E409BD7A-2158-4C89-BDD2-014F772D44D8}"/>
    <cellStyle name="Normal 3 2 2 2 4 2" xfId="689" xr:uid="{77742B17-9A78-48AE-A085-FDFA0843DCE1}"/>
    <cellStyle name="Normal 3 2 2 2 4 2 2" xfId="1076" xr:uid="{B3EB5856-3167-40C4-99FE-A358D67CAF07}"/>
    <cellStyle name="Normal 3 2 2 2 4 2 2 2" xfId="1806" xr:uid="{1BC63C58-7E97-4514-A556-D7D5549D594E}"/>
    <cellStyle name="Normal 3 2 2 2 4 2 3" xfId="1522" xr:uid="{E688FAE3-A08C-4C7E-A0B1-B9AA1E97DCAA}"/>
    <cellStyle name="Normal 3 2 2 2 4 3" xfId="452" xr:uid="{D2AC5E35-0852-4C1D-A052-6BED4FDA96EF}"/>
    <cellStyle name="Normal 3 2 2 2 4 3 2" xfId="1275" xr:uid="{8B100498-F063-49F5-B11E-309D5C674366}"/>
    <cellStyle name="Normal 3 2 2 2 4 4" xfId="830" xr:uid="{36C6A7C7-C53F-413E-BAA9-44BEDD9BDF8D}"/>
    <cellStyle name="Normal 3 2 2 2 4 4 2" xfId="1675" xr:uid="{F1C21511-B424-48BE-A220-957CF12BFB5B}"/>
    <cellStyle name="Normal 3 2 2 2 4 5" xfId="935" xr:uid="{BA56DE13-9F7D-4FC3-AF7C-BE52ECC5D496}"/>
    <cellStyle name="Normal 3 2 2 2 4 5 2" xfId="1767" xr:uid="{EB3F17B1-4842-404E-B158-94A42681AD27}"/>
    <cellStyle name="Normal 3 2 2 2 4 6" xfId="290" xr:uid="{635F4B63-7CB2-44B5-8EE1-73ADC0F54E6B}"/>
    <cellStyle name="Normal 3 2 2 2 4 7" xfId="1143" xr:uid="{6B4E9E14-9D27-472C-B12A-FDB12CFBF96D}"/>
    <cellStyle name="Normal 3 2 2 2 5" xfId="100" xr:uid="{93E70107-9D90-422D-9AF3-F55CA3DE60A9}"/>
    <cellStyle name="Normal 3 2 2 2 5 2" xfId="623" xr:uid="{4768790E-A01D-4CA3-A531-95ACE4BAD3B3}"/>
    <cellStyle name="Normal 3 2 2 2 5 2 2" xfId="1457" xr:uid="{982D7185-53FD-48FC-B22C-2DBD5E41FEC4}"/>
    <cellStyle name="Normal 3 2 2 2 5 3" xfId="826" xr:uid="{F74090F7-0D88-4621-91E9-D4B66323CE0A}"/>
    <cellStyle name="Normal 3 2 2 2 5 3 2" xfId="1799" xr:uid="{5AEF47F7-F7BE-44D5-B2D8-DEF90B783064}"/>
    <cellStyle name="Normal 3 2 2 2 5 4" xfId="1072" xr:uid="{4596622B-1C34-482D-8AC0-5CCAECADF59A}"/>
    <cellStyle name="Normal 3 2 2 2 5 5" xfId="224" xr:uid="{37079FA1-05B0-4200-BBFF-576EF81B5CC2}"/>
    <cellStyle name="Normal 3 2 2 2 5 6" xfId="1271" xr:uid="{A18B068B-448F-439D-BCDB-706B0571EBEC}"/>
    <cellStyle name="Normal 3 2 2 2 6" xfId="154" xr:uid="{BE4E82A7-DE69-4516-8569-24E524DD9668}"/>
    <cellStyle name="Normal 3 2 2 2 6 2" xfId="558" xr:uid="{6F1E13C0-AEF2-4B77-BAAB-F3915D25C090}"/>
    <cellStyle name="Normal 3 2 2 2 6 2 2" xfId="1390" xr:uid="{C5FB869B-607D-4C97-863E-674B7A4B509B}"/>
    <cellStyle name="Normal 3 2 2 2 6 3" xfId="822" xr:uid="{3B91B49D-C087-4D17-81A4-4030CC0C7C4A}"/>
    <cellStyle name="Normal 3 2 2 2 6 4" xfId="1068" xr:uid="{940B268F-44F7-4BBB-8F58-EF97BF340D13}"/>
    <cellStyle name="Normal 3 2 2 2 6 5" xfId="1267" xr:uid="{98E918BB-DED4-4DE1-BBD9-03C0C395871D}"/>
    <cellStyle name="Normal 3 2 2 2 7" xfId="342" xr:uid="{DCAF3E23-91DE-44CC-9BDD-084AA784EC75}"/>
    <cellStyle name="Normal 3 2 2 2 7 2" xfId="523" xr:uid="{6A6A26B4-9EFC-4945-8A1C-A1A8970C4D52}"/>
    <cellStyle name="Normal 3 2 2 2 7 3" xfId="844" xr:uid="{CDB5C420-7CEA-4F3B-ABF9-A1F178FB73B5}"/>
    <cellStyle name="Normal 3 2 2 2 7 4" xfId="1003" xr:uid="{A7F422EF-D702-420A-A01D-51125D654A7D}"/>
    <cellStyle name="Normal 3 2 2 2 7 5" xfId="1574" xr:uid="{98F39401-2880-4656-998A-1E31209D47A4}"/>
    <cellStyle name="Normal 3 2 2 2 8" xfId="380" xr:uid="{937576AD-E5DA-402C-BD33-BE4FF933B70C}"/>
    <cellStyle name="Normal 3 2 2 2 8 2" xfId="863" xr:uid="{7D6BFBA8-5374-4563-B994-983BEB9979C8}"/>
    <cellStyle name="Normal 3 2 2 2 8 2 2" xfId="1661" xr:uid="{94754A6D-9F22-4C7E-A8D4-538B2CD14022}"/>
    <cellStyle name="Normal 3 2 2 2 8 3" xfId="1615" xr:uid="{DA104952-7BCD-48D7-A95D-54616D36BBAC}"/>
    <cellStyle name="Normal 3 2 2 2 8 4" xfId="1118" xr:uid="{5F80F390-4279-46D4-9CCD-E5C39718906C}"/>
    <cellStyle name="Normal 3 2 2 2 9" xfId="423" xr:uid="{2CCB3F09-F1FA-478B-8393-247EFABD12BD}"/>
    <cellStyle name="Normal 3 2 2 2 9 2" xfId="1355" xr:uid="{DDA92708-8095-4532-9F41-C880D78A382E}"/>
    <cellStyle name="Normal 3 2 2 20" xfId="1127" xr:uid="{CE6B656B-69A2-4877-914D-BFF7AEA95B8C}"/>
    <cellStyle name="Normal 3 2 2 21" xfId="1099" xr:uid="{364D37B0-46EE-4C7E-B504-742FB040C503}"/>
    <cellStyle name="Normal 3 2 2 3" xfId="24" xr:uid="{00000000-0005-0000-0000-00000D000000}"/>
    <cellStyle name="Normal 3 2 2 3 10" xfId="905" xr:uid="{77894EEA-032E-41B8-AB8A-B549D86BBC09}"/>
    <cellStyle name="Normal 3 2 2 3 10 2" xfId="1210" xr:uid="{99D16867-1CD3-4036-805B-4D901A46A691}"/>
    <cellStyle name="Normal 3 2 2 3 11" xfId="120" xr:uid="{F4D1E1FE-7BEF-4C73-AD91-928D9D396B41}"/>
    <cellStyle name="Normal 3 2 2 3 11 2" xfId="1704" xr:uid="{9874B82F-1C91-4606-9A0C-BD8B34E3EEEF}"/>
    <cellStyle name="Normal 3 2 2 3 12" xfId="1744" xr:uid="{D13FE87A-E6A5-40C0-AA38-8D3EA9305C9A}"/>
    <cellStyle name="Normal 3 2 2 3 13" xfId="1174" xr:uid="{C5C741F6-BAE0-4DF3-BCFB-9BD2DCBA7F44}"/>
    <cellStyle name="Normal 3 2 2 3 14" xfId="1115" xr:uid="{07613366-30D8-42A4-9C21-FB0C16D79C1D}"/>
    <cellStyle name="Normal 3 2 2 3 2" xfId="33" xr:uid="{00000000-0005-0000-0000-00000E000000}"/>
    <cellStyle name="Normal 3 2 2 3 2 2" xfId="87" xr:uid="{503B82C7-B6A7-4019-BFEA-28D49D05FDAC}"/>
    <cellStyle name="Normal 3 2 2 3 2 2 2" xfId="660" xr:uid="{82C91FAB-3068-4354-9DB5-0D258AFE8DE4}"/>
    <cellStyle name="Normal 3 2 2 3 2 2 3" xfId="873" xr:uid="{0E8C0A74-902E-4F34-9871-742A2E57D434}"/>
    <cellStyle name="Normal 3 2 2 3 2 2 4" xfId="966" xr:uid="{5349746A-FC25-4E60-BC2B-EE85AFB9C51B}"/>
    <cellStyle name="Normal 3 2 2 3 2 2 5" xfId="261" xr:uid="{9B138135-A7B6-4D7C-984F-51D20871F7FE}"/>
    <cellStyle name="Normal 3 2 2 3 2 2 6" xfId="1494" xr:uid="{3EA66027-339F-4A2F-B4CD-EB5A5E271B0D}"/>
    <cellStyle name="Normal 3 2 2 3 2 3" xfId="195" xr:uid="{5F4CE269-2202-4694-A3ED-682F4082DBC2}"/>
    <cellStyle name="Normal 3 2 2 3 2 3 2" xfId="594" xr:uid="{13500167-B41B-47F5-8A82-32F51537997D}"/>
    <cellStyle name="Normal 3 2 2 3 2 3 3" xfId="1040" xr:uid="{18D90B45-3DD6-4439-B9F4-06E96AE41522}"/>
    <cellStyle name="Normal 3 2 2 3 2 3 4" xfId="1428" xr:uid="{317C4F59-C21B-418A-9491-0B943109B179}"/>
    <cellStyle name="Normal 3 2 2 3 2 4" xfId="369" xr:uid="{3B1831BB-7836-4811-AD09-FDDDAC7F5AED}"/>
    <cellStyle name="Normal 3 2 2 3 2 4 2" xfId="533" xr:uid="{1F04CBD6-F82B-4B7D-BAA4-84AD269AD348}"/>
    <cellStyle name="Normal 3 2 2 3 2 4 3" xfId="1601" xr:uid="{2785DA21-AF47-4B39-85EE-3F5F8865B766}"/>
    <cellStyle name="Normal 3 2 2 3 2 5" xfId="481" xr:uid="{0110F3ED-53E2-43EF-ACEE-E55099FBA966}"/>
    <cellStyle name="Normal 3 2 2 3 2 5 2" xfId="1645" xr:uid="{BE042286-4E32-4378-8887-4D4FFB79CEF0}"/>
    <cellStyle name="Normal 3 2 2 3 2 6" xfId="795" xr:uid="{7C5C2120-3ED5-4019-AD21-CEACF8E8F7D6}"/>
    <cellStyle name="Normal 3 2 2 3 2 6 2" xfId="1365" xr:uid="{E5964430-3D17-41CD-91B4-BB79CF45F501}"/>
    <cellStyle name="Normal 3 2 2 3 2 7" xfId="914" xr:uid="{937A7699-3BFA-4844-B55B-69BDAEB8F25C}"/>
    <cellStyle name="Normal 3 2 2 3 2 7 2" xfId="1713" xr:uid="{D514CB3D-283B-45DC-AB4F-B502AC30BE53}"/>
    <cellStyle name="Normal 3 2 2 3 2 8" xfId="129" xr:uid="{BF86200C-3D62-4612-BFDF-798A28870850}"/>
    <cellStyle name="Normal 3 2 2 3 2 8 2" xfId="1753" xr:uid="{2C67EBFF-FB1D-406E-ACE9-CCF85A08D449}"/>
    <cellStyle name="Normal 3 2 2 3 2 9" xfId="1239" xr:uid="{EEC51C53-7FDF-42A2-93BA-D0B7CABF60B0}"/>
    <cellStyle name="Normal 3 2 2 3 3" xfId="78" xr:uid="{7328E75B-2F1A-40EA-B7B1-26C277055636}"/>
    <cellStyle name="Normal 3 2 2 3 3 2" xfId="728" xr:uid="{A6958703-65DA-42C3-AEF3-7F46FE042161}"/>
    <cellStyle name="Normal 3 2 2 3 3 2 2" xfId="1086" xr:uid="{BF2FC337-72AA-4E4B-930C-512C2859E8BB}"/>
    <cellStyle name="Normal 3 2 2 3 3 2 3" xfId="1636" xr:uid="{FAF2577C-4E43-444D-99D4-A168463CFC52}"/>
    <cellStyle name="Normal 3 2 2 3 3 3" xfId="472" xr:uid="{C41E9387-EEF6-4FA8-B2E6-4040EE9A6D8F}"/>
    <cellStyle name="Normal 3 2 2 3 3 3 2" xfId="1561" xr:uid="{0AFC9913-60AB-484D-AF9B-8CCDB3684C77}"/>
    <cellStyle name="Normal 3 2 2 3 3 4" xfId="840" xr:uid="{866D1D80-C121-4192-9812-2865A191C7C7}"/>
    <cellStyle name="Normal 3 2 2 3 3 4 2" xfId="1824" xr:uid="{02DA9B81-EAF3-45C7-9CE5-E7329D6669D1}"/>
    <cellStyle name="Normal 3 2 2 3 3 5" xfId="957" xr:uid="{00D07DF1-3B36-4C3D-852B-1B91E074E9EB}"/>
    <cellStyle name="Normal 3 2 2 3 3 6" xfId="329" xr:uid="{FF8ABD42-DEEC-426B-8DDD-8F4A9C0239AC}"/>
    <cellStyle name="Normal 3 2 2 3 3 7" xfId="1285" xr:uid="{683190A7-0122-43E0-BCA8-277DA880C683}"/>
    <cellStyle name="Normal 3 2 2 3 4" xfId="56" xr:uid="{3D7BE3FD-92D3-45DA-A89E-1BE8164B680E}"/>
    <cellStyle name="Normal 3 2 2 3 4 2" xfId="631" xr:uid="{4563962A-077A-4086-9A51-53F3B2B3E26C}"/>
    <cellStyle name="Normal 3 2 2 3 4 3" xfId="864" xr:uid="{2CD24007-7E5A-429E-85AE-B76B7C70D809}"/>
    <cellStyle name="Normal 3 2 2 3 4 4" xfId="936" xr:uid="{318A5C71-8594-40CB-BBE4-48EE991B2FEB}"/>
    <cellStyle name="Normal 3 2 2 3 4 5" xfId="232" xr:uid="{FBECEB3A-431D-46CB-BF63-A5A96A041550}"/>
    <cellStyle name="Normal 3 2 2 3 4 6" xfId="1465" xr:uid="{E3ACCE1E-9111-4AC6-9183-456E10D70C00}"/>
    <cellStyle name="Normal 3 2 2 3 5" xfId="169" xr:uid="{185B02F8-B6E3-4B04-99AF-E258AC182387}"/>
    <cellStyle name="Normal 3 2 2 3 5 2" xfId="570" xr:uid="{801A8E5C-A750-4A29-9A7A-4BDC2F4278B4}"/>
    <cellStyle name="Normal 3 2 2 3 5 3" xfId="1011" xr:uid="{2DC1676C-4554-4C29-9EFD-97DC060F9709}"/>
    <cellStyle name="Normal 3 2 2 3 5 4" xfId="1403" xr:uid="{E6B36A2E-2DBE-48E9-A221-98DC7E2144F6}"/>
    <cellStyle name="Normal 3 2 2 3 6" xfId="343" xr:uid="{37C99728-AB7D-4E56-8584-5E1D3B44210B}"/>
    <cellStyle name="Normal 3 2 2 3 6 2" xfId="524" xr:uid="{D5ABEFB9-4E47-4260-9159-2E2930B4F2FE}"/>
    <cellStyle name="Normal 3 2 2 3 6 3" xfId="1575" xr:uid="{964D1386-0C60-4CC1-9E86-A08F63463649}"/>
    <cellStyle name="Normal 3 2 2 3 7" xfId="384" xr:uid="{75D01A3F-1F99-43FB-AB3E-B3DD05D3B5B4}"/>
    <cellStyle name="Normal 3 2 2 3 7 2" xfId="1616" xr:uid="{466968DC-AA13-4C74-934C-6ADEBCAC13A6}"/>
    <cellStyle name="Normal 3 2 2 3 8" xfId="431" xr:uid="{390E61A1-AA06-4D8C-A2A2-83A5A8809675}"/>
    <cellStyle name="Normal 3 2 2 3 8 2" xfId="1356" xr:uid="{3EF366A8-09B3-436C-A819-86E174CA28B8}"/>
    <cellStyle name="Normal 3 2 2 3 9" xfId="766" xr:uid="{F3076D3A-1355-407B-8B19-DA73BB033695}"/>
    <cellStyle name="Normal 3 2 2 3 9 2" xfId="1331" xr:uid="{B92C4D59-175A-4BF2-B0E5-3E80A1929E55}"/>
    <cellStyle name="Normal 3 2 2 4" xfId="27" xr:uid="{00000000-0005-0000-0000-00000F000000}"/>
    <cellStyle name="Normal 3 2 2 4 10" xfId="123" xr:uid="{1DC611F8-B993-46A7-8742-3CFA5B10E5BD}"/>
    <cellStyle name="Normal 3 2 2 4 10 2" xfId="1708" xr:uid="{319E5C02-BC1E-4323-BFDE-079943C8C1B2}"/>
    <cellStyle name="Normal 3 2 2 4 11" xfId="1747" xr:uid="{DE746DC0-22A3-4165-A801-3FDB0DE496D3}"/>
    <cellStyle name="Normal 3 2 2 4 12" xfId="1153" xr:uid="{C94B41AC-107A-47C4-A438-7ECA9E120621}"/>
    <cellStyle name="Normal 3 2 2 4 13" xfId="1116" xr:uid="{00EAF087-F95F-4F30-9786-DEFF17BAF8D2}"/>
    <cellStyle name="Normal 3 2 2 4 2" xfId="81" xr:uid="{0E188283-85DA-4E9D-B847-FDCA96BB40CA}"/>
    <cellStyle name="Normal 3 2 2 4 2 2" xfId="723" xr:uid="{54A96C43-00C2-408B-8DE9-9FA6CC380EFB}"/>
    <cellStyle name="Normal 3 2 2 4 2 2 2" xfId="1083" xr:uid="{E3212A1B-45C4-4BBE-81E3-CEEF3F8A2A23}"/>
    <cellStyle name="Normal 3 2 2 4 2 2 3" xfId="1556" xr:uid="{DCBF56E4-A3D5-4286-9FCC-77F4604C5DB7}"/>
    <cellStyle name="Normal 3 2 2 4 2 3" xfId="475" xr:uid="{4D2769B8-13D5-4218-9FC6-EA6E4B0B04B5}"/>
    <cellStyle name="Normal 3 2 2 4 2 3 2" xfId="1827" xr:uid="{024D8068-F83A-46FD-B671-64031EA993F1}"/>
    <cellStyle name="Normal 3 2 2 4 2 4" xfId="837" xr:uid="{B32BBA7A-6C0A-43D8-BC4A-5A764B18C0F7}"/>
    <cellStyle name="Normal 3 2 2 4 2 5" xfId="960" xr:uid="{794B0011-BE75-4F01-B7D0-2A34E651B891}"/>
    <cellStyle name="Normal 3 2 2 4 2 6" xfId="324" xr:uid="{54A1EC1F-319C-43C2-B3E4-A31FEA0DF03B}"/>
    <cellStyle name="Normal 3 2 2 4 2 7" xfId="1282" xr:uid="{E2E42721-620D-48F8-BC7A-2D87210A554B}"/>
    <cellStyle name="Normal 3 2 2 4 3" xfId="269" xr:uid="{92AED30F-6C75-4F98-8316-DCFB1799F1A8}"/>
    <cellStyle name="Normal 3 2 2 4 3 2" xfId="668" xr:uid="{21E9009D-40A8-4C50-A574-9F66856C5E88}"/>
    <cellStyle name="Normal 3 2 2 4 3 3" xfId="867" xr:uid="{D4B25CE9-1CE8-4591-ACA4-CF0BFF152779}"/>
    <cellStyle name="Normal 3 2 2 4 3 4" xfId="1048" xr:uid="{7F80A854-4418-457A-A725-ABA1B6D07287}"/>
    <cellStyle name="Normal 3 2 2 4 3 5" xfId="1502" xr:uid="{EE94A07C-595C-4097-BF4E-F6823C967FC8}"/>
    <cellStyle name="Normal 3 2 2 4 4" xfId="170" xr:uid="{3A68FFB9-9481-4156-BFA8-9546AFD5EA00}"/>
    <cellStyle name="Normal 3 2 2 4 4 2" xfId="571" xr:uid="{34A8422C-1C3F-4277-97CF-6BAE49B83557}"/>
    <cellStyle name="Normal 3 2 2 4 4 3" xfId="1404" xr:uid="{307A1977-1CEC-4232-B128-CB3D65AFC2FB}"/>
    <cellStyle name="Normal 3 2 2 4 5" xfId="370" xr:uid="{A3264405-46FD-430B-8F62-BF7170D63DF9}"/>
    <cellStyle name="Normal 3 2 2 4 5 2" xfId="527" xr:uid="{8B21A8EC-FDE9-465F-A78E-FC032FEFCA06}"/>
    <cellStyle name="Normal 3 2 2 4 5 3" xfId="1602" xr:uid="{1ADC8284-AD54-40C0-9EEE-E21479992531}"/>
    <cellStyle name="Normal 3 2 2 4 6" xfId="391" xr:uid="{16CC47A8-9796-4D3E-958F-5569997A82A2}"/>
    <cellStyle name="Normal 3 2 2 4 6 2" xfId="1639" xr:uid="{D1686B2C-997E-4351-83A8-CFEF4822FD87}"/>
    <cellStyle name="Normal 3 2 2 4 7" xfId="415" xr:uid="{9C9A6482-575E-43CE-942E-284B81415C36}"/>
    <cellStyle name="Normal 3 2 2 4 7 2" xfId="1359" xr:uid="{19A89440-0D50-45AB-B1F4-4429C099EB01}"/>
    <cellStyle name="Normal 3 2 2 4 8" xfId="803" xr:uid="{52EAA724-3C76-4D6C-B407-5C8D2714E470}"/>
    <cellStyle name="Normal 3 2 2 4 8 2" xfId="1311" xr:uid="{C1452874-EEDE-482E-AA2E-43842B48A96F}"/>
    <cellStyle name="Normal 3 2 2 4 9" xfId="908" xr:uid="{56B720BE-D796-4846-9C4F-C71A2C111776}"/>
    <cellStyle name="Normal 3 2 2 4 9 2" xfId="1247" xr:uid="{86727A20-3994-4C77-9D82-8D484904D1A3}"/>
    <cellStyle name="Normal 3 2 2 5" xfId="41" xr:uid="{00000000-0005-0000-0000-000010000000}"/>
    <cellStyle name="Normal 3 2 2 5 10" xfId="1688" xr:uid="{3ED1C5DF-F894-4D74-8682-84434B0F42E3}"/>
    <cellStyle name="Normal 3 2 2 5 11" xfId="1761" xr:uid="{2CA2F5D1-870A-418F-B4E3-D42F62C6A793}"/>
    <cellStyle name="Normal 3 2 2 5 12" xfId="1149" xr:uid="{2D8A2A6A-3D83-490F-A8CF-08977E7D650D}"/>
    <cellStyle name="Normal 3 2 2 5 2" xfId="95" xr:uid="{B864B386-33CC-4638-ACA6-E8B31DC0C76F}"/>
    <cellStyle name="Normal 3 2 2 5 2 2" xfId="714" xr:uid="{F234B31C-F2A4-443D-9D42-75FE0B1FAD6E}"/>
    <cellStyle name="Normal 3 2 2 5 2 2 2" xfId="1079" xr:uid="{8BB969C1-C154-4C09-89A0-C03407AA175D}"/>
    <cellStyle name="Normal 3 2 2 5 2 2 3" xfId="1547" xr:uid="{EBBF8FEF-5380-46B7-B501-2AE4C115CC8B}"/>
    <cellStyle name="Normal 3 2 2 5 2 3" xfId="489" xr:uid="{8CC3C164-44C0-4728-AE4B-E75B3658DC5C}"/>
    <cellStyle name="Normal 3 2 2 5 2 3 2" xfId="1817" xr:uid="{D1382C89-047E-4061-BF50-A42D5182EAFE}"/>
    <cellStyle name="Normal 3 2 2 5 2 4" xfId="833" xr:uid="{B0820E87-23AA-430F-8AE9-1A4DD80E78FE}"/>
    <cellStyle name="Normal 3 2 2 5 2 5" xfId="974" xr:uid="{F2C7F20F-ECCD-4279-84B1-D19755A0ABFA}"/>
    <cellStyle name="Normal 3 2 2 5 2 6" xfId="315" xr:uid="{15E34245-BC0C-499B-A41F-B6DF00998DCF}"/>
    <cellStyle name="Normal 3 2 2 5 2 7" xfId="1278" xr:uid="{BC3AA619-0278-4CF4-9786-69C775E60C97}"/>
    <cellStyle name="Normal 3 2 2 5 3" xfId="245" xr:uid="{38725225-9EA2-4C08-97B1-128F89631799}"/>
    <cellStyle name="Normal 3 2 2 5 3 2" xfId="644" xr:uid="{3BC6C8B9-26FE-4D5B-B055-1B61E4097706}"/>
    <cellStyle name="Normal 3 2 2 5 3 3" xfId="881" xr:uid="{497EA23A-14FC-434E-B3A1-AAC5D5C33054}"/>
    <cellStyle name="Normal 3 2 2 5 3 4" xfId="1024" xr:uid="{C48E3232-D736-4008-9AD6-7D69308F36DE}"/>
    <cellStyle name="Normal 3 2 2 5 3 5" xfId="1478" xr:uid="{094E84C9-ADC4-4C4D-AEE0-920FAF3C571B}"/>
    <cellStyle name="Normal 3 2 2 5 4" xfId="183" xr:uid="{743595E0-6E2C-492B-8CF3-9016E79E5432}"/>
    <cellStyle name="Normal 3 2 2 5 4 2" xfId="582" xr:uid="{C5EBA082-E9EA-4E11-8E2B-C1F6E02D19FF}"/>
    <cellStyle name="Normal 3 2 2 5 4 3" xfId="1416" xr:uid="{4137F6AA-7091-48BE-9B53-96E1A23E2DCE}"/>
    <cellStyle name="Normal 3 2 2 5 5" xfId="374" xr:uid="{F6495292-80CA-4850-BFB4-2A7DCA9A6085}"/>
    <cellStyle name="Normal 3 2 2 5 5 2" xfId="541" xr:uid="{74923E37-0680-4FE8-8331-68F7575E084A}"/>
    <cellStyle name="Normal 3 2 2 5 5 3" xfId="1606" xr:uid="{4AFAA2A4-A086-43D0-8E7A-9034D93E2A9D}"/>
    <cellStyle name="Normal 3 2 2 5 6" xfId="438" xr:uid="{9AD3EF8E-8ABA-4453-9EB2-B05A7CF07F24}"/>
    <cellStyle name="Normal 3 2 2 5 6 2" xfId="1653" xr:uid="{81DF25B2-4D84-4FA7-9485-28EA6882B7D2}"/>
    <cellStyle name="Normal 3 2 2 5 7" xfId="779" xr:uid="{A9999E70-6C03-49D2-849C-7A31CEDE7157}"/>
    <cellStyle name="Normal 3 2 2 5 7 2" xfId="1373" xr:uid="{715DA2FD-2709-4879-AF8E-061A28DD8E65}"/>
    <cellStyle name="Normal 3 2 2 5 8" xfId="922" xr:uid="{3109E00E-9737-40B4-A65F-C2990736CB3A}"/>
    <cellStyle name="Normal 3 2 2 5 8 2" xfId="1298" xr:uid="{BB0C8A29-768C-43A4-97C8-E2315A5A8343}"/>
    <cellStyle name="Normal 3 2 2 5 9" xfId="137" xr:uid="{064F5F9E-7DB5-49E7-BBEB-CB717D37044C}"/>
    <cellStyle name="Normal 3 2 2 5 9 2" xfId="1223" xr:uid="{EDD5E058-AB2E-41E1-B486-C6BD38B2DB13}"/>
    <cellStyle name="Normal 3 2 2 6" xfId="45" xr:uid="{00000000-0005-0000-0000-000011000000}"/>
    <cellStyle name="Normal 3 2 2 6 10" xfId="1678" xr:uid="{3D36CA14-6F4F-462C-AD0D-F7C9FDB0AD4E}"/>
    <cellStyle name="Normal 3 2 2 6 11" xfId="1765" xr:uid="{BB732CD3-8C0C-4C85-89B7-642F7A1F5062}"/>
    <cellStyle name="Normal 3 2 2 6 12" xfId="1141" xr:uid="{1603272D-9641-4AB7-B8B9-F99C1BAEAD0D}"/>
    <cellStyle name="Normal 3 2 2 6 13" xfId="1128" xr:uid="{4D136940-845B-4209-812F-C7F18AB82BB7}"/>
    <cellStyle name="Normal 3 2 2 6 2" xfId="99" xr:uid="{BB0F1DED-7972-416B-8781-07E7A9C8333E}"/>
    <cellStyle name="Normal 3 2 2 6 2 2" xfId="700" xr:uid="{5EEB064D-5DF7-4697-8E3F-985B34CBBB05}"/>
    <cellStyle name="Normal 3 2 2 6 2 2 2" xfId="1075" xr:uid="{E40BCB8D-C713-4E7C-A3DB-78E33041D06B}"/>
    <cellStyle name="Normal 3 2 2 6 2 2 3" xfId="1533" xr:uid="{E69BD3F8-15D7-4A47-BD0B-3ACAD626CCB3}"/>
    <cellStyle name="Normal 3 2 2 6 2 3" xfId="493" xr:uid="{0229CE96-3BCB-4E2B-8171-FD9B84242FF9}"/>
    <cellStyle name="Normal 3 2 2 6 2 3 2" xfId="1809" xr:uid="{B82203F1-5325-4B17-A6CB-3C9D70A68699}"/>
    <cellStyle name="Normal 3 2 2 6 2 4" xfId="829" xr:uid="{A57EC9E4-1A09-4B29-B85E-977D364DCB9A}"/>
    <cellStyle name="Normal 3 2 2 6 2 5" xfId="978" xr:uid="{BEAF2274-DF51-4EED-B115-A5ACC6E01DFE}"/>
    <cellStyle name="Normal 3 2 2 6 2 6" xfId="301" xr:uid="{52E5027D-82C4-4783-8EE4-F8DE1644888D}"/>
    <cellStyle name="Normal 3 2 2 6 2 7" xfId="1274" xr:uid="{BE895C31-4D2C-4C96-AD89-810D22E27CCE}"/>
    <cellStyle name="Normal 3 2 2 6 3" xfId="270" xr:uid="{C23FB334-524F-412D-8112-3F03B03EB22E}"/>
    <cellStyle name="Normal 3 2 2 6 3 2" xfId="669" xr:uid="{97995FCA-3D1C-4498-9AAE-4DF48C1B3C29}"/>
    <cellStyle name="Normal 3 2 2 6 3 3" xfId="885" xr:uid="{62B0451F-410F-40BC-9CFD-AB90D1B59EBA}"/>
    <cellStyle name="Normal 3 2 2 6 3 4" xfId="1049" xr:uid="{D3BF3C6E-E7E3-4FBB-BB96-0A35A0E3D69F}"/>
    <cellStyle name="Normal 3 2 2 6 3 5" xfId="1503" xr:uid="{A3203F67-09AF-4544-BACE-E7818C56F62E}"/>
    <cellStyle name="Normal 3 2 2 6 4" xfId="200" xr:uid="{F1BA66C9-9B3F-4455-8F79-D7DB4A09B303}"/>
    <cellStyle name="Normal 3 2 2 6 4 2" xfId="599" xr:uid="{806FD0C5-AAEC-4E7C-8795-D73F50401047}"/>
    <cellStyle name="Normal 3 2 2 6 4 3" xfId="1433" xr:uid="{6EDB576C-0445-4D8A-A0B4-114983733887}"/>
    <cellStyle name="Normal 3 2 2 6 5" xfId="353" xr:uid="{2B3D68F5-6C34-48E2-8F44-70435D514283}"/>
    <cellStyle name="Normal 3 2 2 6 5 2" xfId="545" xr:uid="{CCAFD8BC-8BEA-4548-8564-ABC4F666B522}"/>
    <cellStyle name="Normal 3 2 2 6 5 3" xfId="1585" xr:uid="{0DE452E8-F435-43FA-A88F-78348FBDEA19}"/>
    <cellStyle name="Normal 3 2 2 6 6" xfId="443" xr:uid="{104DB4B1-D013-486E-AE5A-46B6F95CB1C7}"/>
    <cellStyle name="Normal 3 2 2 6 6 2" xfId="1657" xr:uid="{C9154FFA-046B-483F-9EDE-F66736F57419}"/>
    <cellStyle name="Normal 3 2 2 6 7" xfId="804" xr:uid="{F1CDDAD2-533C-4515-B5A5-807B750323CE}"/>
    <cellStyle name="Normal 3 2 2 6 7 2" xfId="1377" xr:uid="{1F844D67-C85A-4B89-A42C-2518F700FBE1}"/>
    <cellStyle name="Normal 3 2 2 6 8" xfId="926" xr:uid="{B34BC939-DB2D-4774-89E0-375040EC01B7}"/>
    <cellStyle name="Normal 3 2 2 6 8 2" xfId="1335" xr:uid="{9F06F77C-749C-4058-95FC-5688FDE2BD31}"/>
    <cellStyle name="Normal 3 2 2 6 9" xfId="141" xr:uid="{1D6CA0D3-4838-4879-919E-90A2689A2F94}"/>
    <cellStyle name="Normal 3 2 2 6 9 2" xfId="1248" xr:uid="{13F14411-BAF9-4DC8-A322-636A0947EBFB}"/>
    <cellStyle name="Normal 3 2 2 7" xfId="69" xr:uid="{7FA7DE8D-614E-4B90-BA74-C658A276CB30}"/>
    <cellStyle name="Normal 3 2 2 7 2" xfId="463" xr:uid="{7032F112-0AC4-4F0E-BFDF-5FB80ED5EBD9}"/>
    <cellStyle name="Normal 3 2 2 7 2 2" xfId="825" xr:uid="{9CE1FE9F-3CC1-482E-9DEC-239F2759E058}"/>
    <cellStyle name="Normal 3 2 2 7 2 2 2" xfId="1627" xr:uid="{780D077D-0DA8-42B7-A891-D6F95B371DD4}"/>
    <cellStyle name="Normal 3 2 2 7 2 3" xfId="1071" xr:uid="{92C539C6-D436-444C-AF32-D2A566C66FB7}"/>
    <cellStyle name="Normal 3 2 2 7 2 4" xfId="1270" xr:uid="{B5500D88-1C37-4BE0-840D-A356184E3752}"/>
    <cellStyle name="Normal 3 2 2 7 3" xfId="673" xr:uid="{11F562B5-8184-4468-9C11-B3A4EF82C823}"/>
    <cellStyle name="Normal 3 2 2 7 3 2" xfId="1052" xr:uid="{DF64BE21-2527-42A3-96DE-BD1D3A03C992}"/>
    <cellStyle name="Normal 3 2 2 7 3 3" xfId="1506" xr:uid="{AF3C36D4-AFC8-4906-AE84-052BD0BA405C}"/>
    <cellStyle name="Normal 3 2 2 7 4" xfId="444" xr:uid="{A29CA229-B1B9-4B66-ACA2-56333150E7D7}"/>
    <cellStyle name="Normal 3 2 2 7 4 2" xfId="1672" xr:uid="{AA574063-8452-44C2-9D11-1C65221FF70A}"/>
    <cellStyle name="Normal 3 2 2 7 5" xfId="807" xr:uid="{09C3E607-98FE-4C26-8D63-CFAD696871A5}"/>
    <cellStyle name="Normal 3 2 2 7 5 2" xfId="1735" xr:uid="{7B170B4B-1FE9-44FB-A544-10BE2C17BBE6}"/>
    <cellStyle name="Normal 3 2 2 7 6" xfId="948" xr:uid="{AB2F1687-FB3A-4470-85F1-17AF220290CE}"/>
    <cellStyle name="Normal 3 2 2 7 7" xfId="274" xr:uid="{5935750A-CC49-4E8B-A744-F39DC420567F}"/>
    <cellStyle name="Normal 3 2 2 7 8" xfId="1252" xr:uid="{EE64A8E1-26B0-497F-9B98-5EA0FD126FF8}"/>
    <cellStyle name="Normal 3 2 2 8" xfId="53" xr:uid="{6A1C5791-3E2F-4F67-8ED6-700105B9F7EE}"/>
    <cellStyle name="Normal 3 2 2 8 2" xfId="615" xr:uid="{49EC14C9-BF60-407D-B8F9-7C6BEA6487BE}"/>
    <cellStyle name="Normal 3 2 2 8 2 2" xfId="995" xr:uid="{36C6993D-DE83-46CA-A7BD-8F5D7EFD7209}"/>
    <cellStyle name="Normal 3 2 2 8 2 3" xfId="1449" xr:uid="{FF4EF72E-00BB-42A9-B069-53F11577B959}"/>
    <cellStyle name="Normal 3 2 2 8 3" xfId="447" xr:uid="{F09A3419-1C50-4B3B-B5E0-227FB80F55CD}"/>
    <cellStyle name="Normal 3 2 2 8 3 2" xfId="1714" xr:uid="{28D29EC4-E217-4CBD-B3A9-6791860F3252}"/>
    <cellStyle name="Normal 3 2 2 8 4" xfId="750" xr:uid="{54A02A95-8631-482D-98E4-22B9FCA5C351}"/>
    <cellStyle name="Normal 3 2 2 8 4 2" xfId="1829" xr:uid="{AE46E815-F1AC-470C-81EE-DDDDFDB357CB}"/>
    <cellStyle name="Normal 3 2 2 8 5" xfId="933" xr:uid="{807F8340-DEFF-4D71-A6D3-ADBF5C4B5384}"/>
    <cellStyle name="Normal 3 2 2 8 6" xfId="216" xr:uid="{44B718E0-ED66-4817-8BD4-C6E13A73DA02}"/>
    <cellStyle name="Normal 3 2 2 8 7" xfId="1194" xr:uid="{445A707F-E6D7-4D5D-9777-579A8ADA3DA6}"/>
    <cellStyle name="Normal 3 2 2 9" xfId="288" xr:uid="{995D395F-FE03-463C-9105-EC9F83E58125}"/>
    <cellStyle name="Normal 3 2 2 9 2" xfId="687" xr:uid="{EBFE9698-06F3-4246-AF37-05A1E719C2BB}"/>
    <cellStyle name="Normal 3 2 2 9 2 2" xfId="1520" xr:uid="{476843D6-87C6-4D80-A2A9-191E15F0E750}"/>
    <cellStyle name="Normal 3 2 2 9 3" xfId="816" xr:uid="{51B317E6-8B8B-4206-9663-1DFF7E76C9DD}"/>
    <cellStyle name="Normal 3 2 2 9 3 2" xfId="1836" xr:uid="{42F1EE71-F5C2-437E-8589-73ACA53B1CB7}"/>
    <cellStyle name="Normal 3 2 2 9 4" xfId="1061" xr:uid="{D5F58E10-F8C4-4E11-94CF-9B3A7268D8D4}"/>
    <cellStyle name="Normal 3 2 2 9 5" xfId="1261" xr:uid="{2345C45D-8923-4329-926D-E57E7E7BF942}"/>
    <cellStyle name="Normal 3 2 20" xfId="889" xr:uid="{C4389EBB-0D0B-48DB-AC9E-0092EA874EE8}"/>
    <cellStyle name="Normal 3 2 20 2" xfId="1178" xr:uid="{2039FCD8-3ED1-444F-8C1A-FFD5F6093382}"/>
    <cellStyle name="Normal 3 2 21" xfId="104" xr:uid="{3FCB5D62-1126-44B1-9721-9ED0F9830F37}"/>
    <cellStyle name="Normal 3 2 21 2" xfId="1663" xr:uid="{70078206-DAE6-49C1-ACC5-E8D281C593B3}"/>
    <cellStyle name="Normal 3 2 22" xfId="1722" xr:uid="{BB797FA2-A31F-448A-9FDD-918ADB1B0AEC}"/>
    <cellStyle name="Normal 3 2 23" xfId="1134" xr:uid="{9C679AF2-B51D-4304-8DC3-C4CDAD133BEA}"/>
    <cellStyle name="Normal 3 2 24" xfId="1124" xr:uid="{985E8E00-6726-41A8-95EC-BDF874A0D750}"/>
    <cellStyle name="Normal 3 2 25" xfId="1091" xr:uid="{A23D5F73-00A3-4E12-A939-7475EE7B9855}"/>
    <cellStyle name="Normal 3 2 3" xfId="20" xr:uid="{00000000-0005-0000-0000-000012000000}"/>
    <cellStyle name="Normal 3 2 3 10" xfId="420" xr:uid="{4A0EBDB7-B0FB-41EE-AF94-57D2C8D07D97}"/>
    <cellStyle name="Normal 3 2 3 10 2" xfId="1352" xr:uid="{E57B55B5-1FC7-4D09-8CAB-FB40750BDD5D}"/>
    <cellStyle name="Normal 3 2 3 11" xfId="755" xr:uid="{D4848E1A-4C91-4997-99E1-E81161A54325}"/>
    <cellStyle name="Normal 3 2 3 11 2" xfId="1294" xr:uid="{8B7E979A-2773-46B1-A960-1AE8166AC7E4}"/>
    <cellStyle name="Normal 3 2 3 12" xfId="901" xr:uid="{B10B781B-649E-443C-B868-82861A3A406D}"/>
    <cellStyle name="Normal 3 2 3 12 2" xfId="1199" xr:uid="{EB53E06F-C085-403D-A81A-3B28C19F40A1}"/>
    <cellStyle name="Normal 3 2 3 13" xfId="116" xr:uid="{37112A63-76F3-40C8-9793-EF74030E2F99}"/>
    <cellStyle name="Normal 3 2 3 13 2" xfId="1674" xr:uid="{85D9544C-1FEB-45C9-A416-B35F41F4E91B}"/>
    <cellStyle name="Normal 3 2 3 14" xfId="1740" xr:uid="{1028377E-D46D-47A6-8F4A-40414E073D54}"/>
    <cellStyle name="Normal 3 2 3 15" xfId="1176" xr:uid="{3594AD96-F846-46CE-AD8E-E34E8067A041}"/>
    <cellStyle name="Normal 3 2 3 16" xfId="1102" xr:uid="{3747B41A-4E03-441C-A54A-1CBDB654390E}"/>
    <cellStyle name="Normal 3 2 3 2" xfId="30" xr:uid="{00000000-0005-0000-0000-000013000000}"/>
    <cellStyle name="Normal 3 2 3 2 10" xfId="126" xr:uid="{ABB94444-1FFD-47C2-B6CC-4CC0D2844031}"/>
    <cellStyle name="Normal 3 2 3 2 10 2" xfId="1750" xr:uid="{424BA98B-BABA-417A-AD0D-28708251B80C}"/>
    <cellStyle name="Normal 3 2 3 2 11" xfId="1244" xr:uid="{204A42F6-2C31-4310-B3C1-BF3193F53CA7}"/>
    <cellStyle name="Normal 3 2 3 2 12" xfId="1114" xr:uid="{6451C7A9-3B0A-4559-A0CB-95A554A1F60B}"/>
    <cellStyle name="Normal 3 2 3 2 2" xfId="84" xr:uid="{0583B439-7362-4CA7-AA2C-67C76586FC30}"/>
    <cellStyle name="Normal 3 2 3 2 2 2" xfId="333" xr:uid="{F0C27FC1-49F9-4B44-9B4C-3F60F9720B89}"/>
    <cellStyle name="Normal 3 2 3 2 2 2 2" xfId="732" xr:uid="{1C67C126-8657-4461-B321-51E01304F7DA}"/>
    <cellStyle name="Normal 3 2 3 2 2 2 3" xfId="1565" xr:uid="{8DDE1764-2FA0-4807-BB08-D4C150CF8D61}"/>
    <cellStyle name="Normal 3 2 3 2 2 3" xfId="596" xr:uid="{D480BCA2-5006-4F13-8062-7FD9B769F528}"/>
    <cellStyle name="Normal 3 2 3 2 2 4" xfId="478" xr:uid="{2FDFCB2B-FEA7-44D6-B498-1BD55A1B7C0D}"/>
    <cellStyle name="Normal 3 2 3 2 2 5" xfId="870" xr:uid="{043E2BDA-4872-4A74-8289-EBB2CE81F0FE}"/>
    <cellStyle name="Normal 3 2 3 2 2 6" xfId="963" xr:uid="{994A5346-F6A4-4008-AC2B-E2E325690165}"/>
    <cellStyle name="Normal 3 2 3 2 2 7" xfId="197" xr:uid="{D025ED40-99CF-4BAA-B96A-BB368EFF5CAE}"/>
    <cellStyle name="Normal 3 2 3 2 2 8" xfId="1430" xr:uid="{8B8B258E-33D7-4072-A9D1-AA961CCCD95A}"/>
    <cellStyle name="Normal 3 2 3 2 3" xfId="266" xr:uid="{B79D61FF-C38B-48CB-BBC0-2C107EB3DEDE}"/>
    <cellStyle name="Normal 3 2 3 2 3 2" xfId="665" xr:uid="{96CD5053-D23A-4183-93D4-90A632CBF405}"/>
    <cellStyle name="Normal 3 2 3 2 3 3" xfId="1045" xr:uid="{26229A2F-68EC-40D4-9F86-FA2791C535CD}"/>
    <cellStyle name="Normal 3 2 3 2 3 4" xfId="1499" xr:uid="{9DB48E85-B517-4125-9E29-1871A0BDF04C}"/>
    <cellStyle name="Normal 3 2 3 2 4" xfId="166" xr:uid="{122EFCFC-CBE8-4FB7-A8DB-9932D0C73730}"/>
    <cellStyle name="Normal 3 2 3 2 4 2" xfId="567" xr:uid="{B654FFF7-B496-4A0C-B78F-1A1C3F63D472}"/>
    <cellStyle name="Normal 3 2 3 2 4 3" xfId="1400" xr:uid="{C3D1597E-D202-474E-BF4F-C14D60A3F23C}"/>
    <cellStyle name="Normal 3 2 3 2 5" xfId="368" xr:uid="{9A026FBA-2CBD-4D8C-BA8D-5A5C6BB38755}"/>
    <cellStyle name="Normal 3 2 3 2 5 2" xfId="530" xr:uid="{57A6987C-A1B0-4AED-B8B4-B58E04239624}"/>
    <cellStyle name="Normal 3 2 3 2 5 3" xfId="1600" xr:uid="{5932486B-AAAC-4D82-BFEA-2CB3120C78C7}"/>
    <cellStyle name="Normal 3 2 3 2 6" xfId="393" xr:uid="{71C07BF2-A1DA-4C83-A414-6EC44169B9BB}"/>
    <cellStyle name="Normal 3 2 3 2 6 2" xfId="1642" xr:uid="{2794367E-244C-4DE7-A023-50B5259963B9}"/>
    <cellStyle name="Normal 3 2 3 2 7" xfId="441" xr:uid="{E69A0AC3-0F04-447E-9329-ACCBDACB2608}"/>
    <cellStyle name="Normal 3 2 3 2 7 2" xfId="1362" xr:uid="{79FEE246-60CF-4078-93F3-81A7966F0307}"/>
    <cellStyle name="Normal 3 2 3 2 8" xfId="800" xr:uid="{E64F8821-4111-4843-BD72-B1A042C2AD31}"/>
    <cellStyle name="Normal 3 2 3 2 8 2" xfId="1328" xr:uid="{98A3D7DA-2070-47FC-9299-4C620DA83B37}"/>
    <cellStyle name="Normal 3 2 3 2 9" xfId="911" xr:uid="{57AA26CE-3548-4675-9F77-410485A6A36B}"/>
    <cellStyle name="Normal 3 2 3 2 9 2" xfId="1703" xr:uid="{AFFE2D10-F01A-4E0D-9DBD-885833766FFE}"/>
    <cellStyle name="Normal 3 2 3 3" xfId="44" xr:uid="{00000000-0005-0000-0000-000014000000}"/>
    <cellStyle name="Normal 3 2 3 3 10" xfId="1228" xr:uid="{79A209F2-9A01-4791-9AC6-B648A030BE44}"/>
    <cellStyle name="Normal 3 2 3 3 2" xfId="98" xr:uid="{5BDEBCA2-749F-4893-97EF-224EBE242E90}"/>
    <cellStyle name="Normal 3 2 3 3 2 2" xfId="717" xr:uid="{921E3D7C-0085-4476-B879-41D58A5A2241}"/>
    <cellStyle name="Normal 3 2 3 3 2 3" xfId="884" xr:uid="{C6153988-51F5-4FB3-B8D6-835E4FCCBC37}"/>
    <cellStyle name="Normal 3 2 3 3 2 4" xfId="977" xr:uid="{45E07A47-B583-4142-AEBA-41F6F4A53585}"/>
    <cellStyle name="Normal 3 2 3 3 2 5" xfId="318" xr:uid="{BC0B7104-7595-4B54-9506-3078F5D6C18E}"/>
    <cellStyle name="Normal 3 2 3 3 2 6" xfId="1550" xr:uid="{A77D61CE-CF20-4476-B521-CF9766A14FB6}"/>
    <cellStyle name="Normal 3 2 3 3 3" xfId="250" xr:uid="{C73274E1-CD24-4D8D-9362-3C03FF223E0D}"/>
    <cellStyle name="Normal 3 2 3 3 3 2" xfId="649" xr:uid="{70EDD122-27A8-4B2A-A5DE-56A11BED7499}"/>
    <cellStyle name="Normal 3 2 3 3 3 3" xfId="1029" xr:uid="{C89C4F75-12D1-4F4F-AAD5-2612000102DA}"/>
    <cellStyle name="Normal 3 2 3 3 3 4" xfId="1483" xr:uid="{9DD527B5-28BD-4DE1-9FBF-24BBB844684D}"/>
    <cellStyle name="Normal 3 2 3 3 4" xfId="188" xr:uid="{E24180CF-4CA0-429D-A056-C0C06DD2433E}"/>
    <cellStyle name="Normal 3 2 3 3 4 2" xfId="587" xr:uid="{C42CEAB0-8CB3-4A02-9AEA-918A54658EA9}"/>
    <cellStyle name="Normal 3 2 3 3 4 3" xfId="1421" xr:uid="{EF49728C-2CD9-4167-83FF-7AC2B6AA070D}"/>
    <cellStyle name="Normal 3 2 3 3 5" xfId="544" xr:uid="{5F62D77C-DFF0-4CCC-935D-829BCC217A41}"/>
    <cellStyle name="Normal 3 2 3 3 5 2" xfId="1656" xr:uid="{B86021EE-7E72-4470-9B17-152D1151B92D}"/>
    <cellStyle name="Normal 3 2 3 3 6" xfId="492" xr:uid="{23B17E51-CC61-44C0-8517-FAD09F16824A}"/>
    <cellStyle name="Normal 3 2 3 3 6 2" xfId="1376" xr:uid="{30521DD6-D051-4E6F-86A0-D5026C988B16}"/>
    <cellStyle name="Normal 3 2 3 3 7" xfId="784" xr:uid="{F18A19FC-C28B-4D20-9F61-64FCBDD81BCE}"/>
    <cellStyle name="Normal 3 2 3 3 7 2" xfId="1314" xr:uid="{FB751369-C3FD-47EE-9BF7-973E93A89A41}"/>
    <cellStyle name="Normal 3 2 3 3 8" xfId="925" xr:uid="{C4E297E9-1B03-44ED-9765-10E4235E0715}"/>
    <cellStyle name="Normal 3 2 3 3 8 2" xfId="1711" xr:uid="{03BB20D5-EE9C-44CB-AC88-13473A28C81D}"/>
    <cellStyle name="Normal 3 2 3 3 9" xfId="140" xr:uid="{B68AEB68-2491-4676-A456-8B53FB032080}"/>
    <cellStyle name="Normal 3 2 3 3 9 2" xfId="1764" xr:uid="{A717FCAF-D58F-4AC8-B0B2-F334E25E266D}"/>
    <cellStyle name="Normal 3 2 3 4" xfId="74" xr:uid="{642BB942-C42D-462B-B90E-8F5DF1AD1EB7}"/>
    <cellStyle name="Normal 3 2 3 4 2" xfId="679" xr:uid="{B8E32142-45CD-4047-8C37-29AC810CA863}"/>
    <cellStyle name="Normal 3 2 3 4 2 2" xfId="1058" xr:uid="{2F05F81C-1FB1-499D-A7F7-28B6B59B059C}"/>
    <cellStyle name="Normal 3 2 3 4 2 3" xfId="1512" xr:uid="{43F6907A-B831-42D3-AE05-D0BC3471F6A0}"/>
    <cellStyle name="Normal 3 2 3 4 3" xfId="468" xr:uid="{5E8E3260-DDF9-46AB-8A33-AB3079B9AD56}"/>
    <cellStyle name="Normal 3 2 3 4 3 2" xfId="1305" xr:uid="{332D3755-8E02-47F9-B59C-5CB9C683A81A}"/>
    <cellStyle name="Normal 3 2 3 4 4" xfId="813" xr:uid="{B43EE2D7-EA1F-468C-9787-BCE66EC49A20}"/>
    <cellStyle name="Normal 3 2 3 4 4 2" xfId="1691" xr:uid="{5726B18B-447D-4CEE-ABDF-346673E22F7C}"/>
    <cellStyle name="Normal 3 2 3 4 5" xfId="953" xr:uid="{B2182A83-F0A4-423E-98CF-BC27944375E8}"/>
    <cellStyle name="Normal 3 2 3 4 5 2" xfId="1773" xr:uid="{F5643EE0-CD36-485F-B4D1-1C6CD36A799D}"/>
    <cellStyle name="Normal 3 2 3 4 6" xfId="280" xr:uid="{E59DAE0F-515B-4E3F-A3A7-BEE4E5C58356}"/>
    <cellStyle name="Normal 3 2 3 4 7" xfId="1258" xr:uid="{7C432D1D-2BC0-4DE5-AF56-29F1A3596943}"/>
    <cellStyle name="Normal 3 2 3 5" xfId="306" xr:uid="{2795BAB1-1D11-4020-AB07-964783CA0462}"/>
    <cellStyle name="Normal 3 2 3 5 2" xfId="705" xr:uid="{E9257C2D-4DBF-4764-9835-F5B0CED99DBE}"/>
    <cellStyle name="Normal 3 2 3 5 2 2" xfId="1538" xr:uid="{35FEC868-B0D5-45D3-8231-12BF65960389}"/>
    <cellStyle name="Normal 3 2 3 5 3" xfId="841" xr:uid="{AA47E99D-E58D-4845-9BB7-F1E545E6A107}"/>
    <cellStyle name="Normal 3 2 3 5 3 2" xfId="1805" xr:uid="{9AE11F85-4EAB-4E4B-B114-0ADCD184344C}"/>
    <cellStyle name="Normal 3 2 3 5 4" xfId="1087" xr:uid="{FBDE3001-12A1-4A8C-A82E-39197A5232AC}"/>
    <cellStyle name="Normal 3 2 3 5 5" xfId="1286" xr:uid="{D0C84982-75CF-4F3F-AFFE-D771C573BD9D}"/>
    <cellStyle name="Normal 3 2 3 6" xfId="221" xr:uid="{D61540CD-5BC8-4A21-98F7-E1AFA45A947B}"/>
    <cellStyle name="Normal 3 2 3 6 2" xfId="620" xr:uid="{6D906809-EF2B-44D4-9B26-3374EB1D325D}"/>
    <cellStyle name="Normal 3 2 3 6 3" xfId="860" xr:uid="{B60C2599-4DF7-4373-B25E-4830170B98A5}"/>
    <cellStyle name="Normal 3 2 3 6 4" xfId="1000" xr:uid="{A10BE714-153A-47D7-BBD5-EB20D65F6A4F}"/>
    <cellStyle name="Normal 3 2 3 6 5" xfId="1454" xr:uid="{339ACEDC-D40C-4122-999C-D2702E21AB8E}"/>
    <cellStyle name="Normal 3 2 3 7" xfId="150" xr:uid="{4944B1C4-081E-4955-B9CC-E276DB9F4656}"/>
    <cellStyle name="Normal 3 2 3 7 2" xfId="554" xr:uid="{6C44226B-8F70-4777-8C21-67567A5F63B3}"/>
    <cellStyle name="Normal 3 2 3 7 3" xfId="1386" xr:uid="{E580FF0E-F5D3-4A38-A358-0675FFC83AC4}"/>
    <cellStyle name="Normal 3 2 3 8" xfId="356" xr:uid="{4139FC80-6E31-406D-9193-6601621CF368}"/>
    <cellStyle name="Normal 3 2 3 8 2" xfId="520" xr:uid="{81FF6CB6-201F-4B83-BBD9-0772A246323E}"/>
    <cellStyle name="Normal 3 2 3 8 3" xfId="1588" xr:uid="{508F1838-7954-4069-9997-753A6CE95D99}"/>
    <cellStyle name="Normal 3 2 3 9" xfId="383" xr:uid="{9D575AD3-CF93-4F79-A1E5-77971F51AE09}"/>
    <cellStyle name="Normal 3 2 3 9 2" xfId="1632" xr:uid="{E57551DC-DD56-4E39-B1F8-545AE775BCCD}"/>
    <cellStyle name="Normal 3 2 4" xfId="14" xr:uid="{00000000-0005-0000-0000-000015000000}"/>
    <cellStyle name="Normal 3 2 4 10" xfId="749" xr:uid="{D54F9223-748A-4229-87B5-84C67C8641D1}"/>
    <cellStyle name="Normal 3 2 4 10 2" xfId="1301" xr:uid="{816446B4-B7E4-4D6F-BA57-1A9E4A653757}"/>
    <cellStyle name="Normal 3 2 4 11" xfId="895" xr:uid="{A1B33013-AE48-4027-AA29-87486DE73F5D}"/>
    <cellStyle name="Normal 3 2 4 11 2" xfId="1193" xr:uid="{2C60E7A7-B479-4731-8D18-F2B0706521E6}"/>
    <cellStyle name="Normal 3 2 4 12" xfId="110" xr:uid="{9D4DC6A1-6A26-441F-ACBC-A310DEF07AE0}"/>
    <cellStyle name="Normal 3 2 4 12 2" xfId="1685" xr:uid="{43F3C3BB-010C-4BC9-9642-E8F833467184}"/>
    <cellStyle name="Normal 3 2 4 13" xfId="1734" xr:uid="{770E6201-8FE4-4E25-A177-4011D20891F1}"/>
    <cellStyle name="Normal 3 2 4 14" xfId="1171" xr:uid="{0DFE582F-712E-4673-82A4-EFD55F5158F5}"/>
    <cellStyle name="Normal 3 2 4 15" xfId="1096" xr:uid="{7E1727C9-1C59-49BF-AAFD-83DAEC78504F}"/>
    <cellStyle name="Normal 3 2 4 2" xfId="68" xr:uid="{9E5838A0-2CA1-4CFE-BCCB-59648A4ECB3F}"/>
    <cellStyle name="Normal 3 2 4 2 10" xfId="1108" xr:uid="{8225EB86-82B2-4E72-BF94-A19B7924AE97}"/>
    <cellStyle name="Normal 3 2 4 2 2" xfId="331" xr:uid="{496C2848-BBF3-4967-AB64-906AF2528BCC}"/>
    <cellStyle name="Normal 3 2 4 2 2 2" xfId="730" xr:uid="{CA7881BA-BFF0-4D46-926C-8FAA9CEA115A}"/>
    <cellStyle name="Normal 3 2 4 2 2 3" xfId="1023" xr:uid="{07A11C5E-A997-4077-988B-DEE2FB60918D}"/>
    <cellStyle name="Normal 3 2 4 2 2 4" xfId="1563" xr:uid="{57B8DC36-DF79-41F6-906E-DCC178B3E2D9}"/>
    <cellStyle name="Normal 3 2 4 2 3" xfId="244" xr:uid="{D494A56F-FA2B-4398-84EB-F008C1E69513}"/>
    <cellStyle name="Normal 3 2 4 2 3 2" xfId="643" xr:uid="{36E7B70D-13E0-49BF-9C01-14BD114262FF}"/>
    <cellStyle name="Normal 3 2 4 2 3 3" xfId="1477" xr:uid="{DFE25A70-2FF8-4A97-AF19-4A79ACD20C05}"/>
    <cellStyle name="Normal 3 2 4 2 4" xfId="362" xr:uid="{9861B49F-84E5-4B61-A619-868DC35A759A}"/>
    <cellStyle name="Normal 3 2 4 2 4 2" xfId="581" xr:uid="{847AF134-4374-4EFC-8BBA-0CB2B87F0366}"/>
    <cellStyle name="Normal 3 2 4 2 4 3" xfId="1594" xr:uid="{87933C23-E9D2-46BF-8ABB-FCCDAC333F9C}"/>
    <cellStyle name="Normal 3 2 4 2 5" xfId="462" xr:uid="{6F97EDB7-520D-4A24-819B-DBA15AC1331F}"/>
    <cellStyle name="Normal 3 2 4 2 5 2" xfId="1415" xr:uid="{46469952-EC26-4F4A-A29A-447B9731FCDD}"/>
    <cellStyle name="Normal 3 2 4 2 6" xfId="778" xr:uid="{C63227B1-FC09-4767-85D2-91C52B304B94}"/>
    <cellStyle name="Normal 3 2 4 2 6 2" xfId="1316" xr:uid="{1AB0D722-16AA-465F-A1BC-9352332CD2C4}"/>
    <cellStyle name="Normal 3 2 4 2 7" xfId="947" xr:uid="{39DE058C-B661-4BEC-A76D-80BF0B17C89D}"/>
    <cellStyle name="Normal 3 2 4 2 7 2" xfId="1697" xr:uid="{190EB6CA-C7F7-47B2-A953-5BE00A405872}"/>
    <cellStyle name="Normal 3 2 4 2 8" xfId="182" xr:uid="{D952F76E-5B6C-4175-9ED0-48D7711BC5E1}"/>
    <cellStyle name="Normal 3 2 4 2 8 2" xfId="1777" xr:uid="{E9FC2ED8-04DF-4950-856B-9FF4E8BA6BD5}"/>
    <cellStyle name="Normal 3 2 4 2 9" xfId="1222" xr:uid="{2D90BE28-E257-47C7-A14D-DCB029122BC2}"/>
    <cellStyle name="Normal 3 2 4 3" xfId="282" xr:uid="{C97F0A77-CE3D-456C-935C-299A25592D26}"/>
    <cellStyle name="Normal 3 2 4 3 2" xfId="681" xr:uid="{CA0E2CCD-743E-49AD-B256-DCA2EF0F6AE6}"/>
    <cellStyle name="Normal 3 2 4 3 2 2" xfId="1514" xr:uid="{713EE20B-2A15-4E6B-8591-D2C695DD457A}"/>
    <cellStyle name="Normal 3 2 4 3 3" xfId="815" xr:uid="{ABE93B14-E242-4795-BFAA-D7FBF1C1D244}"/>
    <cellStyle name="Normal 3 2 4 3 3 2" xfId="1814" xr:uid="{71706436-B73A-45E3-AA55-8847F0E4B803}"/>
    <cellStyle name="Normal 3 2 4 3 4" xfId="1060" xr:uid="{60CD99A9-3BF6-4729-9F1D-59AB4AEB365A}"/>
    <cellStyle name="Normal 3 2 4 3 5" xfId="1260" xr:uid="{6714A451-3DD2-42EC-AAD2-6025B2AF1AAD}"/>
    <cellStyle name="Normal 3 2 4 4" xfId="300" xr:uid="{37459443-2980-4C64-95CE-BF9DB5CF3931}"/>
    <cellStyle name="Normal 3 2 4 4 2" xfId="699" xr:uid="{2DE6AE57-A6A3-45A2-AB5A-748ED935FDBB}"/>
    <cellStyle name="Normal 3 2 4 4 2 2" xfId="1532" xr:uid="{0EAB7661-9495-4DD6-8DE3-BFB785AC3F40}"/>
    <cellStyle name="Normal 3 2 4 4 3" xfId="838" xr:uid="{CA80D593-7CF5-40B1-91A0-52A081715A51}"/>
    <cellStyle name="Normal 3 2 4 4 4" xfId="1084" xr:uid="{DABEAC8E-9FC2-4539-800E-CE2DF38EB895}"/>
    <cellStyle name="Normal 3 2 4 4 5" xfId="1283" xr:uid="{643417A6-42FA-4190-A278-C68DD9E18E53}"/>
    <cellStyle name="Normal 3 2 4 5" xfId="215" xr:uid="{6C3E7230-DA1A-47A0-B323-A782114DE8C2}"/>
    <cellStyle name="Normal 3 2 4 5 2" xfId="614" xr:uid="{71D04A30-D898-44BE-82E4-5DEBEF6FDAC7}"/>
    <cellStyle name="Normal 3 2 4 5 3" xfId="854" xr:uid="{8BFB5808-50A6-4D18-A6A7-4980560633AF}"/>
    <cellStyle name="Normal 3 2 4 5 4" xfId="994" xr:uid="{D59C4C34-2B61-4A49-9C68-36E8A0BD945E}"/>
    <cellStyle name="Normal 3 2 4 5 5" xfId="1448" xr:uid="{9E1F3A42-CC34-4DCC-9EB6-DDDE57308D8E}"/>
    <cellStyle name="Normal 3 2 4 6" xfId="152" xr:uid="{BF65E90B-0B09-4AF2-B788-E3878A84C5C5}"/>
    <cellStyle name="Normal 3 2 4 6 2" xfId="556" xr:uid="{1D92AC56-AF55-4343-9951-018A741D9D81}"/>
    <cellStyle name="Normal 3 2 4 6 3" xfId="1388" xr:uid="{F974D434-DE13-4597-BECE-05C1BE217D9A}"/>
    <cellStyle name="Normal 3 2 4 7" xfId="350" xr:uid="{AB606859-04B9-42D5-B6BF-8BBB463DE56A}"/>
    <cellStyle name="Normal 3 2 4 7 2" xfId="514" xr:uid="{D277DBEE-2D0C-4873-8B53-AF990923AA80}"/>
    <cellStyle name="Normal 3 2 4 7 3" xfId="1582" xr:uid="{1CCFDF48-2227-4512-A958-E87EC3E6AD92}"/>
    <cellStyle name="Normal 3 2 4 8" xfId="389" xr:uid="{589EA76D-F46C-486D-AE0E-3C98D4DBED27}"/>
    <cellStyle name="Normal 3 2 4 8 2" xfId="1626" xr:uid="{D07566EB-B6A9-45B0-9FF7-FB95ED889355}"/>
    <cellStyle name="Normal 3 2 4 9" xfId="414" xr:uid="{7FA1D706-5960-46CF-8BD4-CE26744306BA}"/>
    <cellStyle name="Normal 3 2 4 9 2" xfId="1346" xr:uid="{F79F3D84-A0AC-4D18-9CE2-3A4B84A62CFA}"/>
    <cellStyle name="Normal 3 2 5" xfId="10" xr:uid="{00000000-0005-0000-0000-000016000000}"/>
    <cellStyle name="Normal 3 2 5 10" xfId="747" xr:uid="{54591FAC-DC6D-41E6-AABB-ACF8A0C04582}"/>
    <cellStyle name="Normal 3 2 5 10 2" xfId="1321" xr:uid="{F2FFEA67-CFB0-40E5-85AA-C25C1F605FD6}"/>
    <cellStyle name="Normal 3 2 5 11" xfId="893" xr:uid="{FD2C18A1-4446-4F86-91BF-3D3E4DBBAA7E}"/>
    <cellStyle name="Normal 3 2 5 11 2" xfId="1190" xr:uid="{DB871C39-F2D7-4FDD-BB17-86A92936AEC8}"/>
    <cellStyle name="Normal 3 2 5 12" xfId="108" xr:uid="{1F0A2B34-D67E-40B6-991E-89039D42C12E}"/>
    <cellStyle name="Normal 3 2 5 12 2" xfId="1694" xr:uid="{A9F99EF5-45F2-4736-884B-0D6971364DA9}"/>
    <cellStyle name="Normal 3 2 5 13" xfId="1732" xr:uid="{1BD7C444-3DD9-47E0-8B26-BA554234074D}"/>
    <cellStyle name="Normal 3 2 5 14" xfId="1167" xr:uid="{79B30215-B69B-455D-8E5E-8BE365928F73}"/>
    <cellStyle name="Normal 3 2 5 15" xfId="1105" xr:uid="{6224D4EB-FDD5-4CB3-9E3B-DE3D59C45991}"/>
    <cellStyle name="Normal 3 2 5 2" xfId="66" xr:uid="{5CA30F15-3ED4-4DC8-A8E9-974A7B21BC6D}"/>
    <cellStyle name="Normal 3 2 5 2 2" xfId="327" xr:uid="{39EA5745-3B16-4A71-8BE2-64ABFF843BCB}"/>
    <cellStyle name="Normal 3 2 5 2 2 2" xfId="726" xr:uid="{DC3FD1FF-07C3-4261-9EF3-CD42FFDBEF00}"/>
    <cellStyle name="Normal 3 2 5 2 2 3" xfId="1021" xr:uid="{03B9F430-6B41-4121-8C44-7770993A7947}"/>
    <cellStyle name="Normal 3 2 5 2 2 4" xfId="1559" xr:uid="{A3D45FCF-80F6-4CF7-88E9-3D7A2E951C92}"/>
    <cellStyle name="Normal 3 2 5 2 3" xfId="242" xr:uid="{31F61069-1323-4DE1-99CB-2DE17A591F6F}"/>
    <cellStyle name="Normal 3 2 5 2 3 2" xfId="641" xr:uid="{EA7F8B13-6B2C-4887-8BD5-5A712FCF490C}"/>
    <cellStyle name="Normal 3 2 5 2 3 3" xfId="1475" xr:uid="{830967F4-BA6F-4AA8-B6BB-BB36E2BDA61B}"/>
    <cellStyle name="Normal 3 2 5 2 4" xfId="579" xr:uid="{34440A22-CD6B-4A90-BA18-A8160C46079C}"/>
    <cellStyle name="Normal 3 2 5 2 4 2" xfId="1412" xr:uid="{654F0413-64FB-44B8-B49C-94CF7CB1186A}"/>
    <cellStyle name="Normal 3 2 5 2 5" xfId="460" xr:uid="{C0F9E63B-8669-4F6B-A265-88973B0D50AA}"/>
    <cellStyle name="Normal 3 2 5 2 5 2" xfId="1821" xr:uid="{DFC1CF82-7D1D-441D-BA45-FD58A527046C}"/>
    <cellStyle name="Normal 3 2 5 2 6" xfId="776" xr:uid="{61AB023D-8B78-468C-8185-98644ABEC92C}"/>
    <cellStyle name="Normal 3 2 5 2 7" xfId="945" xr:uid="{A10CAAA2-E258-40E5-8FFC-CB9819D63F7F}"/>
    <cellStyle name="Normal 3 2 5 2 8" xfId="179" xr:uid="{BE1E4C4E-CEC2-491F-9CE9-48AEDF294F21}"/>
    <cellStyle name="Normal 3 2 5 2 9" xfId="1220" xr:uid="{6455C32A-5117-40B2-BA14-A7CC8E74889A}"/>
    <cellStyle name="Normal 3 2 5 3" xfId="276" xr:uid="{8EB3B3D1-9A73-4B28-99F5-9EFF3E93168A}"/>
    <cellStyle name="Normal 3 2 5 3 2" xfId="675" xr:uid="{3E805510-FAA0-445A-8459-12D2ECBC7A65}"/>
    <cellStyle name="Normal 3 2 5 3 2 2" xfId="1508" xr:uid="{CD606676-5BCD-4B65-9CEB-483BF3070357}"/>
    <cellStyle name="Normal 3 2 5 3 3" xfId="809" xr:uid="{936AC579-B491-499E-906E-C119475B8322}"/>
    <cellStyle name="Normal 3 2 5 3 4" xfId="1054" xr:uid="{822928BA-F125-4870-BC69-2F7293397CC4}"/>
    <cellStyle name="Normal 3 2 5 3 5" xfId="1254" xr:uid="{6512AFF9-D6F1-4A82-992C-9155CDCC2CF6}"/>
    <cellStyle name="Normal 3 2 5 4" xfId="298" xr:uid="{6B41304A-2391-47AA-B7C2-11138FECE2D8}"/>
    <cellStyle name="Normal 3 2 5 4 2" xfId="697" xr:uid="{510484EC-D0F4-4ADF-84D4-ED55ACEB9A2A}"/>
    <cellStyle name="Normal 3 2 5 4 2 2" xfId="1530" xr:uid="{82C09310-2DF7-488D-9CBA-E927F10A5B9E}"/>
    <cellStyle name="Normal 3 2 5 4 3" xfId="835" xr:uid="{8617D7BC-806A-4106-A7DF-C9379EAD8B0D}"/>
    <cellStyle name="Normal 3 2 5 4 4" xfId="1081" xr:uid="{3FE21E2A-31DA-42E7-A449-1D3BC22A1D7C}"/>
    <cellStyle name="Normal 3 2 5 4 5" xfId="1280" xr:uid="{F5BFB98B-B260-4687-9460-630527887738}"/>
    <cellStyle name="Normal 3 2 5 5" xfId="213" xr:uid="{BE61429B-FFB9-4199-8277-E9E3B9839060}"/>
    <cellStyle name="Normal 3 2 5 5 2" xfId="612" xr:uid="{56B76E34-F056-4334-8C2C-B879E4ED81E9}"/>
    <cellStyle name="Normal 3 2 5 5 3" xfId="852" xr:uid="{DF150A2E-9CF1-4900-997C-0E1565BD405E}"/>
    <cellStyle name="Normal 3 2 5 5 4" xfId="992" xr:uid="{AA1CC275-F43A-47ED-8812-70EC3FD713CA}"/>
    <cellStyle name="Normal 3 2 5 5 5" xfId="1446" xr:uid="{DA986B71-6DB3-4C0D-916B-E7AB2AFC3E19}"/>
    <cellStyle name="Normal 3 2 5 6" xfId="157" xr:uid="{AA673FFB-46B2-49A3-A7EF-2FAE44FA24D1}"/>
    <cellStyle name="Normal 3 2 5 6 2" xfId="561" xr:uid="{B0B412A9-0F97-42C2-B695-9B672BF20F82}"/>
    <cellStyle name="Normal 3 2 5 6 3" xfId="1393" xr:uid="{992957FD-69A5-4E71-9D63-F027857E9947}"/>
    <cellStyle name="Normal 3 2 5 7" xfId="359" xr:uid="{DCFC8F2D-EE44-4644-9101-52F992FE62F7}"/>
    <cellStyle name="Normal 3 2 5 7 2" xfId="512" xr:uid="{D9D5B22E-9A9B-4F2F-940C-EF09087D0CD9}"/>
    <cellStyle name="Normal 3 2 5 7 3" xfId="1591" xr:uid="{D6C7BA6D-E337-4871-A106-889CEFE3920A}"/>
    <cellStyle name="Normal 3 2 5 8" xfId="387" xr:uid="{294924DD-20AD-4012-8DB8-72588FCAF00F}"/>
    <cellStyle name="Normal 3 2 5 8 2" xfId="1624" xr:uid="{EFCDCEED-5458-4409-895C-F18487FBAF48}"/>
    <cellStyle name="Normal 3 2 5 9" xfId="412" xr:uid="{FAAFC381-B099-48D6-AB6C-D3B0357AC2BF}"/>
    <cellStyle name="Normal 3 2 5 9 2" xfId="1343" xr:uid="{CF417247-F976-491D-828A-AD20BC93B1D9}"/>
    <cellStyle name="Normal 3 2 6" xfId="7" xr:uid="{00000000-0005-0000-0000-000017000000}"/>
    <cellStyle name="Normal 3 2 6 10" xfId="106" xr:uid="{652A85B3-50D1-4121-9CAE-83229CF8454E}"/>
    <cellStyle name="Normal 3 2 6 10 2" xfId="1188" xr:uid="{F2B70FB3-A92F-44D9-AB68-76A34416B598}"/>
    <cellStyle name="Normal 3 2 6 11" xfId="1706" xr:uid="{6EE8F43E-50AD-4DA4-BA90-9E6EA7E0340F}"/>
    <cellStyle name="Normal 3 2 6 12" xfId="1730" xr:uid="{DD54E830-180C-43DD-9704-6CDB2025C731}"/>
    <cellStyle name="Normal 3 2 6 13" xfId="1162" xr:uid="{D2068A4A-2FEA-44E4-BA5E-044CB8582972}"/>
    <cellStyle name="Normal 3 2 6 2" xfId="63" xr:uid="{1A7D637A-83F2-439C-87A6-A3144239DB11}"/>
    <cellStyle name="Normal 3 2 6 2 2" xfId="321" xr:uid="{6C8E71EA-E9CF-4C10-8DF3-1FF25B1C922F}"/>
    <cellStyle name="Normal 3 2 6 2 2 2" xfId="720" xr:uid="{35AAE05B-E658-49CF-B3A5-94F9E3380761}"/>
    <cellStyle name="Normal 3 2 6 2 2 3" xfId="1019" xr:uid="{AFE72ACB-D15E-439D-8741-3D48C97A578B}"/>
    <cellStyle name="Normal 3 2 6 2 2 4" xfId="1553" xr:uid="{2C19B3B1-7F67-4E05-9C06-20E995F0BCCB}"/>
    <cellStyle name="Normal 3 2 6 2 3" xfId="240" xr:uid="{9ACBDC7F-42CD-4F72-A4B6-668ECB6C3AC2}"/>
    <cellStyle name="Normal 3 2 6 2 3 2" xfId="639" xr:uid="{76427AFD-AAA4-4C99-9379-BC18ACCAAC45}"/>
    <cellStyle name="Normal 3 2 6 2 3 3" xfId="1473" xr:uid="{32399714-46A6-4137-8625-8A409FA8E131}"/>
    <cellStyle name="Normal 3 2 6 2 4" xfId="577" xr:uid="{FF11F61E-CFCE-4905-A072-AD8D27C054D2}"/>
    <cellStyle name="Normal 3 2 6 2 4 2" xfId="1410" xr:uid="{BB5B32F4-1F19-41EE-B59B-5EE59E634913}"/>
    <cellStyle name="Normal 3 2 6 2 5" xfId="458" xr:uid="{D44DAA72-BCAB-43B1-BCCF-EE96F907B9DE}"/>
    <cellStyle name="Normal 3 2 6 2 5 2" xfId="1826" xr:uid="{60E66440-FA77-460C-8BF0-5352A502D469}"/>
    <cellStyle name="Normal 3 2 6 2 6" xfId="774" xr:uid="{3B0B1561-F6D5-4B09-9900-EBFE81CEAFFE}"/>
    <cellStyle name="Normal 3 2 6 2 7" xfId="943" xr:uid="{E5977B92-EE97-4D17-A0B5-BFC6E2671F87}"/>
    <cellStyle name="Normal 3 2 6 2 8" xfId="177" xr:uid="{78A7BD16-DD53-420C-AEA1-3CA02173B587}"/>
    <cellStyle name="Normal 3 2 6 2 9" xfId="1218" xr:uid="{864248B0-7A49-4ECB-A381-9F2B9FF37D73}"/>
    <cellStyle name="Normal 3 2 6 3" xfId="296" xr:uid="{436656DF-FDFA-4235-8381-1ACFE2A279AA}"/>
    <cellStyle name="Normal 3 2 6 3 2" xfId="695" xr:uid="{D900CDD4-BB4E-45A1-8011-F9FE0061D07F}"/>
    <cellStyle name="Normal 3 2 6 3 2 2" xfId="1528" xr:uid="{3DCA5AF3-47D4-4EEE-8739-2DD30BAD2629}"/>
    <cellStyle name="Normal 3 2 6 3 3" xfId="831" xr:uid="{99BB8244-A666-4B00-9C78-37C04EE6A316}"/>
    <cellStyle name="Normal 3 2 6 3 4" xfId="1077" xr:uid="{B431104B-380D-4BEA-A0C5-F91F35D4EAAD}"/>
    <cellStyle name="Normal 3 2 6 3 5" xfId="1276" xr:uid="{DB424B63-3AE0-4F25-806E-B73103A4FEB1}"/>
    <cellStyle name="Normal 3 2 6 4" xfId="211" xr:uid="{FA5AA1F1-EA42-4D60-A4F6-902EF90B2F74}"/>
    <cellStyle name="Normal 3 2 6 4 2" xfId="610" xr:uid="{5CC5DF23-7118-4052-A4A9-9EF1F39E03CD}"/>
    <cellStyle name="Normal 3 2 6 4 3" xfId="850" xr:uid="{4C10F1DD-4710-4E87-8803-1FA52094725E}"/>
    <cellStyle name="Normal 3 2 6 4 4" xfId="990" xr:uid="{5FED6602-91F1-4F5A-8017-69631F5EEAE1}"/>
    <cellStyle name="Normal 3 2 6 4 5" xfId="1444" xr:uid="{23C8F839-C274-4911-91F2-D71C340C0816}"/>
    <cellStyle name="Normal 3 2 6 5" xfId="164" xr:uid="{C57AF09C-679C-46A1-8E9A-F7FAFCF0BDDA}"/>
    <cellStyle name="Normal 3 2 6 5 2" xfId="565" xr:uid="{AF752734-37C1-46B2-AFE7-864082B296AE}"/>
    <cellStyle name="Normal 3 2 6 5 3" xfId="1398" xr:uid="{5654A04C-D6BB-496A-BE7B-61DDEDD41FE7}"/>
    <cellStyle name="Normal 3 2 6 6" xfId="373" xr:uid="{A6B339B5-341B-49D1-90EC-47178CBF8F33}"/>
    <cellStyle name="Normal 3 2 6 6 2" xfId="510" xr:uid="{96C189C3-7E74-4FDA-8744-555E5B383341}"/>
    <cellStyle name="Normal 3 2 6 6 3" xfId="1605" xr:uid="{77DEFAA3-2D7B-4DE2-A8A2-652E5A154A9D}"/>
    <cellStyle name="Normal 3 2 6 7" xfId="410" xr:uid="{1DC9BEE2-F9A4-442A-83AB-A1A74B0C5199}"/>
    <cellStyle name="Normal 3 2 6 7 2" xfId="1622" xr:uid="{9D23FE27-7B5B-4012-8441-F9B622C3EF54}"/>
    <cellStyle name="Normal 3 2 6 8" xfId="745" xr:uid="{CA7F037B-C522-44E3-8C4A-1656BC85B544}"/>
    <cellStyle name="Normal 3 2 6 8 2" xfId="1341" xr:uid="{A65B6F3A-F539-4370-ACC9-E86C14FAD9D0}"/>
    <cellStyle name="Normal 3 2 6 9" xfId="891" xr:uid="{CD1727DA-8030-43CC-ACB0-EB9DFDFE0BC7}"/>
    <cellStyle name="Normal 3 2 6 9 2" xfId="1326" xr:uid="{A1298F6D-92D6-49D3-B176-4F906FC097F9}"/>
    <cellStyle name="Normal 3 2 7" xfId="26" xr:uid="{00000000-0005-0000-0000-000018000000}"/>
    <cellStyle name="Normal 3 2 7 10" xfId="122" xr:uid="{C65F1D1C-3807-48BB-9C4E-5251B2C69FDD}"/>
    <cellStyle name="Normal 3 2 7 10 2" xfId="1205" xr:uid="{C80E282F-C097-4C71-B0A8-C6F74123D4B6}"/>
    <cellStyle name="Normal 3 2 7 11" xfId="1680" xr:uid="{FA5131BC-9B9B-4E26-B927-20D23B87E066}"/>
    <cellStyle name="Normal 3 2 7 12" xfId="1746" xr:uid="{457BA89F-D387-4D19-96B7-58F313D98A9C}"/>
    <cellStyle name="Normal 3 2 7 13" xfId="1157" xr:uid="{31E09012-7824-449C-A85E-AAB26F32207B}"/>
    <cellStyle name="Normal 3 2 7 2" xfId="80" xr:uid="{291A56D6-1794-4A2D-BC03-5820C6D00FE4}"/>
    <cellStyle name="Normal 3 2 7 2 2" xfId="655" xr:uid="{0A028F65-1305-437A-9065-190F3783C9C6}"/>
    <cellStyle name="Normal 3 2 7 2 2 2" xfId="1035" xr:uid="{F1DC412D-46AF-4141-B6B7-7B72AE6786B4}"/>
    <cellStyle name="Normal 3 2 7 2 2 3" xfId="1489" xr:uid="{01818891-3BE9-49AF-80D0-836EA843EDE3}"/>
    <cellStyle name="Normal 3 2 7 2 3" xfId="474" xr:uid="{38E0C61C-496E-4938-961D-78C1D33ADC0B}"/>
    <cellStyle name="Normal 3 2 7 2 3 2" xfId="1811" xr:uid="{67A11DD6-0131-4DB2-BE2E-71028FF2DD02}"/>
    <cellStyle name="Normal 3 2 7 2 4" xfId="790" xr:uid="{B8E11A56-D789-4CBE-B728-08FB88ADAF5C}"/>
    <cellStyle name="Normal 3 2 7 2 5" xfId="959" xr:uid="{9FA558E2-6CB8-4C2C-8902-E9D5BD0120FB}"/>
    <cellStyle name="Normal 3 2 7 2 6" xfId="256" xr:uid="{940418A1-3F6F-4ABE-A2B0-76CA999E0154}"/>
    <cellStyle name="Normal 3 2 7 2 7" xfId="1234" xr:uid="{3D58D571-9250-445E-AB92-0DB3B67407BF}"/>
    <cellStyle name="Normal 3 2 7 3" xfId="312" xr:uid="{5E9B0632-1A62-4984-8ABD-E45771F3E27A}"/>
    <cellStyle name="Normal 3 2 7 3 2" xfId="711" xr:uid="{9EAA4D38-7301-4BE7-9C0C-7756B37D94B9}"/>
    <cellStyle name="Normal 3 2 7 3 2 2" xfId="1544" xr:uid="{7F35C9BB-18BE-49DF-80BA-20FF469E1099}"/>
    <cellStyle name="Normal 3 2 7 3 3" xfId="827" xr:uid="{22EABDD9-AB9E-4EB2-8080-FA4F8F1C0F8C}"/>
    <cellStyle name="Normal 3 2 7 3 4" xfId="1073" xr:uid="{6D99FB6D-1B94-4839-A9AE-6E4184B32EF4}"/>
    <cellStyle name="Normal 3 2 7 3 5" xfId="1272" xr:uid="{09268472-6BFF-4894-B3F7-330DAEEFEAE7}"/>
    <cellStyle name="Normal 3 2 7 4" xfId="227" xr:uid="{08C3DE35-8CBC-4486-AA61-0AAA7E4C2D5A}"/>
    <cellStyle name="Normal 3 2 7 4 2" xfId="626" xr:uid="{5A3658F6-2DAE-49DC-AD10-EDC584E842BB}"/>
    <cellStyle name="Normal 3 2 7 4 3" xfId="866" xr:uid="{905D35CE-A9FA-435F-9A87-D2BD56FA0A1F}"/>
    <cellStyle name="Normal 3 2 7 4 4" xfId="1006" xr:uid="{BCCB8D15-7253-423A-AE10-91605410A341}"/>
    <cellStyle name="Normal 3 2 7 4 5" xfId="1460" xr:uid="{85853BA3-9406-4F88-BFD7-3FA03B9916E8}"/>
    <cellStyle name="Normal 3 2 7 5" xfId="193" xr:uid="{907E3F7E-0F29-424E-8799-25BF7A3DAED2}"/>
    <cellStyle name="Normal 3 2 7 5 2" xfId="592" xr:uid="{7CEC07B9-38B1-4322-B04D-FF5713087CCE}"/>
    <cellStyle name="Normal 3 2 7 5 3" xfId="1426" xr:uid="{79FBDF3C-A3F8-476F-9CB5-119B0B4D7BF2}"/>
    <cellStyle name="Normal 3 2 7 6" xfId="345" xr:uid="{DA382676-A375-483B-96DE-8FB0535DA110}"/>
    <cellStyle name="Normal 3 2 7 6 2" xfId="526" xr:uid="{533B6229-E51A-4B38-BA56-2EC00975143C}"/>
    <cellStyle name="Normal 3 2 7 6 3" xfId="1577" xr:uid="{D0A4779B-B1DF-4F75-8B5C-4A3C4A27ACBF}"/>
    <cellStyle name="Normal 3 2 7 7" xfId="426" xr:uid="{A40EFA6E-7CE6-492A-B10B-61B0468A119B}"/>
    <cellStyle name="Normal 3 2 7 7 2" xfId="1638" xr:uid="{FAFCE491-4C74-4277-B237-11878FC4AB45}"/>
    <cellStyle name="Normal 3 2 7 8" xfId="761" xr:uid="{454B34A1-9F4A-46DB-AC28-EDFA6F0F9B3C}"/>
    <cellStyle name="Normal 3 2 7 8 2" xfId="1358" xr:uid="{B6A5E8CD-4F24-4A1C-B64B-6FDF124DB397}"/>
    <cellStyle name="Normal 3 2 7 9" xfId="907" xr:uid="{44ECDD61-9F35-4AE1-85AE-134EF7A8272E}"/>
    <cellStyle name="Normal 3 2 7 9 2" xfId="1334" xr:uid="{6C7AF0CC-CF75-44D9-8BF4-A082D5EAA7E2}"/>
    <cellStyle name="Normal 3 2 8" xfId="38" xr:uid="{00000000-0005-0000-0000-000019000000}"/>
    <cellStyle name="Normal 3 2 8 10" xfId="134" xr:uid="{7B7FE803-20C8-4610-8C52-5F438E84313F}"/>
    <cellStyle name="Normal 3 2 8 10 2" xfId="1677" xr:uid="{62D8A688-9761-4E09-A63B-CB42EED2320A}"/>
    <cellStyle name="Normal 3 2 8 11" xfId="1758" xr:uid="{717DEF8F-5C79-4BB6-8967-F6BCDB939FCE}"/>
    <cellStyle name="Normal 3 2 8 12" xfId="1151" xr:uid="{5FBDFCEC-CD6E-4731-B2DB-1C14F28E96A5}"/>
    <cellStyle name="Normal 3 2 8 2" xfId="92" xr:uid="{B56016C3-38A5-4BAD-BEA3-87E24F970A14}"/>
    <cellStyle name="Normal 3 2 8 2 2" xfId="637" xr:uid="{3D539B47-3FBA-44F0-942B-A8A7A1DAFFA1}"/>
    <cellStyle name="Normal 3 2 8 2 2 2" xfId="1017" xr:uid="{CF4A46CE-DF8B-42AD-9A82-12673B26A0B8}"/>
    <cellStyle name="Normal 3 2 8 2 2 3" xfId="1471" xr:uid="{2BC67219-2627-4DAA-9FE5-7929793B72CA}"/>
    <cellStyle name="Normal 3 2 8 2 3" xfId="486" xr:uid="{115812AE-DBC6-46A8-9C14-C4B3CC17ED4B}"/>
    <cellStyle name="Normal 3 2 8 2 3 2" xfId="1808" xr:uid="{FAB5EF24-8F64-4945-8AAE-A8AD831483D0}"/>
    <cellStyle name="Normal 3 2 8 2 4" xfId="772" xr:uid="{5C4B6F13-37EB-4F7B-8A82-F888B7B0EA95}"/>
    <cellStyle name="Normal 3 2 8 2 5" xfId="971" xr:uid="{3E0B4BC5-732A-4C45-8CE4-841AEEB98075}"/>
    <cellStyle name="Normal 3 2 8 2 6" xfId="238" xr:uid="{0F529140-E341-4A1F-9D7F-9ACB2371EB16}"/>
    <cellStyle name="Normal 3 2 8 2 7" xfId="1216" xr:uid="{1BF00AD8-A16C-4FA6-953A-E09FF22F5D61}"/>
    <cellStyle name="Normal 3 2 8 3" xfId="294" xr:uid="{A0498532-0A6F-4037-82CA-165F0F7802D9}"/>
    <cellStyle name="Normal 3 2 8 3 2" xfId="693" xr:uid="{F7519843-09D8-48A4-9E15-664BFB896992}"/>
    <cellStyle name="Normal 3 2 8 3 2 2" xfId="1526" xr:uid="{DC98EC85-038B-4557-A246-F567324640A8}"/>
    <cellStyle name="Normal 3 2 8 3 3" xfId="823" xr:uid="{3FF472CD-E9D2-46AA-9448-BE8E6686F3C4}"/>
    <cellStyle name="Normal 3 2 8 3 4" xfId="1069" xr:uid="{2496EB34-3D79-4085-9F76-45108F57F1E9}"/>
    <cellStyle name="Normal 3 2 8 3 5" xfId="1268" xr:uid="{51B97A2D-3396-46BE-AB11-138683A4C0A7}"/>
    <cellStyle name="Normal 3 2 8 4" xfId="209" xr:uid="{775B9CB0-C88B-454F-92A7-E0366E663058}"/>
    <cellStyle name="Normal 3 2 8 4 2" xfId="608" xr:uid="{D55A5CA9-840D-4BB2-9906-C114EDB26D05}"/>
    <cellStyle name="Normal 3 2 8 4 3" xfId="878" xr:uid="{683C9809-4958-4852-8316-4E1C3CFE01EC}"/>
    <cellStyle name="Normal 3 2 8 4 4" xfId="988" xr:uid="{DE0A5344-3468-4005-811D-02DE1000E019}"/>
    <cellStyle name="Normal 3 2 8 4 5" xfId="1442" xr:uid="{DB9DCB12-3352-49DE-8C06-0D6745BE2090}"/>
    <cellStyle name="Normal 3 2 8 5" xfId="175" xr:uid="{46553EA3-03CF-47F8-882E-F1E9F199156C}"/>
    <cellStyle name="Normal 3 2 8 5 2" xfId="575" xr:uid="{61CC9152-65D8-498E-8444-16086CE066AA}"/>
    <cellStyle name="Normal 3 2 8 5 3" xfId="1408" xr:uid="{20802888-4D63-4494-BF6F-63A2D5464D8C}"/>
    <cellStyle name="Normal 3 2 8 6" xfId="538" xr:uid="{8B470196-891D-4B64-A89A-0CC3601D3941}"/>
    <cellStyle name="Normal 3 2 8 6 2" xfId="1650" xr:uid="{113DD387-1F5C-475C-8BFA-64679B9B2BB4}"/>
    <cellStyle name="Normal 3 2 8 7" xfId="408" xr:uid="{3A5027B0-EA84-40CE-B688-A098BDB5BA52}"/>
    <cellStyle name="Normal 3 2 8 7 2" xfId="1370" xr:uid="{565116A1-21D1-46E5-AB29-9029D7500936}"/>
    <cellStyle name="Normal 3 2 8 8" xfId="743" xr:uid="{4243BB50-416F-47F3-9C4B-0822757086F6}"/>
    <cellStyle name="Normal 3 2 8 8 2" xfId="1308" xr:uid="{5F07B173-E1F3-4502-B27C-556A893D4328}"/>
    <cellStyle name="Normal 3 2 8 9" xfId="919" xr:uid="{2F0FA9E6-428F-4C71-BEA1-D1E44D8466EE}"/>
    <cellStyle name="Normal 3 2 8 9 2" xfId="1186" xr:uid="{B3723A96-A7B8-462D-B269-E6ACE0D86CB1}"/>
    <cellStyle name="Normal 3 2 9" xfId="61" xr:uid="{8C7F2720-6C41-482B-A0D6-DA0AED7D1A5C}"/>
    <cellStyle name="Normal 3 2 9 2" xfId="456" xr:uid="{7D64785A-7D7A-4B69-B33E-C041830655FB}"/>
    <cellStyle name="Normal 3 2 9 2 2" xfId="1042" xr:uid="{19F4B2FA-9587-4937-9D59-19178F683AC2}"/>
    <cellStyle name="Normal 3 2 9 2 2 2" xfId="1802" xr:uid="{4CB72DCA-1690-411B-8ED5-CEE199003451}"/>
    <cellStyle name="Normal 3 2 9 2 3" xfId="1620" xr:uid="{4BB947EE-20FC-4045-94C1-77F5825592A6}"/>
    <cellStyle name="Normal 3 2 9 3" xfId="662" xr:uid="{8D6E63EF-3F84-4F0A-B2A7-64856170337D}"/>
    <cellStyle name="Normal 3 2 9 3 2" xfId="1496" xr:uid="{08743F09-4BA5-4DE3-8E5B-E27644386E9B}"/>
    <cellStyle name="Normal 3 2 9 4" xfId="404" xr:uid="{B9274F6C-62C5-4348-808A-A0A562293208}"/>
    <cellStyle name="Normal 3 2 9 4 2" xfId="1297" xr:uid="{4DEE47C2-43C0-450F-82F5-CBE5A75C9E32}"/>
    <cellStyle name="Normal 3 2 9 5" xfId="797" xr:uid="{BA6DF70F-C4FD-4E20-8104-AB0BA26D5FCA}"/>
    <cellStyle name="Normal 3 2 9 5 2" xfId="1241" xr:uid="{71A634F6-CA8E-468B-BDDE-978984887559}"/>
    <cellStyle name="Normal 3 2 9 6" xfId="941" xr:uid="{10770F5D-D713-40DA-A15E-3FEF8B0A0210}"/>
    <cellStyle name="Normal 3 2 9 6 2" xfId="1670" xr:uid="{A7346001-5CF4-478B-AC2C-6B207BE4038D}"/>
    <cellStyle name="Normal 3 2 9 7" xfId="263" xr:uid="{0B660003-C626-43A1-9D01-3EEEB4A7B979}"/>
    <cellStyle name="Normal 3 2 9 7 2" xfId="1728" xr:uid="{C16B7DD1-F38B-49F9-BAF8-CB370FA9FFE5}"/>
    <cellStyle name="Normal 3 2 9 8" xfId="1146" xr:uid="{7D57635C-0DC0-41E7-8042-76B5E6D16F35}"/>
    <cellStyle name="Normal 3 20" xfId="377" xr:uid="{57F70E04-E1F0-486F-ABE7-7FD1F367EAF2}"/>
    <cellStyle name="Normal 3 20 2" xfId="1609" xr:uid="{BDCB518E-ABE5-425B-BD10-FA9C8ACF57B9}"/>
    <cellStyle name="Normal 3 21" xfId="395" xr:uid="{4528725E-44A8-4C0C-8C28-516DF1D9FC6C}"/>
    <cellStyle name="Normal 3 21 2" xfId="1336" xr:uid="{34CE3D30-6E83-49E2-864F-F87F672413C5}"/>
    <cellStyle name="Normal 3 22" xfId="735" xr:uid="{36344916-07F3-41AC-A9C4-DB0CB51DF179}"/>
    <cellStyle name="Normal 3 22 2" xfId="1289" xr:uid="{0E732A0F-4A3E-4A96-8CD6-62A59F9B5B48}"/>
    <cellStyle name="Normal 3 23" xfId="886" xr:uid="{0EDB2AB5-338E-4A92-8021-850888A7F56B}"/>
    <cellStyle name="Normal 3 23 2" xfId="1177" xr:uid="{F340C3D7-AB21-4ACC-921F-41571330C384}"/>
    <cellStyle name="Normal 3 24" xfId="101" xr:uid="{9AC7EC53-DF53-4147-8298-5DCF324E9FFE}"/>
    <cellStyle name="Normal 3 24 2" xfId="1659" xr:uid="{288C0908-7837-48B1-AF11-73C0A1F566F4}"/>
    <cellStyle name="Normal 3 25" xfId="1662" xr:uid="{F2FEB42E-316D-4DB8-BEF1-71980EB74992}"/>
    <cellStyle name="Normal 3 26" xfId="1716" xr:uid="{27A50210-873B-4249-A292-3595C10AB317}"/>
    <cellStyle name="Normal 3 27" xfId="1131" xr:uid="{514C6DE8-6916-4915-8318-ACAD23321222}"/>
    <cellStyle name="Normal 3 28" xfId="1122" xr:uid="{BB5C9AC2-8D46-45AB-9384-3D44CBF08D39}"/>
    <cellStyle name="Normal 3 29" xfId="1090" xr:uid="{EAB09030-FA07-4715-AF06-848860AE3178}"/>
    <cellStyle name="Normal 3 3" xfId="16" xr:uid="{00000000-0005-0000-0000-00001A000000}"/>
    <cellStyle name="Normal 3 3 10" xfId="339" xr:uid="{A401F521-FAC0-4956-BE45-062A3DE9FFE0}"/>
    <cellStyle name="Normal 3 3 10 2" xfId="516" xr:uid="{2665041F-70FB-41A6-B73F-DF9407011D0C}"/>
    <cellStyle name="Normal 3 3 10 3" xfId="1571" xr:uid="{CA930BAB-AF76-4F7F-9E49-F539161578FA}"/>
    <cellStyle name="Normal 3 3 11" xfId="382" xr:uid="{F0D3887E-454B-417D-8F97-948F3E83471F}"/>
    <cellStyle name="Normal 3 3 11 2" xfId="1612" xr:uid="{1C0DA370-6C45-4F6B-9185-5B27AD0C29E7}"/>
    <cellStyle name="Normal 3 3 12" xfId="416" xr:uid="{63DA8A15-D650-4F5B-AE23-821B42C19BFC}"/>
    <cellStyle name="Normal 3 3 12 2" xfId="1348" xr:uid="{5CDFBD9F-9C1F-4139-9CFA-193A9143019F}"/>
    <cellStyle name="Normal 3 3 13" xfId="751" xr:uid="{FC65EDA5-B426-4B36-85B5-7A1582D6AE49}"/>
    <cellStyle name="Normal 3 3 13 2" xfId="1291" xr:uid="{FC26E1DA-1E7A-48A5-81FE-A02D6C06B5D8}"/>
    <cellStyle name="Normal 3 3 14" xfId="897" xr:uid="{8595D2EC-7A12-44F7-9265-61CDEBB470BA}"/>
    <cellStyle name="Normal 3 3 14 2" xfId="1195" xr:uid="{A5A6ABF7-A542-45D5-9107-41A52D181609}"/>
    <cellStyle name="Normal 3 3 15" xfId="112" xr:uid="{398E711D-6998-4E13-865A-28DDD0C777BD}"/>
    <cellStyle name="Normal 3 3 15 2" xfId="1664" xr:uid="{32E43C98-6B96-430E-8C37-534E133DD418}"/>
    <cellStyle name="Normal 3 3 16" xfId="1736" xr:uid="{9E319097-43E3-4D7E-AE79-E538B46923CF}"/>
    <cellStyle name="Normal 3 3 17" xfId="1158" xr:uid="{943C2346-E4A8-4B21-9655-1F91EE968213}"/>
    <cellStyle name="Normal 3 3 18" xfId="1093" xr:uid="{5399EB03-D16B-48F1-A0A2-55B582357221}"/>
    <cellStyle name="Normal 3 3 2" xfId="21" xr:uid="{00000000-0005-0000-0000-00001B000000}"/>
    <cellStyle name="Normal 3 3 2 10" xfId="902" xr:uid="{587976BA-F40C-405C-B39E-EABF07B288C9}"/>
    <cellStyle name="Normal 3 3 2 10 2" xfId="1200" xr:uid="{A4A159D7-C683-4172-9C46-0DC39AC72754}"/>
    <cellStyle name="Normal 3 3 2 11" xfId="117" xr:uid="{0A20D764-5E22-4D13-A769-866B5E5DD43E}"/>
    <cellStyle name="Normal 3 3 2 11 2" xfId="1686" xr:uid="{51733081-19EE-4C36-8EE7-60A05875CCED}"/>
    <cellStyle name="Normal 3 3 2 12" xfId="1741" xr:uid="{EE487486-3074-4BD6-A151-8291702BEEA4}"/>
    <cellStyle name="Normal 3 3 2 13" xfId="1172" xr:uid="{1E6FA92E-E6BE-4941-8F44-384358646893}"/>
    <cellStyle name="Normal 3 3 2 14" xfId="1097" xr:uid="{1E3D6227-7AE1-4722-9F5B-E19C3A960971}"/>
    <cellStyle name="Normal 3 3 2 2" xfId="75" xr:uid="{CD72A157-8145-4A55-93E7-688B8383848E}"/>
    <cellStyle name="Normal 3 3 2 2 2" xfId="332" xr:uid="{18F11F91-F589-4066-9D6B-9C44BE408C57}"/>
    <cellStyle name="Normal 3 3 2 2 2 2" xfId="731" xr:uid="{64BE4234-6F5B-4B0B-88FD-54674AB0CAEF}"/>
    <cellStyle name="Normal 3 3 2 2 2 3" xfId="1030" xr:uid="{55EFD055-0F0E-46DF-9A87-C5EB3B04D07F}"/>
    <cellStyle name="Normal 3 3 2 2 2 4" xfId="1564" xr:uid="{287BEB4F-F924-4931-8F1A-84144C32518C}"/>
    <cellStyle name="Normal 3 3 2 2 3" xfId="251" xr:uid="{336DBB2C-4218-4858-BC16-1D1FA4BB3DB6}"/>
    <cellStyle name="Normal 3 3 2 2 3 2" xfId="650" xr:uid="{589A4ED2-32B1-4F28-AE7B-6D0D8F68D8CD}"/>
    <cellStyle name="Normal 3 3 2 2 3 3" xfId="1484" xr:uid="{8F061CCA-A266-409B-8684-A8C6AF5DF664}"/>
    <cellStyle name="Normal 3 3 2 2 4" xfId="597" xr:uid="{C87EEA67-3EF6-4FB4-889C-C1F58F5A4228}"/>
    <cellStyle name="Normal 3 3 2 2 4 2" xfId="1431" xr:uid="{396C0EB8-4B02-40F6-8FAC-657A571E5AAB}"/>
    <cellStyle name="Normal 3 3 2 2 5" xfId="469" xr:uid="{B1AF7127-F9CF-408F-83E6-C3DA30FAE42D}"/>
    <cellStyle name="Normal 3 3 2 2 5 2" xfId="1712" xr:uid="{A9A5D384-E363-439D-A6F7-F772EF7BDBE1}"/>
    <cellStyle name="Normal 3 3 2 2 6" xfId="785" xr:uid="{C18A05FA-CC01-4817-96FC-5D401FD869FE}"/>
    <cellStyle name="Normal 3 3 2 2 6 2" xfId="1788" xr:uid="{54387B5E-C90F-487A-9CC2-9D0730F7793D}"/>
    <cellStyle name="Normal 3 3 2 2 7" xfId="954" xr:uid="{319F621F-E28C-4BD1-90B3-3AA1322F2739}"/>
    <cellStyle name="Normal 3 3 2 2 8" xfId="198" xr:uid="{8CB142D6-336D-4AAB-9655-D0142C2D30C7}"/>
    <cellStyle name="Normal 3 3 2 2 9" xfId="1229" xr:uid="{1809862B-42B2-4609-967B-9CA96886B36F}"/>
    <cellStyle name="Normal 3 3 2 3" xfId="189" xr:uid="{D86F983D-8180-462F-91D9-A1F68B534A16}"/>
    <cellStyle name="Normal 3 3 2 3 2" xfId="307" xr:uid="{73AC0162-3D62-4461-8C5B-97DACC53F80F}"/>
    <cellStyle name="Normal 3 3 2 3 2 2" xfId="706" xr:uid="{89B7C926-90ED-4597-B1D6-BC346A2008C7}"/>
    <cellStyle name="Normal 3 3 2 3 2 3" xfId="1539" xr:uid="{DBAE48A0-9224-473B-A7C1-042CE7890507}"/>
    <cellStyle name="Normal 3 3 2 3 3" xfId="588" xr:uid="{4C570ACF-9589-4C7B-8606-E1804046E002}"/>
    <cellStyle name="Normal 3 3 2 3 3 2" xfId="1837" xr:uid="{18C4448D-EBEB-4B19-AA5C-AE4A080F3D6A}"/>
    <cellStyle name="Normal 3 3 2 3 4" xfId="861" xr:uid="{8E48C146-FD99-4DE5-B155-F5FE8A5259F1}"/>
    <cellStyle name="Normal 3 3 2 3 5" xfId="1001" xr:uid="{322991BC-B7BE-4F51-B4D1-C8C4F591EE88}"/>
    <cellStyle name="Normal 3 3 2 3 6" xfId="1422" xr:uid="{F10EF135-37DD-4F70-BCFB-F053F8E0EA81}"/>
    <cellStyle name="Normal 3 3 2 4" xfId="222" xr:uid="{2A90D794-B412-4741-A169-57D0DEA0D31E}"/>
    <cellStyle name="Normal 3 3 2 4 2" xfId="621" xr:uid="{EC8DB56C-160B-4B71-BA17-B7726BAF9122}"/>
    <cellStyle name="Normal 3 3 2 4 2 2" xfId="1815" xr:uid="{2AFA4197-6D03-485D-A0F5-E443D2603E1E}"/>
    <cellStyle name="Normal 3 3 2 4 3" xfId="1455" xr:uid="{D95CFD2F-B989-4B79-B93C-441879994227}"/>
    <cellStyle name="Normal 3 3 2 5" xfId="153" xr:uid="{F6078CE2-2099-43E6-B009-24A8839FF53E}"/>
    <cellStyle name="Normal 3 3 2 5 2" xfId="557" xr:uid="{884B9EFD-CD0C-4282-84B0-1D147C037E6D}"/>
    <cellStyle name="Normal 3 3 2 5 3" xfId="1389" xr:uid="{8FBE05D6-EC4D-46D8-AEB5-67779DE9F64B}"/>
    <cellStyle name="Normal 3 3 2 6" xfId="351" xr:uid="{86D65ADD-7FE3-42E8-97C6-F2DD26B40D5D}"/>
    <cellStyle name="Normal 3 3 2 6 2" xfId="521" xr:uid="{8907B09E-7EFE-4D47-8095-12C770F8A29C}"/>
    <cellStyle name="Normal 3 3 2 6 3" xfId="1583" xr:uid="{65E41B0B-9A91-45FD-B223-1D21A29C85C9}"/>
    <cellStyle name="Normal 3 3 2 7" xfId="390" xr:uid="{C1DDF23E-85B9-4665-B6F0-2E39A77A50FA}"/>
    <cellStyle name="Normal 3 3 2 7 2" xfId="1633" xr:uid="{49A3921D-7C2A-4055-B2AC-39E4532E6DC5}"/>
    <cellStyle name="Normal 3 3 2 8" xfId="421" xr:uid="{5E31DAC0-38C2-4BC0-AC42-7FE81215D048}"/>
    <cellStyle name="Normal 3 3 2 8 2" xfId="1353" xr:uid="{1551793E-B6BB-4090-9E0F-C941F220DBDC}"/>
    <cellStyle name="Normal 3 3 2 9" xfId="756" xr:uid="{C47F306D-1E0B-4999-81E1-FF51C2FAF54F}"/>
    <cellStyle name="Normal 3 3 2 9 2" xfId="1317" xr:uid="{A5CA2809-E262-459B-B340-7E06721CD7AB}"/>
    <cellStyle name="Normal 3 3 3" xfId="32" xr:uid="{00000000-0005-0000-0000-00001C000000}"/>
    <cellStyle name="Normal 3 3 3 10" xfId="128" xr:uid="{34EF5E5C-0715-409F-BED2-5DB1AC5EEE3A}"/>
    <cellStyle name="Normal 3 3 3 10 2" xfId="1698" xr:uid="{5F36DA3B-3C05-4A6F-B09A-53DD3263A9A2}"/>
    <cellStyle name="Normal 3 3 3 11" xfId="1752" xr:uid="{1A0A7C6E-8998-429E-B5CE-78D1D3701B89}"/>
    <cellStyle name="Normal 3 3 3 12" xfId="1206" xr:uid="{FDB1C69A-42DB-4CEF-86B1-46D4896BC3A1}"/>
    <cellStyle name="Normal 3 3 3 13" xfId="1109" xr:uid="{8AF4ABF7-C2E4-4BF8-96A4-D4EA3EE82C4D}"/>
    <cellStyle name="Normal 3 3 3 2" xfId="86" xr:uid="{ED9B49BF-F9F2-45E3-B71A-FF0E3E52F924}"/>
    <cellStyle name="Normal 3 3 3 2 2" xfId="257" xr:uid="{B040233B-E411-4406-BF46-0D17CEAE3D42}"/>
    <cellStyle name="Normal 3 3 3 2 2 2" xfId="656" xr:uid="{E40C8925-2CB4-466A-8F3F-814DD49D0CD9}"/>
    <cellStyle name="Normal 3 3 3 2 2 3" xfId="1036" xr:uid="{0AD25C4E-D19F-4871-9386-CA6CCE8D95C2}"/>
    <cellStyle name="Normal 3 3 3 2 2 4" xfId="1490" xr:uid="{83C5223D-C9AD-45D8-A72E-E62BD34C177D}"/>
    <cellStyle name="Normal 3 3 3 2 3" xfId="593" xr:uid="{E14094D0-F3E5-44BE-A378-4CFE74A35271}"/>
    <cellStyle name="Normal 3 3 3 2 3 2" xfId="1427" xr:uid="{759C7B22-0827-47F9-BE7A-AFA78706AFBA}"/>
    <cellStyle name="Normal 3 3 3 2 4" xfId="480" xr:uid="{D76A4E6D-BAAC-409A-AF52-B87A4F8640D7}"/>
    <cellStyle name="Normal 3 3 3 2 5" xfId="791" xr:uid="{000F39E1-9D92-41B4-A0C9-6A9BF8275FD9}"/>
    <cellStyle name="Normal 3 3 3 2 6" xfId="965" xr:uid="{B6F78F59-7684-46A7-A36C-FD4006CB6725}"/>
    <cellStyle name="Normal 3 3 3 2 7" xfId="194" xr:uid="{2F086AD8-BDC9-460F-BEBB-351E9A6FCA78}"/>
    <cellStyle name="Normal 3 3 3 2 8" xfId="1235" xr:uid="{0D2C8932-2B07-4F7F-A3A0-2D170BB5E862}"/>
    <cellStyle name="Normal 3 3 3 3" xfId="328" xr:uid="{5DC3C913-CE2D-4F73-A524-0D6925175D72}"/>
    <cellStyle name="Normal 3 3 3 3 2" xfId="727" xr:uid="{E7421A60-791A-4E3D-BDD4-88BC38A285BD}"/>
    <cellStyle name="Normal 3 3 3 3 3" xfId="872" xr:uid="{AE9CD8AE-F230-43F3-B172-5925FFA7C478}"/>
    <cellStyle name="Normal 3 3 3 3 4" xfId="1007" xr:uid="{A5501167-0963-49C2-A8EC-996C354A5542}"/>
    <cellStyle name="Normal 3 3 3 3 5" xfId="1560" xr:uid="{50AE1635-16AB-40AA-9658-87D12A7E1B6A}"/>
    <cellStyle name="Normal 3 3 3 4" xfId="228" xr:uid="{11FABAC5-DBF6-40AA-BCC2-CDFA6D310B86}"/>
    <cellStyle name="Normal 3 3 3 4 2" xfId="627" xr:uid="{4C4DD42D-5817-4AF9-8AEF-31ACE0B6979D}"/>
    <cellStyle name="Normal 3 3 3 4 3" xfId="1461" xr:uid="{8D2631C6-C510-4A88-9649-C5FF155F16C6}"/>
    <cellStyle name="Normal 3 3 3 5" xfId="167" xr:uid="{B38B68B4-06EC-41CF-89E6-6346FFB31B93}"/>
    <cellStyle name="Normal 3 3 3 5 2" xfId="568" xr:uid="{F79AD868-7B30-4623-BBDF-4624221D020F}"/>
    <cellStyle name="Normal 3 3 3 5 3" xfId="1401" xr:uid="{5FBCD54F-BB0B-4B14-B172-FF6E9CC214C1}"/>
    <cellStyle name="Normal 3 3 3 6" xfId="363" xr:uid="{3491E470-A039-49C6-A3C6-696176405001}"/>
    <cellStyle name="Normal 3 3 3 6 2" xfId="532" xr:uid="{3868EA1D-1430-4B6F-94AE-1E686CCE239F}"/>
    <cellStyle name="Normal 3 3 3 6 3" xfId="1595" xr:uid="{851E32BD-D478-40BE-A3BB-DC3D9D144EBB}"/>
    <cellStyle name="Normal 3 3 3 7" xfId="427" xr:uid="{3E214D70-1029-4EB9-9FE2-8EFD146C2601}"/>
    <cellStyle name="Normal 3 3 3 7 2" xfId="1644" xr:uid="{528BCDD0-3C1F-4C9D-A045-C1DE5697037F}"/>
    <cellStyle name="Normal 3 3 3 8" xfId="762" xr:uid="{282DC71C-9E2B-44D9-958F-6C8CEE44467C}"/>
    <cellStyle name="Normal 3 3 3 8 2" xfId="1364" xr:uid="{09F40E7B-95B1-4FA6-A883-0E855D06ADFB}"/>
    <cellStyle name="Normal 3 3 3 9" xfId="913" xr:uid="{1416706E-251B-43E7-8D39-8F92685EE429}"/>
    <cellStyle name="Normal 3 3 3 9 2" xfId="1329" xr:uid="{BFAEBA06-419C-42C8-B9EC-D3C4BCDE19D2}"/>
    <cellStyle name="Normal 3 3 4" xfId="39" xr:uid="{00000000-0005-0000-0000-00001D000000}"/>
    <cellStyle name="Normal 3 3 4 10" xfId="1759" xr:uid="{08A026B1-0D34-479D-9255-7421CC437BAF}"/>
    <cellStyle name="Normal 3 3 4 11" xfId="1245" xr:uid="{889EF036-15C8-490E-A61D-D366FE3BA31A}"/>
    <cellStyle name="Normal 3 3 4 2" xfId="93" xr:uid="{588E5707-15E0-4F1B-B654-6C74C6CCEF23}"/>
    <cellStyle name="Normal 3 3 4 2 2" xfId="722" xr:uid="{38DF91A8-BD9E-457D-BBD7-F2D25C50DFD7}"/>
    <cellStyle name="Normal 3 3 4 2 3" xfId="487" xr:uid="{CDBF916F-BE5C-496A-BD2E-EBB45DE3427C}"/>
    <cellStyle name="Normal 3 3 4 2 4" xfId="879" xr:uid="{B46A21DB-4320-4A64-B3BC-0A46F3B818B8}"/>
    <cellStyle name="Normal 3 3 4 2 5" xfId="972" xr:uid="{35AABA47-A73B-42F5-AEF9-F88D4268473E}"/>
    <cellStyle name="Normal 3 3 4 2 6" xfId="323" xr:uid="{98B7DE5D-CB42-4AD9-BF0B-7E535F451380}"/>
    <cellStyle name="Normal 3 3 4 2 7" xfId="1555" xr:uid="{67879F48-C963-4487-A588-ABA10F55DC45}"/>
    <cellStyle name="Normal 3 3 4 3" xfId="267" xr:uid="{DF4EAA4C-58B4-4874-8532-B5A47506E4D7}"/>
    <cellStyle name="Normal 3 3 4 3 2" xfId="666" xr:uid="{DA6AEFBD-AB15-4064-8822-AEFC221A7214}"/>
    <cellStyle name="Normal 3 3 4 3 3" xfId="1046" xr:uid="{9714A2D7-3AED-45B9-B5AA-3FFFD1FF1077}"/>
    <cellStyle name="Normal 3 3 4 3 4" xfId="1500" xr:uid="{0328AA5D-B501-436C-83C6-DAE34D96ADB2}"/>
    <cellStyle name="Normal 3 3 4 4" xfId="184" xr:uid="{BCF4CC96-E9A7-4816-8C52-3C432670F8F3}"/>
    <cellStyle name="Normal 3 3 4 4 2" xfId="583" xr:uid="{EBA48140-B6AA-446C-A920-4B4A0C7821FB}"/>
    <cellStyle name="Normal 3 3 4 4 3" xfId="1417" xr:uid="{D328F874-128A-41E6-BE45-0CD9E1189B81}"/>
    <cellStyle name="Normal 3 3 4 5" xfId="347" xr:uid="{D0D7FF0A-1CD5-4AD0-9068-091BC71F1630}"/>
    <cellStyle name="Normal 3 3 4 5 2" xfId="539" xr:uid="{9505643A-C279-47F1-BA36-E6E5BC18DB4C}"/>
    <cellStyle name="Normal 3 3 4 5 3" xfId="1579" xr:uid="{67F655CF-66E2-417B-831F-B5A76AED354F}"/>
    <cellStyle name="Normal 3 3 4 6" xfId="436" xr:uid="{15D41E2C-E590-4853-A98F-62A28E48E6D7}"/>
    <cellStyle name="Normal 3 3 4 6 2" xfId="1651" xr:uid="{4477E3BA-1AA2-4F84-82B6-4BEA417CF013}"/>
    <cellStyle name="Normal 3 3 4 7" xfId="801" xr:uid="{E56791B6-B1F5-4A85-AE68-34C3222A333C}"/>
    <cellStyle name="Normal 3 3 4 7 2" xfId="1371" xr:uid="{8000BDE1-C65B-4A42-B159-D230E865B97D}"/>
    <cellStyle name="Normal 3 3 4 8" xfId="920" xr:uid="{587D23B6-FD88-4474-9A59-49BE1C11C12E}"/>
    <cellStyle name="Normal 3 3 4 8 2" xfId="1309" xr:uid="{F5049944-2BB1-47B0-9BBA-0CC7EBCBACBA}"/>
    <cellStyle name="Normal 3 3 4 9" xfId="135" xr:uid="{A96B945A-2AC3-4F45-8AED-ABE46500F90D}"/>
    <cellStyle name="Normal 3 3 4 9 2" xfId="1707" xr:uid="{E2A6BD61-86D8-4D33-9183-CDC0AC41A2B7}"/>
    <cellStyle name="Normal 3 3 5" xfId="70" xr:uid="{65EDBDEE-B624-4403-B15D-E2A9BEF019DF}"/>
    <cellStyle name="Normal 3 3 5 2" xfId="313" xr:uid="{CDC7A94A-34B6-48AF-9118-BB880F45DDFF}"/>
    <cellStyle name="Normal 3 3 5 2 2" xfId="712" xr:uid="{CF3475E9-57E4-45A8-8AB7-8687101ED730}"/>
    <cellStyle name="Normal 3 3 5 2 3" xfId="1025" xr:uid="{608ADBFF-72A3-42AD-9C9F-95F92A068D85}"/>
    <cellStyle name="Normal 3 3 5 2 4" xfId="1545" xr:uid="{4A16355A-3F09-4209-9811-EAC6BD5E05E5}"/>
    <cellStyle name="Normal 3 3 5 3" xfId="645" xr:uid="{BA6AB3A6-1BE6-49CB-8070-3375BEDEBDB0}"/>
    <cellStyle name="Normal 3 3 5 3 2" xfId="1628" xr:uid="{9971BFBF-5BA3-41F0-A03E-6E0DA3B96807}"/>
    <cellStyle name="Normal 3 3 5 4" xfId="499" xr:uid="{B2D00D36-850A-419A-9D26-B57C4E891418}"/>
    <cellStyle name="Normal 3 3 5 4 2" xfId="1479" xr:uid="{9CEA71D4-ADD0-43D4-8D6E-5636AC956709}"/>
    <cellStyle name="Normal 3 3 5 5" xfId="780" xr:uid="{BDEA4385-15A6-43CC-870C-BB945A3BF884}"/>
    <cellStyle name="Normal 3 3 5 5 2" xfId="1304" xr:uid="{A1B16E94-1DB8-4BC6-B692-9C8C801B9A07}"/>
    <cellStyle name="Normal 3 3 5 6" xfId="949" xr:uid="{92EE68D3-206B-46C7-9B60-DAF09C8C0B48}"/>
    <cellStyle name="Normal 3 3 5 6 2" xfId="1682" xr:uid="{9B202B77-2025-44F7-A7E5-9AAF195646BF}"/>
    <cellStyle name="Normal 3 3 5 7" xfId="246" xr:uid="{32588140-64C0-4B51-8BFD-8C154AC3259A}"/>
    <cellStyle name="Normal 3 3 5 7 2" xfId="1772" xr:uid="{9B7F2FE2-0A2E-4986-8FD5-D8EBCE82B933}"/>
    <cellStyle name="Normal 3 3 5 8" xfId="1224" xr:uid="{F35E74D4-8872-4308-B45B-D7DDE646C0D2}"/>
    <cellStyle name="Normal 3 3 6" xfId="52" xr:uid="{0AF7A2EF-8CD8-44CA-B7DF-E4C1C5F30C9C}"/>
    <cellStyle name="Normal 3 3 6 2" xfId="302" xr:uid="{09CA3CC0-8E02-4000-B663-6F85AF28DE69}"/>
    <cellStyle name="Normal 3 3 6 2 2" xfId="701" xr:uid="{E5FE3731-64B4-4279-ABE8-C59AF9017ADC}"/>
    <cellStyle name="Normal 3 3 6 2 3" xfId="1055" xr:uid="{63C1A402-C988-4D2A-B1C8-351CCAB44EC3}"/>
    <cellStyle name="Normal 3 3 6 2 4" xfId="1534" xr:uid="{9FF113BB-471D-4E46-8DD3-60FD924028F7}"/>
    <cellStyle name="Normal 3 3 6 3" xfId="676" xr:uid="{5E71DB9F-8FA5-4727-BC01-8B92D74FCD3E}"/>
    <cellStyle name="Normal 3 3 6 3 2" xfId="1509" xr:uid="{8153CF22-FDDB-4CF4-8F95-A797362ED99D}"/>
    <cellStyle name="Normal 3 3 6 4" xfId="464" xr:uid="{03929987-FF43-45D7-AFF3-4CC49A53521D}"/>
    <cellStyle name="Normal 3 3 6 4 2" xfId="1671" xr:uid="{0325D93B-056B-49F8-BAF7-4292ECFF18B1}"/>
    <cellStyle name="Normal 3 3 6 5" xfId="810" xr:uid="{F937C823-AAFA-411F-B675-71CA0FA42A08}"/>
    <cellStyle name="Normal 3 3 6 5 2" xfId="1803" xr:uid="{A9D30141-A7A7-4CDE-AE13-591DC5078E9B}"/>
    <cellStyle name="Normal 3 3 6 6" xfId="932" xr:uid="{C852EA33-6C3E-4138-AC75-A2265D68BB71}"/>
    <cellStyle name="Normal 3 3 6 7" xfId="277" xr:uid="{D3DD0AC4-B4ED-4711-A04F-9EA703FA2D13}"/>
    <cellStyle name="Normal 3 3 6 8" xfId="1255" xr:uid="{AFA32EC1-3E13-4380-A0D4-038CFB57FF29}"/>
    <cellStyle name="Normal 3 3 7" xfId="287" xr:uid="{727DADC1-17E2-44C6-822B-C5E3F532A6BE}"/>
    <cellStyle name="Normal 3 3 7 2" xfId="686" xr:uid="{71CA9485-8C2E-4F7D-85B4-333B089272AA}"/>
    <cellStyle name="Normal 3 3 7 2 2" xfId="1519" xr:uid="{D2082490-8812-44B1-9DCA-AAF562E6369D}"/>
    <cellStyle name="Normal 3 3 7 3" xfId="842" xr:uid="{17BAD3FD-B6FB-429A-B4E7-33F0D63F56BD}"/>
    <cellStyle name="Normal 3 3 7 3 2" xfId="1833" xr:uid="{7ADFF01B-5037-4698-B865-3171F7150623}"/>
    <cellStyle name="Normal 3 3 7 4" xfId="1088" xr:uid="{B12F7848-3941-484E-9692-92D2DBF7F06B}"/>
    <cellStyle name="Normal 3 3 7 5" xfId="1287" xr:uid="{F3B98199-3A16-4B22-9090-473E58F32749}"/>
    <cellStyle name="Normal 3 3 8" xfId="217" xr:uid="{1BCC4E86-7F02-4D1D-A1BE-6DD9120A41CE}"/>
    <cellStyle name="Normal 3 3 8 2" xfId="616" xr:uid="{224B1FA5-7B32-48D1-9197-5960000E4A0B}"/>
    <cellStyle name="Normal 3 3 8 2 2" xfId="1795" xr:uid="{7DCC3E7D-D492-42ED-BF13-46A5A2969170}"/>
    <cellStyle name="Normal 3 3 8 3" xfId="856" xr:uid="{BA04A385-C30C-4170-9B35-E0FDE1AAC881}"/>
    <cellStyle name="Normal 3 3 8 4" xfId="996" xr:uid="{C13B6057-24AC-4A9B-B850-4477EC247592}"/>
    <cellStyle name="Normal 3 3 8 5" xfId="1450" xr:uid="{4BE4FA98-285F-4B51-9F02-6E277A964B70}"/>
    <cellStyle name="Normal 3 3 9" xfId="145" xr:uid="{5BE9A720-8DA8-442F-993B-C876F90966C2}"/>
    <cellStyle name="Normal 3 3 9 2" xfId="549" xr:uid="{19F2100D-BD5E-4DA6-B011-B877F64D6723}"/>
    <cellStyle name="Normal 3 3 9 3" xfId="1381" xr:uid="{0D6F6698-6AA9-4FA0-8FF3-312D805D6C92}"/>
    <cellStyle name="Normal 3 4" xfId="18" xr:uid="{00000000-0005-0000-0000-00001E000000}"/>
    <cellStyle name="Normal 3 4 10" xfId="392" xr:uid="{51705DF4-697B-405B-B66B-253E9877DA6D}"/>
    <cellStyle name="Normal 3 4 10 2" xfId="1614" xr:uid="{783F72A3-67EE-4204-AACA-ECA0CFE9339C}"/>
    <cellStyle name="Normal 3 4 11" xfId="418" xr:uid="{25E119EB-31C0-4F4F-9EA9-56802D9DD297}"/>
    <cellStyle name="Normal 3 4 11 2" xfId="1350" xr:uid="{8D1AAA7F-F189-4403-AAFD-2078FC47291C}"/>
    <cellStyle name="Normal 3 4 12" xfId="753" xr:uid="{4EEA99B6-BE82-474C-A703-4628311B6B6A}"/>
    <cellStyle name="Normal 3 4 12 2" xfId="1293" xr:uid="{B35DF013-701D-4410-B6D9-5D83A382AD48}"/>
    <cellStyle name="Normal 3 4 13" xfId="899" xr:uid="{4FF71AC9-1B97-4446-A6E2-71E037664F23}"/>
    <cellStyle name="Normal 3 4 13 2" xfId="1197" xr:uid="{700F1842-2093-4F56-AC98-A8976EECB5D9}"/>
    <cellStyle name="Normal 3 4 14" xfId="114" xr:uid="{A732849C-09FD-4C1B-B3BB-45103C2BF7EF}"/>
    <cellStyle name="Normal 3 4 14 2" xfId="1665" xr:uid="{A29B9829-44D3-408E-85EA-9CB035037F9C}"/>
    <cellStyle name="Normal 3 4 15" xfId="1738" xr:uid="{10A6197B-FBD4-46A2-B0DB-071575C403B9}"/>
    <cellStyle name="Normal 3 4 16" xfId="1175" xr:uid="{0D7DA7CC-9558-4059-9195-B1E8FFEAF122}"/>
    <cellStyle name="Normal 3 4 17" xfId="1100" xr:uid="{8C032DC1-CD54-4B8C-9D98-BB42844EA781}"/>
    <cellStyle name="Normal 3 4 2" xfId="34" xr:uid="{00000000-0005-0000-0000-00001F000000}"/>
    <cellStyle name="Normal 3 4 2 10" xfId="130" xr:uid="{D896EC1F-5083-42D2-A21E-F331DCCDEE1E}"/>
    <cellStyle name="Normal 3 4 2 10 2" xfId="1701" xr:uid="{2A085537-7406-46C8-99F0-E26563E58413}"/>
    <cellStyle name="Normal 3 4 2 11" xfId="1754" xr:uid="{1D6815CB-9197-493F-9A20-6B73C4DC9D1E}"/>
    <cellStyle name="Normal 3 4 2 12" xfId="1208" xr:uid="{9C0B00D5-450F-449B-9332-95641F467B06}"/>
    <cellStyle name="Normal 3 4 2 13" xfId="1112" xr:uid="{E0701351-CB08-4CDD-AE69-75ABCC181416}"/>
    <cellStyle name="Normal 3 4 2 2" xfId="88" xr:uid="{C82777F2-0180-413D-B0F0-D208E467948D}"/>
    <cellStyle name="Normal 3 4 2 2 2" xfId="259" xr:uid="{F6F4A7D7-B507-4E35-A461-28C9963E592B}"/>
    <cellStyle name="Normal 3 4 2 2 2 2" xfId="658" xr:uid="{E46121D6-C4B9-4EC0-B946-20448DCE38B2}"/>
    <cellStyle name="Normal 3 4 2 2 2 3" xfId="1038" xr:uid="{D64E7519-38EA-4035-A084-223B026E16B6}"/>
    <cellStyle name="Normal 3 4 2 2 2 4" xfId="1492" xr:uid="{BA602CC4-9F16-484A-9AB4-D781E78FC8AA}"/>
    <cellStyle name="Normal 3 4 2 2 3" xfId="595" xr:uid="{5108C293-DBF7-4573-A016-09093B757C51}"/>
    <cellStyle name="Normal 3 4 2 2 3 2" xfId="1429" xr:uid="{05381372-4504-444F-9CB8-C0E9C43C0BF4}"/>
    <cellStyle name="Normal 3 4 2 2 4" xfId="482" xr:uid="{455DF048-F93C-4D66-B271-B1F368DC0D8A}"/>
    <cellStyle name="Normal 3 4 2 2 5" xfId="793" xr:uid="{81415D0C-8AA8-4CF2-B03A-C1B98A5B50E2}"/>
    <cellStyle name="Normal 3 4 2 2 6" xfId="967" xr:uid="{9FEF4360-F214-45B4-849E-0507A893B723}"/>
    <cellStyle name="Normal 3 4 2 2 7" xfId="196" xr:uid="{768E0012-FEDB-4846-908D-A6878B744F4B}"/>
    <cellStyle name="Normal 3 4 2 2 8" xfId="1237" xr:uid="{BDE72636-CBF6-4163-9301-6973913E0D6B}"/>
    <cellStyle name="Normal 3 4 2 3" xfId="330" xr:uid="{D98C5DC0-E5A9-43CE-90DF-F60D747C599C}"/>
    <cellStyle name="Normal 3 4 2 3 2" xfId="729" xr:uid="{701EF034-1517-4A1C-9216-F1C9F9B69F5C}"/>
    <cellStyle name="Normal 3 4 2 3 3" xfId="874" xr:uid="{6E4C209E-C3BD-431C-8915-59435CDA32A9}"/>
    <cellStyle name="Normal 3 4 2 3 4" xfId="1009" xr:uid="{00646DB5-1669-4B48-BABC-0474216DF592}"/>
    <cellStyle name="Normal 3 4 2 3 5" xfId="1562" xr:uid="{11541C06-859E-4929-A17C-F4B3264FE8E1}"/>
    <cellStyle name="Normal 3 4 2 4" xfId="230" xr:uid="{17CC6540-2550-4A32-9134-1BFB5C2C46F4}"/>
    <cellStyle name="Normal 3 4 2 4 2" xfId="629" xr:uid="{8CA57DDB-DCBA-4E0C-9271-EB047A0D6DF4}"/>
    <cellStyle name="Normal 3 4 2 4 3" xfId="1463" xr:uid="{5260A457-3F54-43D6-B287-BD261F8CDC35}"/>
    <cellStyle name="Normal 3 4 2 5" xfId="165" xr:uid="{04F70533-995E-48C0-8FF9-C5CC3E063C70}"/>
    <cellStyle name="Normal 3 4 2 5 2" xfId="566" xr:uid="{59AD6546-6C51-466C-B13E-F8F15A2A7B41}"/>
    <cellStyle name="Normal 3 4 2 5 3" xfId="1399" xr:uid="{D40E8A73-06E1-41A4-BCEE-BE37B36F6034}"/>
    <cellStyle name="Normal 3 4 2 6" xfId="366" xr:uid="{07180A04-B55B-46E4-8EF5-BF14293C0F4D}"/>
    <cellStyle name="Normal 3 4 2 6 2" xfId="534" xr:uid="{819ED61A-9543-4E3A-9FF1-9F1337A106FB}"/>
    <cellStyle name="Normal 3 4 2 6 3" xfId="1598" xr:uid="{4C3E3FC2-EFFD-4547-8C11-E06584B4A772}"/>
    <cellStyle name="Normal 3 4 2 7" xfId="429" xr:uid="{6BFA92ED-0EAF-4541-AA11-FCDBC1280588}"/>
    <cellStyle name="Normal 3 4 2 7 2" xfId="1646" xr:uid="{AC384FD4-F7C5-49F0-A8A7-66CBDBE8392C}"/>
    <cellStyle name="Normal 3 4 2 8" xfId="764" xr:uid="{2FB9995B-F491-4373-89A1-B39D6FFFC52C}"/>
    <cellStyle name="Normal 3 4 2 8 2" xfId="1366" xr:uid="{FDC37E02-AD7B-420E-B7DD-2C4ED66FE946}"/>
    <cellStyle name="Normal 3 4 2 9" xfId="915" xr:uid="{844028ED-2443-43ED-A780-6ECC03AF835C}"/>
    <cellStyle name="Normal 3 4 2 9 2" xfId="1327" xr:uid="{065A21C2-13E0-452F-AE86-BDB8E8A978F9}"/>
    <cellStyle name="Normal 3 4 3" xfId="42" xr:uid="{00000000-0005-0000-0000-000020000000}"/>
    <cellStyle name="Normal 3 4 3 10" xfId="1762" xr:uid="{E46827A0-763D-4A05-886E-3546CF1935D6}"/>
    <cellStyle name="Normal 3 4 3 11" xfId="1242" xr:uid="{FA84E17B-D75E-4F86-8F83-8B667DE9FF9B}"/>
    <cellStyle name="Normal 3 4 3 2" xfId="96" xr:uid="{9D41CD59-39B9-4C8E-9E15-81E297B9DE41}"/>
    <cellStyle name="Normal 3 4 3 2 2" xfId="724" xr:uid="{280F94F8-BEF9-4A92-A7A8-8037B69CBF45}"/>
    <cellStyle name="Normal 3 4 3 2 3" xfId="490" xr:uid="{CD654C10-AED3-4102-8031-F2C5A7862311}"/>
    <cellStyle name="Normal 3 4 3 2 4" xfId="882" xr:uid="{7AD27895-A35A-4001-9CB6-7C999E2DE5BE}"/>
    <cellStyle name="Normal 3 4 3 2 5" xfId="975" xr:uid="{627416C6-CD36-487E-A00F-7FD46E912C45}"/>
    <cellStyle name="Normal 3 4 3 2 6" xfId="325" xr:uid="{CD139590-1762-401E-9098-F554FF346CAF}"/>
    <cellStyle name="Normal 3 4 3 2 7" xfId="1557" xr:uid="{7DF7CEA5-268C-4F71-A0A3-F93B3DC168BB}"/>
    <cellStyle name="Normal 3 4 3 3" xfId="264" xr:uid="{CAAC0C6E-5B33-4C7E-8D82-D1C49E6C5111}"/>
    <cellStyle name="Normal 3 4 3 3 2" xfId="663" xr:uid="{9FC8DFA9-E36C-4C35-AF3C-AC455985DE8D}"/>
    <cellStyle name="Normal 3 4 3 3 3" xfId="1043" xr:uid="{65D8E3A7-B9B5-4E8F-81F5-3D1B381AEB39}"/>
    <cellStyle name="Normal 3 4 3 3 4" xfId="1497" xr:uid="{6F8EFB57-8F4C-4C87-94BE-E1F1D9558A5D}"/>
    <cellStyle name="Normal 3 4 3 4" xfId="186" xr:uid="{DBCBF168-F07E-4C1B-B05E-71F1923DCA86}"/>
    <cellStyle name="Normal 3 4 3 4 2" xfId="585" xr:uid="{0979B9E0-5BEA-4B1A-8F3E-CE52BCDDA876}"/>
    <cellStyle name="Normal 3 4 3 4 3" xfId="1419" xr:uid="{40A73F73-337F-4936-87DE-B8CD89325860}"/>
    <cellStyle name="Normal 3 4 3 5" xfId="354" xr:uid="{18527074-A3AE-4085-B6B1-68BBE9DF4BE1}"/>
    <cellStyle name="Normal 3 4 3 5 2" xfId="542" xr:uid="{0B3B098D-C5E1-41AE-9A2D-CAF48B2C6F96}"/>
    <cellStyle name="Normal 3 4 3 5 3" xfId="1586" xr:uid="{82085528-313E-4D49-972A-86E27C6AFFDF}"/>
    <cellStyle name="Normal 3 4 3 6" xfId="439" xr:uid="{57C06438-7E99-47B1-84C8-836253DBECC4}"/>
    <cellStyle name="Normal 3 4 3 6 2" xfId="1654" xr:uid="{D0A002A6-3B13-4C05-A9DC-479697789516}"/>
    <cellStyle name="Normal 3 4 3 7" xfId="798" xr:uid="{7294FD23-6EF1-4FC1-B5FB-AD18D2BDE728}"/>
    <cellStyle name="Normal 3 4 3 7 2" xfId="1374" xr:uid="{68506C8E-BC3E-4EB1-82DA-76B4E8E2B98B}"/>
    <cellStyle name="Normal 3 4 3 8" xfId="923" xr:uid="{DA9A4F39-91ED-4F6D-BC03-7351D7074AF3}"/>
    <cellStyle name="Normal 3 4 3 8 2" xfId="1312" xr:uid="{A3FA0CBA-61A7-481F-9E80-8EE5796D54BE}"/>
    <cellStyle name="Normal 3 4 3 9" xfId="138" xr:uid="{F4397895-D78B-45B8-A402-36BDD45CCB3A}"/>
    <cellStyle name="Normal 3 4 3 9 2" xfId="1710" xr:uid="{671DDE53-48AD-4DC7-8988-36799645EF89}"/>
    <cellStyle name="Normal 3 4 4" xfId="72" xr:uid="{C937A62A-FFB9-4249-B207-6E86256DC842}"/>
    <cellStyle name="Normal 3 4 4 2" xfId="316" xr:uid="{DCD4F554-35E5-4557-9CD8-25321C07CE07}"/>
    <cellStyle name="Normal 3 4 4 2 2" xfId="715" xr:uid="{080503A0-3A4B-4A2D-9D96-34FDD4903BBA}"/>
    <cellStyle name="Normal 3 4 4 2 3" xfId="1027" xr:uid="{799392AB-A8A4-4908-B6F2-5959DCCF673F}"/>
    <cellStyle name="Normal 3 4 4 2 4" xfId="1548" xr:uid="{5ED01B6D-F451-4FBE-88F3-0A994485E501}"/>
    <cellStyle name="Normal 3 4 4 3" xfId="647" xr:uid="{C9D8A864-0C80-4D5A-8CEF-CBD46AA6A42A}"/>
    <cellStyle name="Normal 3 4 4 3 2" xfId="1630" xr:uid="{ED8B407B-9ECB-4123-A96D-2CB989C8E5C3}"/>
    <cellStyle name="Normal 3 4 4 4" xfId="466" xr:uid="{C972B7E5-5EB4-4590-8A54-78B61B8CB76D}"/>
    <cellStyle name="Normal 3 4 4 4 2" xfId="1481" xr:uid="{7E1E2471-C8A8-4692-BA5B-6D5D45EACDE5}"/>
    <cellStyle name="Normal 3 4 4 5" xfId="782" xr:uid="{258AAA28-B28D-45AF-A7F9-F68F563EE181}"/>
    <cellStyle name="Normal 3 4 4 5 2" xfId="1300" xr:uid="{1425E978-D872-43D7-8128-05474248C938}"/>
    <cellStyle name="Normal 3 4 4 6" xfId="951" xr:uid="{20E3BE18-5189-49CC-AA86-508F643C8843}"/>
    <cellStyle name="Normal 3 4 4 6 2" xfId="1689" xr:uid="{E68B5960-8004-4EB3-8225-DF620F0BF285}"/>
    <cellStyle name="Normal 3 4 4 7" xfId="248" xr:uid="{8A8829FC-708F-402D-A4D3-9FFAB24FBFAD}"/>
    <cellStyle name="Normal 3 4 4 7 2" xfId="1770" xr:uid="{F882DB33-9514-4CF5-974F-B4D3ADD5141C}"/>
    <cellStyle name="Normal 3 4 4 8" xfId="1226" xr:uid="{848A7202-2334-4DBB-9048-4D9A7411EEB1}"/>
    <cellStyle name="Normal 3 4 5" xfId="54" xr:uid="{596E0F1C-ED26-4C8D-AEE8-B29F0733036E}"/>
    <cellStyle name="Normal 3 4 5 2" xfId="304" xr:uid="{334D1BEB-9ED6-4265-86D0-CF409B5F3F47}"/>
    <cellStyle name="Normal 3 4 5 2 2" xfId="703" xr:uid="{4CC507B4-3BE7-4697-ACCF-524ECE783E22}"/>
    <cellStyle name="Normal 3 4 5 2 3" xfId="1057" xr:uid="{C788F827-8E0D-42D4-9788-39362F002FFD}"/>
    <cellStyle name="Normal 3 4 5 2 4" xfId="1536" xr:uid="{82F2FA91-0D7E-4C98-8E75-7AC11011F820}"/>
    <cellStyle name="Normal 3 4 5 3" xfId="678" xr:uid="{1F77E4F2-636B-47D5-B7F7-F88D0A7D3764}"/>
    <cellStyle name="Normal 3 4 5 3 2" xfId="1511" xr:uid="{9528E7C2-FD53-44CC-8701-1266B44D194B}"/>
    <cellStyle name="Normal 3 4 5 4" xfId="812" xr:uid="{840B94FE-7B33-4900-9148-1AC81EAA102C}"/>
    <cellStyle name="Normal 3 4 5 4 2" xfId="1673" xr:uid="{1544EF86-D847-456F-992D-158C0E20102F}"/>
    <cellStyle name="Normal 3 4 5 5" xfId="934" xr:uid="{1D5D3AE9-1E57-413B-8D48-3C49C296E3E6}"/>
    <cellStyle name="Normal 3 4 5 5 2" xfId="1804" xr:uid="{A7DBECC7-EE6E-4A41-A474-5BDD6124BA84}"/>
    <cellStyle name="Normal 3 4 5 6" xfId="279" xr:uid="{054C6CD0-C5BD-4D98-8DC6-EA3C2ADA531E}"/>
    <cellStyle name="Normal 3 4 5 7" xfId="1257" xr:uid="{96E5AB20-C37A-4B58-9F6A-EA4CDA6988C2}"/>
    <cellStyle name="Normal 3 4 6" xfId="289" xr:uid="{F92FB650-34D6-4BBC-82B3-B698EF30F88F}"/>
    <cellStyle name="Normal 3 4 6 2" xfId="688" xr:uid="{13C8111B-E411-4D26-9644-9AC51A0A98D7}"/>
    <cellStyle name="Normal 3 4 6 2 2" xfId="1521" xr:uid="{43CA4373-E2BA-4128-B849-0EFE7D0C91EE}"/>
    <cellStyle name="Normal 3 4 6 3" xfId="839" xr:uid="{436BC1DD-D5D1-42B1-97BA-C9DD4923753B}"/>
    <cellStyle name="Normal 3 4 6 3 2" xfId="1834" xr:uid="{73EF49DF-8607-4532-B8BC-9DA06CE2E8D1}"/>
    <cellStyle name="Normal 3 4 6 4" xfId="1085" xr:uid="{C2F7F281-6D7A-4FDB-9343-491F1FA9F4E9}"/>
    <cellStyle name="Normal 3 4 6 5" xfId="1284" xr:uid="{7FB3B02E-6EBE-4F80-B69B-9B483624B5CD}"/>
    <cellStyle name="Normal 3 4 7" xfId="219" xr:uid="{DEA23277-4617-4762-8BD1-7542C5731831}"/>
    <cellStyle name="Normal 3 4 7 2" xfId="618" xr:uid="{3CB5EDD5-CBD1-41BE-A6EC-E49B55419B47}"/>
    <cellStyle name="Normal 3 4 7 2 2" xfId="1797" xr:uid="{3B39A6CF-314A-4861-AB5A-5027FE973446}"/>
    <cellStyle name="Normal 3 4 7 3" xfId="858" xr:uid="{5DA0BC25-38C6-40A9-B58A-4AFD11ED5CDF}"/>
    <cellStyle name="Normal 3 4 7 4" xfId="998" xr:uid="{252D1E95-1AD8-4EB8-9ADF-2F46A73060CE}"/>
    <cellStyle name="Normal 3 4 7 5" xfId="1452" xr:uid="{01769016-8CD0-4C68-98B3-16ACCC0FEDA8}"/>
    <cellStyle name="Normal 3 4 8" xfId="148" xr:uid="{E4E4CA30-0233-44AD-9686-4B4892328CA7}"/>
    <cellStyle name="Normal 3 4 8 2" xfId="552" xr:uid="{2D417FF4-9A1F-46E8-926F-0E193E737415}"/>
    <cellStyle name="Normal 3 4 8 3" xfId="1384" xr:uid="{FB9D74D0-9C56-4E76-B759-C41E55A4D3CC}"/>
    <cellStyle name="Normal 3 4 9" xfId="341" xr:uid="{A0C2FBE0-0C86-4D31-8F76-065888583C9B}"/>
    <cellStyle name="Normal 3 4 9 2" xfId="518" xr:uid="{55AA8D39-08DE-42AC-A75F-74D5DCECE52D}"/>
    <cellStyle name="Normal 3 4 9 3" xfId="1573" xr:uid="{902FF79A-7344-4498-8980-4A419655FA54}"/>
    <cellStyle name="Normal 3 5" xfId="19" xr:uid="{00000000-0005-0000-0000-000021000000}"/>
    <cellStyle name="Normal 3 5 10" xfId="754" xr:uid="{364EE96C-B5A5-4C53-97EF-133B7F3B2F33}"/>
    <cellStyle name="Normal 3 5 10 2" xfId="1315" xr:uid="{412ADB29-2D36-421B-B6D9-58D362526085}"/>
    <cellStyle name="Normal 3 5 11" xfId="900" xr:uid="{E00E9EEC-8DEF-4C71-8FBF-D2AD6ED7710D}"/>
    <cellStyle name="Normal 3 5 11 2" xfId="1198" xr:uid="{A7C17B14-130F-4B7D-BB0F-39C0B5A1474F}"/>
    <cellStyle name="Normal 3 5 12" xfId="115" xr:uid="{95E04491-6D80-4B50-9126-4421C5A3F183}"/>
    <cellStyle name="Normal 3 5 12 2" xfId="1683" xr:uid="{3728152F-BA8D-4290-8C45-B172D460F497}"/>
    <cellStyle name="Normal 3 5 13" xfId="1739" xr:uid="{270724BE-F1F1-49C0-8C85-DB5106FED5FE}"/>
    <cellStyle name="Normal 3 5 14" xfId="1168" xr:uid="{426F248E-DEE5-4CC7-BE7C-F63DBEFCC235}"/>
    <cellStyle name="Normal 3 5 15" xfId="1094" xr:uid="{A704F16D-5135-49E0-B447-B38C3159FD76}"/>
    <cellStyle name="Normal 3 5 2" xfId="29" xr:uid="{00000000-0005-0000-0000-000022000000}"/>
    <cellStyle name="Normal 3 5 2 10" xfId="1227" xr:uid="{2BCA54AE-FD1C-49D4-8931-8F82D8E04CF5}"/>
    <cellStyle name="Normal 3 5 2 11" xfId="1106" xr:uid="{368D28A3-7BCE-4285-B747-C1787C891DEF}"/>
    <cellStyle name="Normal 3 5 2 2" xfId="83" xr:uid="{47D669E3-953C-407F-9376-D09D80858501}"/>
    <cellStyle name="Normal 3 5 2 2 2" xfId="725" xr:uid="{D6A7452B-D89B-4F06-B149-2EBCEAB986E9}"/>
    <cellStyle name="Normal 3 5 2 2 3" xfId="869" xr:uid="{877B8955-D690-485E-ABF9-D888D8D51252}"/>
    <cellStyle name="Normal 3 5 2 2 4" xfId="962" xr:uid="{603B48D9-69E0-4B78-8286-F3FF34241237}"/>
    <cellStyle name="Normal 3 5 2 2 5" xfId="326" xr:uid="{E69A186D-0D67-499A-ADA2-FE667D9A89AD}"/>
    <cellStyle name="Normal 3 5 2 2 6" xfId="1558" xr:uid="{120A0C1E-AB2A-4CFD-A745-15D5DE2FAAE6}"/>
    <cellStyle name="Normal 3 5 2 3" xfId="249" xr:uid="{BB9FAF9E-B555-4E9A-8A32-D54D46C9F006}"/>
    <cellStyle name="Normal 3 5 2 3 2" xfId="648" xr:uid="{8807A2A5-77BB-4454-9301-683ADCC2BBE0}"/>
    <cellStyle name="Normal 3 5 2 3 3" xfId="1028" xr:uid="{51CFCC51-DA52-43D1-ADC2-ADEB52E252C5}"/>
    <cellStyle name="Normal 3 5 2 3 4" xfId="1482" xr:uid="{4CE6CCEA-00C3-483F-BE41-7D2853B47A5B}"/>
    <cellStyle name="Normal 3 5 2 4" xfId="187" xr:uid="{66376080-FA84-4FFF-8EFC-92C7A92C10A0}"/>
    <cellStyle name="Normal 3 5 2 4 2" xfId="586" xr:uid="{960AC356-4597-4158-A162-A41E7B0B435E}"/>
    <cellStyle name="Normal 3 5 2 4 3" xfId="1420" xr:uid="{39D2A1C7-8654-44D8-B57A-26EF5211FF2A}"/>
    <cellStyle name="Normal 3 5 2 5" xfId="360" xr:uid="{C5BE782F-800D-4859-931D-1ABFC5B6CE57}"/>
    <cellStyle name="Normal 3 5 2 5 2" xfId="529" xr:uid="{7244BC9D-FB90-4C6F-8957-7C3D11F734CB}"/>
    <cellStyle name="Normal 3 5 2 5 3" xfId="1592" xr:uid="{792F5A34-CBA5-4CF7-B6F3-2437AC1BE1B9}"/>
    <cellStyle name="Normal 3 5 2 6" xfId="477" xr:uid="{5D6C2AD6-39EA-4E5A-94EA-9F37C4057FE2}"/>
    <cellStyle name="Normal 3 5 2 6 2" xfId="1641" xr:uid="{E7956E00-DCDC-4A88-9AEB-4C9AB34396CB}"/>
    <cellStyle name="Normal 3 5 2 7" xfId="783" xr:uid="{BE8B49A2-54FD-4B30-8C7A-2604C1A07F25}"/>
    <cellStyle name="Normal 3 5 2 7 2" xfId="1361" xr:uid="{B2F32F2A-F188-4D0A-9A09-658844D7E8AB}"/>
    <cellStyle name="Normal 3 5 2 8" xfId="910" xr:uid="{40DBC62D-C571-4D1A-B288-547F5094D1AC}"/>
    <cellStyle name="Normal 3 5 2 8 2" xfId="1695" xr:uid="{885488BA-569A-4468-8A72-457FFE2149A2}"/>
    <cellStyle name="Normal 3 5 2 9" xfId="125" xr:uid="{8549310F-A666-4AF3-BE33-6FD68EDCF509}"/>
    <cellStyle name="Normal 3 5 2 9 2" xfId="1749" xr:uid="{0E7D0182-462B-4662-836B-1F0999ABD9F7}"/>
    <cellStyle name="Normal 3 5 3" xfId="73" xr:uid="{6FE3652E-B75F-4CCF-BAD2-DD4F0D3E0765}"/>
    <cellStyle name="Normal 3 5 3 2" xfId="680" xr:uid="{BECC4F8E-7D09-40C2-98F7-2C81D6F7E65F}"/>
    <cellStyle name="Normal 3 5 3 2 2" xfId="1059" xr:uid="{F4524139-C84E-4286-8521-16594C9CDADA}"/>
    <cellStyle name="Normal 3 5 3 2 3" xfId="1513" xr:uid="{E32B6D72-D247-468D-99F7-AE0938713E97}"/>
    <cellStyle name="Normal 3 5 3 3" xfId="467" xr:uid="{613F3873-9AC1-4958-AD00-F710C9E6EB05}"/>
    <cellStyle name="Normal 3 5 3 3 2" xfId="1812" xr:uid="{847E50B4-DA20-4152-B5B4-EEF29158D365}"/>
    <cellStyle name="Normal 3 5 3 4" xfId="814" xr:uid="{3759CA60-0A27-41F2-979E-998D59280FD4}"/>
    <cellStyle name="Normal 3 5 3 5" xfId="952" xr:uid="{5A78256E-4607-41AC-99AD-A7DE51FF0CF8}"/>
    <cellStyle name="Normal 3 5 3 6" xfId="281" xr:uid="{EBB24FEB-6570-4C46-8509-CE7CAA25F090}"/>
    <cellStyle name="Normal 3 5 3 7" xfId="1259" xr:uid="{BA2F616F-19A4-4ACB-9B51-C75FAE736422}"/>
    <cellStyle name="Normal 3 5 4" xfId="305" xr:uid="{07703902-3A81-4396-84B0-7433858536D7}"/>
    <cellStyle name="Normal 3 5 4 2" xfId="704" xr:uid="{C1FEDB51-39E8-48E2-9DA6-5A1C375EA07F}"/>
    <cellStyle name="Normal 3 5 4 2 2" xfId="1537" xr:uid="{21F8CC4C-6D8A-4629-A119-8AA4F0CCFCE4}"/>
    <cellStyle name="Normal 3 5 4 3" xfId="836" xr:uid="{F76B30D4-4B5D-4BD6-A8EA-CA50C969EBA5}"/>
    <cellStyle name="Normal 3 5 4 4" xfId="1082" xr:uid="{E7D545BE-D9E0-4782-8C22-9164C8F247BC}"/>
    <cellStyle name="Normal 3 5 4 5" xfId="1281" xr:uid="{3B13A3F0-4DB0-4D44-87B9-0D209C388F70}"/>
    <cellStyle name="Normal 3 5 5" xfId="220" xr:uid="{298D963F-EB94-4C90-918F-4675929FE32A}"/>
    <cellStyle name="Normal 3 5 5 2" xfId="619" xr:uid="{DE9BFB86-0D50-474E-B766-41E571977D9E}"/>
    <cellStyle name="Normal 3 5 5 3" xfId="859" xr:uid="{73DDBCDC-71A8-46E2-8F2C-DF5D92CEFAAA}"/>
    <cellStyle name="Normal 3 5 5 4" xfId="999" xr:uid="{35052CF6-5C38-43E3-8BF8-930EB24368C1}"/>
    <cellStyle name="Normal 3 5 5 5" xfId="1453" xr:uid="{A28F8815-4FC6-4391-90AD-B58612170574}"/>
    <cellStyle name="Normal 3 5 6" xfId="151" xr:uid="{E1F3DBA6-B3CD-45A9-9CB0-34BA23CFE26B}"/>
    <cellStyle name="Normal 3 5 6 2" xfId="555" xr:uid="{35E9C6C7-F922-4829-8062-4B6DCD0BB40A}"/>
    <cellStyle name="Normal 3 5 6 3" xfId="1387" xr:uid="{62B4A3ED-CEEE-425C-AC72-3967B3C85857}"/>
    <cellStyle name="Normal 3 5 7" xfId="348" xr:uid="{72C25B86-66DD-4248-98FB-4ADB74527E85}"/>
    <cellStyle name="Normal 3 5 7 2" xfId="519" xr:uid="{0B71E5B3-16D4-4970-8711-7498C87E2004}"/>
    <cellStyle name="Normal 3 5 7 3" xfId="1580" xr:uid="{9A91E500-A37A-4493-9E96-F0D328FA42AB}"/>
    <cellStyle name="Normal 3 5 8" xfId="388" xr:uid="{A0538B36-5DE7-496C-A53E-11AC73CC47FD}"/>
    <cellStyle name="Normal 3 5 8 2" xfId="1631" xr:uid="{A4A1FDED-EDF7-44F2-9B64-470237D290F8}"/>
    <cellStyle name="Normal 3 5 9" xfId="419" xr:uid="{81F4BB4E-5E87-4EEE-8997-8AF548779CFA}"/>
    <cellStyle name="Normal 3 5 9 2" xfId="1351" xr:uid="{9DB84324-B9AE-4F9A-ACE6-FEBCAC11982D}"/>
    <cellStyle name="Normal 3 6" xfId="11" xr:uid="{00000000-0005-0000-0000-000023000000}"/>
    <cellStyle name="Normal 3 6 10" xfId="748" xr:uid="{636C0A8A-2C45-490C-A555-877E23EB8E10}"/>
    <cellStyle name="Normal 3 6 10 2" xfId="1319" xr:uid="{8897C72F-A617-4B80-9901-06C0F6E2E7EA}"/>
    <cellStyle name="Normal 3 6 11" xfId="894" xr:uid="{7B68CC80-CDB3-4D47-A41F-A0ABC553A89E}"/>
    <cellStyle name="Normal 3 6 11 2" xfId="1191" xr:uid="{36EC97E2-B963-4AE6-B876-BA9D30592F1B}"/>
    <cellStyle name="Normal 3 6 12" xfId="109" xr:uid="{75E0DF20-2ECC-46AC-9F4E-6A405301D606}"/>
    <cellStyle name="Normal 3 6 12 2" xfId="1692" xr:uid="{9649CC17-9EFF-4320-851C-83C4A2882273}"/>
    <cellStyle name="Normal 3 6 13" xfId="1733" xr:uid="{93398D52-0DEF-4395-AA5E-557D0F57B800}"/>
    <cellStyle name="Normal 3 6 14" xfId="1164" xr:uid="{451F204E-9F23-4BCA-9871-7F765681FB3F}"/>
    <cellStyle name="Normal 3 6 15" xfId="1103" xr:uid="{54575CA9-D23A-43AB-B89D-91DB52431016}"/>
    <cellStyle name="Normal 3 6 2" xfId="67" xr:uid="{E628BBEA-13AD-41C0-8A64-E2C3B6251CE4}"/>
    <cellStyle name="Normal 3 6 2 2" xfId="320" xr:uid="{52E93D73-A6E6-44BB-8CDB-A07DEE90147B}"/>
    <cellStyle name="Normal 3 6 2 2 2" xfId="719" xr:uid="{F0D0DEEC-C5EB-4B4A-93F8-11EEC303D9FB}"/>
    <cellStyle name="Normal 3 6 2 2 3" xfId="1022" xr:uid="{36750A2D-1EC8-4273-92DD-4843A252E64D}"/>
    <cellStyle name="Normal 3 6 2 2 4" xfId="1552" xr:uid="{EDE99FD5-5BD3-45C3-BD6E-036AA9749BD5}"/>
    <cellStyle name="Normal 3 6 2 3" xfId="243" xr:uid="{864519FD-AE75-46A4-8A00-93513109797B}"/>
    <cellStyle name="Normal 3 6 2 3 2" xfId="642" xr:uid="{A9CAF713-BB0D-40B9-8777-F522F9D8A718}"/>
    <cellStyle name="Normal 3 6 2 3 3" xfId="1476" xr:uid="{00E7155F-2579-4CB3-B215-7B77042A69D0}"/>
    <cellStyle name="Normal 3 6 2 4" xfId="580" xr:uid="{AA2DD68A-923D-4177-B9EF-937DCDF635A7}"/>
    <cellStyle name="Normal 3 6 2 4 2" xfId="1413" xr:uid="{D9026669-3E42-42F7-AEB2-D977FC55518C}"/>
    <cellStyle name="Normal 3 6 2 5" xfId="461" xr:uid="{14DD343E-4CC9-4C51-B8AE-9C39334EFABE}"/>
    <cellStyle name="Normal 3 6 2 5 2" xfId="1819" xr:uid="{C9C3338D-283A-49E6-A5D7-C367D261F55E}"/>
    <cellStyle name="Normal 3 6 2 6" xfId="777" xr:uid="{A2A14A95-6615-4AD2-A535-85FDD13B3338}"/>
    <cellStyle name="Normal 3 6 2 7" xfId="946" xr:uid="{380C5219-169F-4BF4-9BCC-4AAC3149D6B6}"/>
    <cellStyle name="Normal 3 6 2 8" xfId="180" xr:uid="{E87D6F67-57F0-4089-B6A2-A4835D68ADF5}"/>
    <cellStyle name="Normal 3 6 2 9" xfId="1221" xr:uid="{E4FBAF77-0D39-47CF-92F6-FFDB0C757503}"/>
    <cellStyle name="Normal 3 6 3" xfId="275" xr:uid="{DB5E4366-406C-495D-AB8E-BED45C651583}"/>
    <cellStyle name="Normal 3 6 3 2" xfId="674" xr:uid="{7EBE21F4-7688-48C5-88BB-5F66125842FF}"/>
    <cellStyle name="Normal 3 6 3 2 2" xfId="1507" xr:uid="{475FA021-8890-4FC1-99CC-81B45458B13C}"/>
    <cellStyle name="Normal 3 6 3 3" xfId="808" xr:uid="{4D8D0F12-AB1D-4302-B6C4-0E597FBF8437}"/>
    <cellStyle name="Normal 3 6 3 4" xfId="1053" xr:uid="{CC6F8696-6CA4-4BCC-BC36-8ED647C9BC2F}"/>
    <cellStyle name="Normal 3 6 3 5" xfId="1253" xr:uid="{6FFB000C-6E4F-450C-9A49-95071AE65B50}"/>
    <cellStyle name="Normal 3 6 4" xfId="299" xr:uid="{84F77E7C-417E-4EAD-ABE6-F0420ACE3E57}"/>
    <cellStyle name="Normal 3 6 4 2" xfId="698" xr:uid="{B7822BD5-16A2-4F66-9DCC-DEA7168FF6AA}"/>
    <cellStyle name="Normal 3 6 4 2 2" xfId="1531" xr:uid="{4CA86E07-2269-4AC9-A7C5-9AD541DA8F44}"/>
    <cellStyle name="Normal 3 6 4 3" xfId="832" xr:uid="{74AF2866-AA4E-463B-8C67-1541BB6D1A71}"/>
    <cellStyle name="Normal 3 6 4 4" xfId="1078" xr:uid="{57EFB522-DA63-4452-84F4-877D22305CFC}"/>
    <cellStyle name="Normal 3 6 4 5" xfId="1277" xr:uid="{A12F49EB-0E95-4353-AA38-A12E8905C49E}"/>
    <cellStyle name="Normal 3 6 5" xfId="214" xr:uid="{685325D4-4C00-41AA-954C-C3C093A18BB4}"/>
    <cellStyle name="Normal 3 6 5 2" xfId="613" xr:uid="{CE7AD7CD-8135-4B7D-9712-BC36C307277F}"/>
    <cellStyle name="Normal 3 6 5 3" xfId="853" xr:uid="{F5E0F503-7B02-46B1-860D-B318491C9785}"/>
    <cellStyle name="Normal 3 6 5 4" xfId="993" xr:uid="{58494FFE-0112-4B5A-9206-0ABD7346B788}"/>
    <cellStyle name="Normal 3 6 5 5" xfId="1447" xr:uid="{A2AA8894-386D-4718-9665-23918C3DCF9F}"/>
    <cellStyle name="Normal 3 6 6" xfId="155" xr:uid="{08E6A536-850E-4EC4-B272-BF262DF1046C}"/>
    <cellStyle name="Normal 3 6 6 2" xfId="559" xr:uid="{EF1DB205-A0B7-4FCD-9C63-92A05B9D7C8F}"/>
    <cellStyle name="Normal 3 6 6 3" xfId="1391" xr:uid="{215965E2-BDCF-4858-BB26-E7E2EA50DBDF}"/>
    <cellStyle name="Normal 3 6 7" xfId="357" xr:uid="{A6D2725D-7A89-4441-83F1-5311733AE4A7}"/>
    <cellStyle name="Normal 3 6 7 2" xfId="513" xr:uid="{7DD141A4-3901-4A3B-AB39-6D0D189E44FB}"/>
    <cellStyle name="Normal 3 6 7 3" xfId="1589" xr:uid="{C1A5B0DF-B308-4E00-AEAE-CF71ACEB1754}"/>
    <cellStyle name="Normal 3 6 8" xfId="386" xr:uid="{D9BC290F-DCD5-4005-8C7A-B4FD29BEE354}"/>
    <cellStyle name="Normal 3 6 8 2" xfId="1625" xr:uid="{08D5518F-5F9C-4E2F-B2B8-CF0A21DA4122}"/>
    <cellStyle name="Normal 3 6 9" xfId="413" xr:uid="{9CDFF77E-A157-4464-AEFE-3E1CEB28E6E7}"/>
    <cellStyle name="Normal 3 6 9 2" xfId="1344" xr:uid="{6D32368D-8B3B-4CEF-8763-84FFFEBB3588}"/>
    <cellStyle name="Normal 3 7" xfId="9" xr:uid="{00000000-0005-0000-0000-000024000000}"/>
    <cellStyle name="Normal 3 7 10" xfId="107" xr:uid="{AE3B9708-5F13-47A4-8B8A-7EF113A6917F}"/>
    <cellStyle name="Normal 3 7 10 2" xfId="1189" xr:uid="{8A60883D-284F-40A5-9EE9-9E404E653BBC}"/>
    <cellStyle name="Normal 3 7 11" xfId="1705" xr:uid="{1F11E9B0-CDE3-42E0-8A67-6AAA7211BF0D}"/>
    <cellStyle name="Normal 3 7 12" xfId="1731" xr:uid="{54E86D24-A468-45DD-8628-9DD555DB17E2}"/>
    <cellStyle name="Normal 3 7 13" xfId="1160" xr:uid="{B1721152-3A41-40F6-ACD5-5CBEADC7729C}"/>
    <cellStyle name="Normal 3 7 2" xfId="65" xr:uid="{468B6562-2A0C-42E3-AF50-836F9A006A25}"/>
    <cellStyle name="Normal 3 7 2 2" xfId="241" xr:uid="{8D5EAF92-0F6F-43D3-8FE5-20BDFC85325A}"/>
    <cellStyle name="Normal 3 7 2 2 2" xfId="640" xr:uid="{32CD090D-3F14-4970-9B90-F36DB54F80C8}"/>
    <cellStyle name="Normal 3 7 2 2 3" xfId="1020" xr:uid="{DCF9C1DB-EA99-4F13-899E-ABF0FC4538DA}"/>
    <cellStyle name="Normal 3 7 2 2 4" xfId="1474" xr:uid="{D1B3F737-182A-4302-A31E-CD9223608AB7}"/>
    <cellStyle name="Normal 3 7 2 3" xfId="578" xr:uid="{6B98A023-1DEE-43B3-95FA-70359CB239FD}"/>
    <cellStyle name="Normal 3 7 2 3 2" xfId="1411" xr:uid="{0A86C04B-9FDD-4CFA-AFDF-8554070DE03E}"/>
    <cellStyle name="Normal 3 7 2 4" xfId="459" xr:uid="{BDDBBE14-5B80-4890-A61C-D7676E3D31EA}"/>
    <cellStyle name="Normal 3 7 2 4 2" xfId="1825" xr:uid="{57A4D137-99B8-49C0-98AD-C1B6BFE13FF1}"/>
    <cellStyle name="Normal 3 7 2 5" xfId="775" xr:uid="{3B67CC86-1D10-447A-BE9D-85AE4E5E7ABC}"/>
    <cellStyle name="Normal 3 7 2 6" xfId="944" xr:uid="{304EBED7-2B07-4F62-802C-5D25394D9DEE}"/>
    <cellStyle name="Normal 3 7 2 7" xfId="178" xr:uid="{BC2DC5A3-A181-4527-88C5-32D895C5D033}"/>
    <cellStyle name="Normal 3 7 2 8" xfId="1219" xr:uid="{22511721-5E1D-4B4E-85A1-D43272514464}"/>
    <cellStyle name="Normal 3 7 3" xfId="297" xr:uid="{54E4CA9F-808F-4742-B588-3C7EB27E14A0}"/>
    <cellStyle name="Normal 3 7 3 2" xfId="696" xr:uid="{5121FA9C-DB52-4231-B3D0-416E6E408ADA}"/>
    <cellStyle name="Normal 3 7 3 2 2" xfId="1529" xr:uid="{825FAA97-A2FB-4BAB-BB3A-241A4D10FBD8}"/>
    <cellStyle name="Normal 3 7 3 3" xfId="828" xr:uid="{B1416E80-1F46-4661-955D-1AD37F47BBE1}"/>
    <cellStyle name="Normal 3 7 3 4" xfId="1074" xr:uid="{C4518EAF-2A75-420D-AEE2-9E1CDAB3E902}"/>
    <cellStyle name="Normal 3 7 3 5" xfId="1273" xr:uid="{5AF0A69B-C439-464D-8637-EF8B5C80CF4F}"/>
    <cellStyle name="Normal 3 7 4" xfId="212" xr:uid="{58805376-F421-4930-9D90-1B786665A4BC}"/>
    <cellStyle name="Normal 3 7 4 2" xfId="611" xr:uid="{554F6E4D-A992-41C3-8286-BCBEA556F17D}"/>
    <cellStyle name="Normal 3 7 4 3" xfId="851" xr:uid="{88EC8713-3EDB-4706-95F0-DE60880B1719}"/>
    <cellStyle name="Normal 3 7 4 4" xfId="991" xr:uid="{90CF86A7-27F1-4864-8562-D6E25018DE24}"/>
    <cellStyle name="Normal 3 7 4 5" xfId="1445" xr:uid="{26A11A28-5EF7-4C91-A184-30D80D601E98}"/>
    <cellStyle name="Normal 3 7 5" xfId="160" xr:uid="{E0032689-87D5-4FC7-987D-FDB285FB4227}"/>
    <cellStyle name="Normal 3 7 5 2" xfId="562" xr:uid="{CF78FA8A-E58A-4A77-80CF-BDABAB9E2188}"/>
    <cellStyle name="Normal 3 7 5 3" xfId="1395" xr:uid="{AF5768FF-FF2B-4AE1-BBD9-6E11412D016E}"/>
    <cellStyle name="Normal 3 7 6" xfId="371" xr:uid="{F7BEC804-8C2C-49F1-9F61-114021BD4C9B}"/>
    <cellStyle name="Normal 3 7 6 2" xfId="511" xr:uid="{B424372C-4333-4BA9-8BEC-265FF4DBF9C9}"/>
    <cellStyle name="Normal 3 7 6 3" xfId="1603" xr:uid="{299866A1-1FFA-47BC-850F-E24F8C6B43AB}"/>
    <cellStyle name="Normal 3 7 7" xfId="411" xr:uid="{D414055C-9298-4EE1-9AC3-19E5DD306760}"/>
    <cellStyle name="Normal 3 7 7 2" xfId="1623" xr:uid="{9C5A1486-6998-4809-9A2D-B8F66D89EB5E}"/>
    <cellStyle name="Normal 3 7 8" xfId="746" xr:uid="{EE400B5E-C082-4EC1-9012-0F10B5A20CCB}"/>
    <cellStyle name="Normal 3 7 8 2" xfId="1342" xr:uid="{B8EB8A47-F5D1-4E39-A382-8FD7DE61E1C4}"/>
    <cellStyle name="Normal 3 7 9" xfId="892" xr:uid="{531FAA52-E3BC-4A86-A046-174766D6AA31}"/>
    <cellStyle name="Normal 3 7 9 2" xfId="1323" xr:uid="{389B32BE-A9D3-4C3B-86DE-8F247C52E027}"/>
    <cellStyle name="Normal 3 8" xfId="6" xr:uid="{00000000-0005-0000-0000-000025000000}"/>
    <cellStyle name="Normal 3 8 10" xfId="105" xr:uid="{D8939C03-FA42-446E-BE5D-A38F293156EC}"/>
    <cellStyle name="Normal 3 8 10 2" xfId="1187" xr:uid="{B1581D04-7E18-4B94-B9EF-C706AFF4A439}"/>
    <cellStyle name="Normal 3 8 11" xfId="1679" xr:uid="{64D649FC-EB94-41B2-BBAD-167A16827BF9}"/>
    <cellStyle name="Normal 3 8 12" xfId="1729" xr:uid="{F46FFB40-5125-416F-B6E4-FD9CF4FB5F9B}"/>
    <cellStyle name="Normal 3 8 13" xfId="1155" xr:uid="{89288419-A485-496A-A2D4-3D572E37E352}"/>
    <cellStyle name="Normal 3 8 2" xfId="62" xr:uid="{D3ACFCA4-A8D5-4462-B880-C97DCDE56BA1}"/>
    <cellStyle name="Normal 3 8 2 2" xfId="638" xr:uid="{4B7C2B74-FB0F-4D8B-A6F5-1EB7374927DD}"/>
    <cellStyle name="Normal 3 8 2 2 2" xfId="1018" xr:uid="{05D520FC-755B-4BD0-B65D-2F378D70157F}"/>
    <cellStyle name="Normal 3 8 2 2 3" xfId="1472" xr:uid="{5E662522-A5E9-4A47-BE43-8282551102EC}"/>
    <cellStyle name="Normal 3 8 2 3" xfId="457" xr:uid="{FB23D8A4-4A0E-433F-ACFC-35AD361DAD9B}"/>
    <cellStyle name="Normal 3 8 2 3 2" xfId="1810" xr:uid="{C7D13DBE-D957-4392-A846-4F2A6C574A2D}"/>
    <cellStyle name="Normal 3 8 2 4" xfId="773" xr:uid="{9CD8B7A7-BD26-4447-A8DE-07ED7A8C4283}"/>
    <cellStyle name="Normal 3 8 2 5" xfId="942" xr:uid="{18A2C3F9-7A8F-4ECF-9844-E0BBA5041EB7}"/>
    <cellStyle name="Normal 3 8 2 6" xfId="239" xr:uid="{784B4A95-3650-449A-959F-290CD9919784}"/>
    <cellStyle name="Normal 3 8 2 7" xfId="1217" xr:uid="{68B91323-B612-4E89-816F-45E7BDD658DF}"/>
    <cellStyle name="Normal 3 8 3" xfId="295" xr:uid="{2E0E1557-8180-4126-8666-9B37B8C56ACB}"/>
    <cellStyle name="Normal 3 8 3 2" xfId="694" xr:uid="{9BBED046-8D3B-454D-BCBB-1D20581DA17A}"/>
    <cellStyle name="Normal 3 8 3 2 2" xfId="1527" xr:uid="{845B8B64-6A1B-4426-AD5A-DF435CE8260A}"/>
    <cellStyle name="Normal 3 8 3 3" xfId="824" xr:uid="{59EE0AA0-D364-467E-B545-6DB3C13572A7}"/>
    <cellStyle name="Normal 3 8 3 4" xfId="1070" xr:uid="{ECBA7027-B7F8-451F-BCCD-47CFAE019373}"/>
    <cellStyle name="Normal 3 8 3 5" xfId="1269" xr:uid="{75A6F0B1-AF90-40F8-9EBB-D52973E615D6}"/>
    <cellStyle name="Normal 3 8 4" xfId="210" xr:uid="{BA7BB14A-C16E-401F-953B-E864C83D7005}"/>
    <cellStyle name="Normal 3 8 4 2" xfId="609" xr:uid="{9D84424C-B09E-4854-931F-AE5597988920}"/>
    <cellStyle name="Normal 3 8 4 3" xfId="849" xr:uid="{C9503576-02BC-4DA5-B5E0-2A8088F7CB46}"/>
    <cellStyle name="Normal 3 8 4 4" xfId="989" xr:uid="{0FB0A809-79E0-4C20-95D2-B3C4FA352121}"/>
    <cellStyle name="Normal 3 8 4 5" xfId="1443" xr:uid="{843F39A9-F897-42CB-A670-1F6AFA62F073}"/>
    <cellStyle name="Normal 3 8 5" xfId="176" xr:uid="{70CAA35B-265D-440E-8C81-A66BAA7DD02B}"/>
    <cellStyle name="Normal 3 8 5 2" xfId="576" xr:uid="{9261DCFA-59F2-4170-8F10-2A08E0E6328A}"/>
    <cellStyle name="Normal 3 8 5 3" xfId="1409" xr:uid="{EB0C1C7F-15CE-4218-BCC6-BADC0D7FEBE2}"/>
    <cellStyle name="Normal 3 8 6" xfId="344" xr:uid="{45A23B80-F340-4FCA-B794-74F9C221BC9E}"/>
    <cellStyle name="Normal 3 8 6 2" xfId="509" xr:uid="{51B8F757-30EC-4684-B3C4-544539A54929}"/>
    <cellStyle name="Normal 3 8 6 3" xfId="1576" xr:uid="{12D84A2C-5857-41D5-94F7-FC9E9BF40FD3}"/>
    <cellStyle name="Normal 3 8 7" xfId="409" xr:uid="{4C06DBE7-C5D4-4886-BEEA-2D5700D3D38F}"/>
    <cellStyle name="Normal 3 8 7 2" xfId="1621" xr:uid="{E028A4C2-5E50-45B2-8486-CFC40A884469}"/>
    <cellStyle name="Normal 3 8 8" xfId="744" xr:uid="{5698CD7A-09E9-4EAB-8321-5BCF2C581762}"/>
    <cellStyle name="Normal 3 8 8 2" xfId="1340" xr:uid="{99FC84C3-E035-41A7-A0E6-3D5600687C7C}"/>
    <cellStyle name="Normal 3 8 9" xfId="890" xr:uid="{F1639B75-A7B3-4303-B39A-F899C088070D}"/>
    <cellStyle name="Normal 3 8 9 2" xfId="1332" xr:uid="{23FB569F-7190-481A-9997-AE1948281E7F}"/>
    <cellStyle name="Normal 3 9" xfId="3" xr:uid="{00000000-0005-0000-0000-000026000000}"/>
    <cellStyle name="Normal 3 9 10" xfId="102" xr:uid="{36409EB3-D9BC-40CE-BE7E-4774216538F8}"/>
    <cellStyle name="Normal 3 9 10 2" xfId="1676" xr:uid="{4BF1EB47-CDC6-447B-A2B1-598232574A6C}"/>
    <cellStyle name="Normal 3 9 11" xfId="1726" xr:uid="{D2A8B4AB-41A7-44C2-BED1-69FBA61D5A92}"/>
    <cellStyle name="Normal 3 9 12" xfId="1152" xr:uid="{B56F634D-CCF5-4A0A-917A-F1D651E79D6E}"/>
    <cellStyle name="Normal 3 9 2" xfId="59" xr:uid="{A3857B50-E642-4230-BAFD-42D314436E1A}"/>
    <cellStyle name="Normal 3 9 2 2" xfId="635" xr:uid="{105C1CAF-8A09-4FD8-9035-48CE67C88991}"/>
    <cellStyle name="Normal 3 9 2 2 2" xfId="1015" xr:uid="{19DC921F-D159-4AEB-9257-85CB5802D1F2}"/>
    <cellStyle name="Normal 3 9 2 2 3" xfId="1469" xr:uid="{EB829D6F-E2B2-4CE6-B47A-7A0AC05F639A}"/>
    <cellStyle name="Normal 3 9 2 3" xfId="454" xr:uid="{F6EF9D50-CA5E-4880-97BB-9D291A6D2687}"/>
    <cellStyle name="Normal 3 9 2 3 2" xfId="1807" xr:uid="{2FD2F644-D375-4E84-98C0-62201E371CB4}"/>
    <cellStyle name="Normal 3 9 2 4" xfId="770" xr:uid="{3DCF03BC-77D3-4F14-8184-2D3073A93259}"/>
    <cellStyle name="Normal 3 9 2 5" xfId="939" xr:uid="{65AE20DF-089B-48A7-AD56-0D2DB65CEA7A}"/>
    <cellStyle name="Normal 3 9 2 6" xfId="236" xr:uid="{B0111239-5472-4780-ADF8-600C4F3BBD68}"/>
    <cellStyle name="Normal 3 9 2 7" xfId="1214" xr:uid="{01374212-E8EF-4E85-8FE0-59B018A753FD}"/>
    <cellStyle name="Normal 3 9 3" xfId="292" xr:uid="{ED665997-6DCD-4E3B-AF6D-339AD7F1D680}"/>
    <cellStyle name="Normal 3 9 3 2" xfId="691" xr:uid="{B54D00AD-8673-4646-8E32-AC7D93ACEC6D}"/>
    <cellStyle name="Normal 3 9 3 3" xfId="846" xr:uid="{78B3D5CD-8661-46F6-B416-61C39C526DED}"/>
    <cellStyle name="Normal 3 9 3 4" xfId="986" xr:uid="{175C0BFA-1949-46EB-B4D9-8A64DC403699}"/>
    <cellStyle name="Normal 3 9 3 5" xfId="1524" xr:uid="{FEAB38F4-948D-4364-827D-E734E1F70EB2}"/>
    <cellStyle name="Normal 3 9 4" xfId="207" xr:uid="{6ED17897-AF48-4BAE-8910-806D9D4ABFC5}"/>
    <cellStyle name="Normal 3 9 4 2" xfId="606" xr:uid="{2014D205-10D8-4D2D-B628-A2DAC302EBA2}"/>
    <cellStyle name="Normal 3 9 4 3" xfId="1440" xr:uid="{E821E31A-F2BA-45BD-930A-00869950B837}"/>
    <cellStyle name="Normal 3 9 5" xfId="173" xr:uid="{3851BDE2-066A-4ABE-AFBA-7A0ECBD70B46}"/>
    <cellStyle name="Normal 3 9 5 2" xfId="573" xr:uid="{DABA4250-EA2B-4EDC-AE40-C2902F2E6C1A}"/>
    <cellStyle name="Normal 3 9 5 3" xfId="1406" xr:uid="{A3E1A54F-ADFF-4297-A1D4-C5E8B36A2F96}"/>
    <cellStyle name="Normal 3 9 6" xfId="506" xr:uid="{416D8F6C-56E0-4351-BA1C-413AF387481A}"/>
    <cellStyle name="Normal 3 9 6 2" xfId="1618" xr:uid="{A9095F47-6989-4A40-836F-9E2C3ABB5667}"/>
    <cellStyle name="Normal 3 9 7" xfId="406" xr:uid="{47648AB7-C961-411B-A485-C8F2E0745384}"/>
    <cellStyle name="Normal 3 9 7 2" xfId="1337" xr:uid="{2D7BC6F8-906C-4C6D-82B3-DA60ACB56FF7}"/>
    <cellStyle name="Normal 3 9 8" xfId="741" xr:uid="{DF148407-D700-4F11-A20A-A162305A0543}"/>
    <cellStyle name="Normal 3 9 8 2" xfId="1306" xr:uid="{3ACFEBDF-5FCF-4FC6-B0D1-8002C3B401D8}"/>
    <cellStyle name="Normal 3 9 9" xfId="887" xr:uid="{CC09232B-40C9-41A9-803C-1CF21A55E57D}"/>
    <cellStyle name="Normal 3 9 9 2" xfId="1184" xr:uid="{A3BEEE32-9779-4868-B19A-6833167CB037}"/>
    <cellStyle name="Normal 4" xfId="4" xr:uid="{00000000-0005-0000-0000-000027000000}"/>
    <cellStyle name="Normal 4 10" xfId="346" xr:uid="{D657B781-7D9A-4847-BC31-651AE70FB552}"/>
    <cellStyle name="Normal 4 10 2" xfId="507" xr:uid="{CBFB791B-7F58-48C6-8348-94836C611FB6}"/>
    <cellStyle name="Normal 4 10 3" xfId="1578" xr:uid="{88067DCF-D875-4FEE-9FFD-F2FC99A89AE5}"/>
    <cellStyle name="Normal 4 11" xfId="381" xr:uid="{655D06A7-E7FB-431A-817C-9C51F084312D}"/>
    <cellStyle name="Normal 4 11 2" xfId="1338" xr:uid="{559DFF5C-CF07-41CF-A95F-7543A4ECB6BC}"/>
    <cellStyle name="Normal 4 12" xfId="398" xr:uid="{441231C8-882A-4A23-8425-0E42E8145A31}"/>
    <cellStyle name="Normal 4 12 2" xfId="1299" xr:uid="{7ABC1A23-A626-4C58-AE44-0988E9A173D1}"/>
    <cellStyle name="Normal 4 13" xfId="888" xr:uid="{F7515C4E-022A-4038-9961-498C593DF4B8}"/>
    <cellStyle name="Normal 4 13 2" xfId="1181" xr:uid="{308B49F7-B003-41B5-8D82-C60BF0472124}"/>
    <cellStyle name="Normal 4 14" xfId="103" xr:uid="{A311C5E7-F902-46F2-A16F-2B4F1669F26A}"/>
    <cellStyle name="Normal 4 14 2" xfId="1727" xr:uid="{30F7D896-EEBE-41F8-B830-D2347333F5D3}"/>
    <cellStyle name="Normal 4 15" xfId="1132" xr:uid="{6899425E-CC55-4A0F-BFAE-495AF36F03A4}"/>
    <cellStyle name="Normal 4 16" xfId="1125" xr:uid="{41AD02B6-6BFF-47E0-B9B4-850D5365556D}"/>
    <cellStyle name="Normal 4 17" xfId="1092" xr:uid="{F6A0AAB2-D929-4B3E-97B8-E5766B5C6859}"/>
    <cellStyle name="Normal 4 2" xfId="17" xr:uid="{00000000-0005-0000-0000-000028000000}"/>
    <cellStyle name="Normal 4 2 10" xfId="752" xr:uid="{E76F7FCA-3666-4A40-B377-AFCC905C77AA}"/>
    <cellStyle name="Normal 4 2 10 2" xfId="1349" xr:uid="{51D50EA6-F276-4E64-B5CA-FA02AE6AC6C1}"/>
    <cellStyle name="Normal 4 2 11" xfId="898" xr:uid="{EB047693-B360-453B-BCD7-6BE7647500C8}"/>
    <cellStyle name="Normal 4 2 11 2" xfId="1303" xr:uid="{35B2D0B9-7647-4DFD-94E3-F9054F31F135}"/>
    <cellStyle name="Normal 4 2 12" xfId="113" xr:uid="{DA2BD97B-F5DB-48E8-8B08-8919043B84E6}"/>
    <cellStyle name="Normal 4 2 12 2" xfId="1196" xr:uid="{284DF354-F776-410B-9233-7A0B025EAF1F}"/>
    <cellStyle name="Normal 4 2 13" xfId="1687" xr:uid="{9732F559-1D85-4758-9F60-EC5EBB62391A}"/>
    <cellStyle name="Normal 4 2 14" xfId="1737" xr:uid="{8F22A92D-93B0-40C2-9F12-45D6F6B84DC2}"/>
    <cellStyle name="Normal 4 2 15" xfId="1159" xr:uid="{36B70E51-EB89-421D-A557-7A9DB9BA27E3}"/>
    <cellStyle name="Normal 4 2 16" xfId="1098" xr:uid="{D97F0231-6693-4C92-AEBA-31052DDB3F17}"/>
    <cellStyle name="Normal 4 2 2" xfId="40" xr:uid="{00000000-0005-0000-0000-000029000000}"/>
    <cellStyle name="Normal 4 2 2 10" xfId="136" xr:uid="{4D3E8C27-F82F-42A2-9F5B-399D64715D0C}"/>
    <cellStyle name="Normal 4 2 2 10 2" xfId="1207" xr:uid="{C1742E46-F4F6-4D12-9AA3-EFBA963B6E93}"/>
    <cellStyle name="Normal 4 2 2 11" xfId="1699" xr:uid="{0AA38795-EA77-4C0A-AD76-4B43B5E37E1A}"/>
    <cellStyle name="Normal 4 2 2 12" xfId="1760" xr:uid="{262D33B0-69BF-46DE-8AA4-A197E485EB98}"/>
    <cellStyle name="Normal 4 2 2 13" xfId="1173" xr:uid="{F7866A53-89B0-443F-9185-782D9DDB58E0}"/>
    <cellStyle name="Normal 4 2 2 14" xfId="1110" xr:uid="{8A511106-8CA3-4340-8D80-6DEAD0E0434F}"/>
    <cellStyle name="Normal 4 2 2 2" xfId="94" xr:uid="{829539E8-962F-4163-BE93-2184A871A196}"/>
    <cellStyle name="Normal 4 2 2 2 2" xfId="657" xr:uid="{E071EAC7-4993-4445-B6E2-6AA5BAA46788}"/>
    <cellStyle name="Normal 4 2 2 2 2 2" xfId="1037" xr:uid="{20291FA8-6B73-41C3-8A2C-A598C4E11F79}"/>
    <cellStyle name="Normal 4 2 2 2 2 3" xfId="1491" xr:uid="{82E20365-8F8C-42A3-8324-58C343068254}"/>
    <cellStyle name="Normal 4 2 2 2 3" xfId="488" xr:uid="{01F4B49E-065A-4055-AC96-CEAF68E8E433}"/>
    <cellStyle name="Normal 4 2 2 2 3 2" xfId="1789" xr:uid="{3B5BC0F5-630F-47A9-92D8-578148BDCBB1}"/>
    <cellStyle name="Normal 4 2 2 2 4" xfId="792" xr:uid="{03F9471C-598A-4056-A3C8-CAD266086D19}"/>
    <cellStyle name="Normal 4 2 2 2 5" xfId="973" xr:uid="{5B9508EC-DD16-4937-B585-093947416F07}"/>
    <cellStyle name="Normal 4 2 2 2 6" xfId="258" xr:uid="{DF8464BE-FA0E-4777-8528-F01D3F7ACEC4}"/>
    <cellStyle name="Normal 4 2 2 2 7" xfId="1236" xr:uid="{26598605-F4CF-49F3-84EF-DDF7261DD3F6}"/>
    <cellStyle name="Normal 4 2 2 3" xfId="314" xr:uid="{5EEC32EF-881E-4C89-BD66-912126E5486D}"/>
    <cellStyle name="Normal 4 2 2 3 2" xfId="713" xr:uid="{C26A99C6-9AFE-406A-94F7-4C014A667A95}"/>
    <cellStyle name="Normal 4 2 2 3 2 2" xfId="1822" xr:uid="{5AD37045-759E-4C28-B24F-2CBC1944F155}"/>
    <cellStyle name="Normal 4 2 2 3 3" xfId="880" xr:uid="{33805AC9-BD8E-458B-8C81-B4A496403AB0}"/>
    <cellStyle name="Normal 4 2 2 3 4" xfId="1008" xr:uid="{B5C20FDE-EC3B-4146-B200-088AE934373D}"/>
    <cellStyle name="Normal 4 2 2 3 5" xfId="1546" xr:uid="{E2DE53B5-2D01-477F-ACB6-2D9F81358442}"/>
    <cellStyle name="Normal 4 2 2 4" xfId="229" xr:uid="{38CF88FF-5C4F-402B-90BF-A2D2EEFBABAB}"/>
    <cellStyle name="Normal 4 2 2 4 2" xfId="628" xr:uid="{EAFC697E-2B56-4DCA-94ED-89DCF8479F53}"/>
    <cellStyle name="Normal 4 2 2 4 3" xfId="1462" xr:uid="{B31AF701-DB7A-4C98-B148-FBD6BE2CA787}"/>
    <cellStyle name="Normal 4 2 2 5" xfId="168" xr:uid="{49FD8D13-6982-44F4-8CBD-58863F1342CE}"/>
    <cellStyle name="Normal 4 2 2 5 2" xfId="569" xr:uid="{7AB1DBBB-17EB-4758-AD1C-A3AF71AD97CE}"/>
    <cellStyle name="Normal 4 2 2 5 3" xfId="1402" xr:uid="{7ECB9FEB-2903-4C36-ADA9-678421CAC884}"/>
    <cellStyle name="Normal 4 2 2 6" xfId="364" xr:uid="{90753E40-7444-4307-9234-E8A7FB671DE2}"/>
    <cellStyle name="Normal 4 2 2 6 2" xfId="540" xr:uid="{7C0241BC-E83B-4328-92DA-B066E29DE01F}"/>
    <cellStyle name="Normal 4 2 2 6 3" xfId="1596" xr:uid="{EF4AACDB-E593-4295-9927-5A85511FBE30}"/>
    <cellStyle name="Normal 4 2 2 7" xfId="428" xr:uid="{3277485A-B62B-4A48-A1C1-FC6077FC353A}"/>
    <cellStyle name="Normal 4 2 2 7 2" xfId="1652" xr:uid="{D18DA63A-41C8-40B3-B178-8E7BF94780C2}"/>
    <cellStyle name="Normal 4 2 2 8" xfId="763" xr:uid="{1EF9FF32-793E-4103-AAA2-2C9195AD61F6}"/>
    <cellStyle name="Normal 4 2 2 8 2" xfId="1372" xr:uid="{20BC6A30-61D3-46EC-9EA5-C47F6A2A2888}"/>
    <cellStyle name="Normal 4 2 2 9" xfId="921" xr:uid="{DD3E90D5-53C4-4CF6-A1DB-0A51D2B200C3}"/>
    <cellStyle name="Normal 4 2 2 9 2" xfId="1330" xr:uid="{5C9D8899-D1C8-42BE-9C79-7D176CD4176F}"/>
    <cellStyle name="Normal 4 2 3" xfId="71" xr:uid="{5C092E4E-A0F1-44C2-9035-A9329FC0F955}"/>
    <cellStyle name="Normal 4 2 3 2" xfId="268" xr:uid="{43BB07F3-D5D8-4054-A364-3EF11945948D}"/>
    <cellStyle name="Normal 4 2 3 2 2" xfId="667" xr:uid="{7732423C-820C-4C6C-B6FC-B8BA9507DBDF}"/>
    <cellStyle name="Normal 4 2 3 2 3" xfId="1047" xr:uid="{403B22EC-8845-41B5-A193-7C6222A06DF9}"/>
    <cellStyle name="Normal 4 2 3 2 4" xfId="1501" xr:uid="{26EDD7A0-0353-4D8B-8BBC-3961294F6606}"/>
    <cellStyle name="Normal 4 2 3 3" xfId="584" xr:uid="{FB067ED0-3987-4069-A5AE-3AC60B823383}"/>
    <cellStyle name="Normal 4 2 3 3 2" xfId="1629" xr:uid="{E6E48FBC-F048-48D3-9FC6-A87FB224CBF9}"/>
    <cellStyle name="Normal 4 2 3 4" xfId="437" xr:uid="{296D8310-4F48-40A9-9DCF-CC300DBFD5D6}"/>
    <cellStyle name="Normal 4 2 3 4 2" xfId="1418" xr:uid="{A69D789D-D736-4A4D-A6CF-A3F6AD12193B}"/>
    <cellStyle name="Normal 4 2 3 5" xfId="802" xr:uid="{26D07246-3D93-4B16-9CF1-6784191243CD}"/>
    <cellStyle name="Normal 4 2 3 5 2" xfId="1310" xr:uid="{FFB6FE5A-102D-4BD8-990F-8D1CF753F3FE}"/>
    <cellStyle name="Normal 4 2 3 6" xfId="950" xr:uid="{D041CC5D-CF24-4CF8-862C-1235FA996FCA}"/>
    <cellStyle name="Normal 4 2 3 6 2" xfId="1776" xr:uid="{7C0B8661-BDD5-46EB-B19D-B466A0CFD5AC}"/>
    <cellStyle name="Normal 4 2 3 7" xfId="185" xr:uid="{86F7133E-7F3B-46C9-B449-DF147BFB321D}"/>
    <cellStyle name="Normal 4 2 3 7 2" xfId="1246" xr:uid="{F2AB707F-7DFC-4A85-BF5B-AD8A183F5210}"/>
    <cellStyle name="Normal 4 2 3 8" xfId="1119" xr:uid="{6B869AEA-51BB-4104-9BD1-2D3C0B58B994}"/>
    <cellStyle name="Normal 4 2 4" xfId="247" xr:uid="{27444B53-EF02-46E7-94FD-B6CE29DFEE89}"/>
    <cellStyle name="Normal 4 2 4 2" xfId="646" xr:uid="{CF61DC87-E5C4-432E-9C56-23982C79AB02}"/>
    <cellStyle name="Normal 4 2 4 2 2" xfId="1480" xr:uid="{57F663DA-AB4E-47BF-B91D-2071B01CEA4C}"/>
    <cellStyle name="Normal 4 2 4 3" xfId="465" xr:uid="{CC5EE7DF-5867-4674-9738-9702A88C31BD}"/>
    <cellStyle name="Normal 4 2 4 3 2" xfId="1816" xr:uid="{E7B5D49B-C4E7-411F-97B7-307F818D85F0}"/>
    <cellStyle name="Normal 4 2 4 4" xfId="781" xr:uid="{4F307BC7-A2B3-4210-BF19-D7859AA98187}"/>
    <cellStyle name="Normal 4 2 4 5" xfId="1026" xr:uid="{BE40FADE-A4FE-42AB-AAE8-D64DEFE01B73}"/>
    <cellStyle name="Normal 4 2 4 6" xfId="1225" xr:uid="{7503AD9F-3F07-45EB-91E6-B78A15020665}"/>
    <cellStyle name="Normal 4 2 5" xfId="303" xr:uid="{0F0238A9-AD46-4241-B66C-EF87EB1BCDD1}"/>
    <cellStyle name="Normal 4 2 5 2" xfId="702" xr:uid="{D2D58D36-4842-457A-92B9-7CE85F160CA3}"/>
    <cellStyle name="Normal 4 2 5 3" xfId="857" xr:uid="{BEA6C381-1E9D-4832-A80A-45837C4E90DA}"/>
    <cellStyle name="Normal 4 2 5 4" xfId="997" xr:uid="{BBD945FA-4A92-4B84-B626-034BCCC1AB48}"/>
    <cellStyle name="Normal 4 2 5 5" xfId="1535" xr:uid="{18E95BB6-6A60-4D31-A643-BF804E803C7C}"/>
    <cellStyle name="Normal 4 2 6" xfId="218" xr:uid="{B3D8D5C8-47F4-42B5-ACBB-53A8A9F49D26}"/>
    <cellStyle name="Normal 4 2 6 2" xfId="617" xr:uid="{27AD07D7-1F99-412A-8CC8-92514A86EDB1}"/>
    <cellStyle name="Normal 4 2 6 3" xfId="1451" xr:uid="{2762089F-DFEA-4158-990A-B25DA91CCE4F}"/>
    <cellStyle name="Normal 4 2 7" xfId="146" xr:uid="{6160E863-A0A7-4D08-8B3B-B8DCD9DAEAFC}"/>
    <cellStyle name="Normal 4 2 7 2" xfId="550" xr:uid="{400F54B9-4E76-45D2-A783-961544F2FEEE}"/>
    <cellStyle name="Normal 4 2 7 3" xfId="1382" xr:uid="{E6AB8084-7187-446D-B8AF-C773EEB38BA6}"/>
    <cellStyle name="Normal 4 2 8" xfId="352" xr:uid="{1433DEAD-2297-4069-B7E3-1D1C7336A0ED}"/>
    <cellStyle name="Normal 4 2 8 2" xfId="517" xr:uid="{777E3F34-2EBB-4024-B9AF-24441FF4BC97}"/>
    <cellStyle name="Normal 4 2 8 3" xfId="1584" xr:uid="{37F72B2F-C7F7-472B-919D-BF47A3CA2005}"/>
    <cellStyle name="Normal 4 2 9" xfId="417" xr:uid="{75C98B02-FAE3-4517-B052-CF9E2A5A6C0F}"/>
    <cellStyle name="Normal 4 2 9 2" xfId="1613" xr:uid="{ECFE37C4-3CD0-49A6-9FA0-F81AACB5508C}"/>
    <cellStyle name="Normal 4 3" xfId="22" xr:uid="{00000000-0005-0000-0000-00002A000000}"/>
    <cellStyle name="Normal 4 3 10" xfId="757" xr:uid="{4BE17E66-3E36-4B29-817D-39A7CFB49A3C}"/>
    <cellStyle name="Normal 4 3 10 2" xfId="1354" xr:uid="{35E07933-CC1B-44A4-9014-0C46978CE3C7}"/>
    <cellStyle name="Normal 4 3 11" xfId="903" xr:uid="{8ECCDE5D-96EF-43BB-BEBB-E254B3FC45BD}"/>
    <cellStyle name="Normal 4 3 11 2" xfId="1313" xr:uid="{D9AE4C55-C5F4-4EDD-8243-66136280F0D6}"/>
    <cellStyle name="Normal 4 3 12" xfId="118" xr:uid="{831E73D3-563B-4EEB-9D34-D66BCCBFF71E}"/>
    <cellStyle name="Normal 4 3 12 2" xfId="1201" xr:uid="{B8C0D542-4C2A-458C-8D56-4D2F3005681A}"/>
    <cellStyle name="Normal 4 3 13" xfId="1690" xr:uid="{4442CB05-D998-4ACB-8E2C-5B1FCC719D1B}"/>
    <cellStyle name="Normal 4 3 14" xfId="1742" xr:uid="{41687712-B660-44EB-B9B6-0460BE931A86}"/>
    <cellStyle name="Normal 4 3 15" xfId="1170" xr:uid="{CDE5CDC3-2809-4104-AFF5-DB8B0819B725}"/>
    <cellStyle name="Normal 4 3 16" xfId="1101" xr:uid="{ED63EA39-A321-4B0A-9A8C-836C787B7306}"/>
    <cellStyle name="Normal 4 3 2" xfId="43" xr:uid="{00000000-0005-0000-0000-00002B000000}"/>
    <cellStyle name="Normal 4 3 2 10" xfId="139" xr:uid="{03F0421D-FD5D-4E7E-AF1D-ADC01EA220B7}"/>
    <cellStyle name="Normal 4 3 2 10 2" xfId="1763" xr:uid="{D13843CC-A600-460D-A011-20F8A0484403}"/>
    <cellStyle name="Normal 4 3 2 11" xfId="1209" xr:uid="{CC87A18B-A136-410E-989F-014BACFBFE39}"/>
    <cellStyle name="Normal 4 3 2 12" xfId="1113" xr:uid="{1091F4AD-B9AD-464F-904B-86341E52A35F}"/>
    <cellStyle name="Normal 4 3 2 2" xfId="97" xr:uid="{06E9AE53-DE24-431C-928E-44E1E8A4CDD3}"/>
    <cellStyle name="Normal 4 3 2 2 2" xfId="659" xr:uid="{9C2790B1-EF94-4A29-A4EA-EFE70EEA43C1}"/>
    <cellStyle name="Normal 4 3 2 2 2 2" xfId="1039" xr:uid="{CFA4AB95-B69D-4108-A1AD-5B483A00523C}"/>
    <cellStyle name="Normal 4 3 2 2 2 3" xfId="1493" xr:uid="{105A745B-EFA5-48E1-B53F-DEEF34CB8CF2}"/>
    <cellStyle name="Normal 4 3 2 2 3" xfId="491" xr:uid="{028DC0B1-97B6-4BF3-AA2E-49CB3CEFCBD5}"/>
    <cellStyle name="Normal 4 3 2 2 4" xfId="794" xr:uid="{8E3385A6-874E-4F25-BE47-CF02391BD587}"/>
    <cellStyle name="Normal 4 3 2 2 5" xfId="976" xr:uid="{9ADC2863-9CCB-45BD-90B4-5C80904A8CF2}"/>
    <cellStyle name="Normal 4 3 2 2 6" xfId="260" xr:uid="{6915E20E-DC7E-47DF-8E7D-DB4D0E5EE847}"/>
    <cellStyle name="Normal 4 3 2 2 7" xfId="1238" xr:uid="{FC22534F-4DAC-4938-9D14-4D511FB97A33}"/>
    <cellStyle name="Normal 4 3 2 3" xfId="317" xr:uid="{ECD5208B-593F-4514-A054-1DF75963CC6C}"/>
    <cellStyle name="Normal 4 3 2 3 2" xfId="716" xr:uid="{94290A6A-7F0D-4989-B9E9-4EA1F3E4F26E}"/>
    <cellStyle name="Normal 4 3 2 3 3" xfId="883" xr:uid="{00360B98-B0C8-482F-A743-375CF956BD3A}"/>
    <cellStyle name="Normal 4 3 2 3 4" xfId="1010" xr:uid="{C79257E7-5F9F-4464-8612-05C2604B3539}"/>
    <cellStyle name="Normal 4 3 2 3 5" xfId="1549" xr:uid="{FD99B670-E20B-444F-A953-A721266DB1CD}"/>
    <cellStyle name="Normal 4 3 2 4" xfId="231" xr:uid="{DFC57A25-A4F5-4631-A2E8-D6E3353DB529}"/>
    <cellStyle name="Normal 4 3 2 4 2" xfId="630" xr:uid="{4ECACE66-345E-42F6-B21A-DC9E2F646A05}"/>
    <cellStyle name="Normal 4 3 2 4 3" xfId="1464" xr:uid="{8790953D-3177-4294-AEA3-8B73A88E0C17}"/>
    <cellStyle name="Normal 4 3 2 5" xfId="190" xr:uid="{76152864-143B-4FF3-8B8E-A4A1C1A11ED1}"/>
    <cellStyle name="Normal 4 3 2 5 2" xfId="589" xr:uid="{9BC4B50C-99CF-485E-A410-5175A05266FC}"/>
    <cellStyle name="Normal 4 3 2 5 3" xfId="1423" xr:uid="{19E80C4E-6FE9-4B16-A1A6-57638087D976}"/>
    <cellStyle name="Normal 4 3 2 6" xfId="367" xr:uid="{5582EF7B-B8EC-45F9-94B1-CFCBA371B9F8}"/>
    <cellStyle name="Normal 4 3 2 6 2" xfId="543" xr:uid="{9B85EEA4-04EA-4265-A8CE-7825A2A5F9FE}"/>
    <cellStyle name="Normal 4 3 2 6 3" xfId="1599" xr:uid="{BE2BE645-163E-4F24-8D0F-87836F4BF492}"/>
    <cellStyle name="Normal 4 3 2 7" xfId="430" xr:uid="{C6876911-3DB9-40A0-8E8B-3D69A1C63400}"/>
    <cellStyle name="Normal 4 3 2 7 2" xfId="1655" xr:uid="{C19CE9A7-742B-475B-8BE6-F1A27839BB60}"/>
    <cellStyle name="Normal 4 3 2 8" xfId="765" xr:uid="{896CD513-EA31-4565-9226-EDC0E8CF5BE1}"/>
    <cellStyle name="Normal 4 3 2 8 2" xfId="1375" xr:uid="{802D85CB-0A20-4062-B3EB-3F516B3852FA}"/>
    <cellStyle name="Normal 4 3 2 9" xfId="924" xr:uid="{39925BE8-6180-4710-8762-1D546DF3F66F}"/>
    <cellStyle name="Normal 4 3 2 9 2" xfId="1702" xr:uid="{CCA2218E-949B-48C7-9EC6-0EA86A10D04A}"/>
    <cellStyle name="Normal 4 3 3" xfId="76" xr:uid="{8DB4AB2A-AE74-4ADF-84E7-CE2930CF837D}"/>
    <cellStyle name="Normal 4 3 3 2" xfId="664" xr:uid="{95DF565E-C527-4E15-A0B5-2D35713AEB62}"/>
    <cellStyle name="Normal 4 3 3 2 2" xfId="1044" xr:uid="{9A2CD23F-D16F-430B-9569-612BD672CF72}"/>
    <cellStyle name="Normal 4 3 3 2 3" xfId="1498" xr:uid="{0C85156B-7BA6-40DF-AAB3-6CA3719A0EB4}"/>
    <cellStyle name="Normal 4 3 3 3" xfId="440" xr:uid="{B53FA485-8845-418F-A18E-66B1A2907A58}"/>
    <cellStyle name="Normal 4 3 3 3 2" xfId="1835" xr:uid="{5C65AB60-D2A4-4A2B-9DDA-687D6EB3B118}"/>
    <cellStyle name="Normal 4 3 3 4" xfId="799" xr:uid="{E0B6DB02-7CDC-4BB6-8520-B6FFA9AE9297}"/>
    <cellStyle name="Normal 4 3 3 5" xfId="955" xr:uid="{D458A25A-E188-4921-8015-EF8006436058}"/>
    <cellStyle name="Normal 4 3 3 6" xfId="265" xr:uid="{A67A3D95-FA67-44E4-BA8B-BFA14966615C}"/>
    <cellStyle name="Normal 4 3 3 7" xfId="1243" xr:uid="{B9340439-EE28-4EC8-9CE3-32FF354E4557}"/>
    <cellStyle name="Normal 4 3 4" xfId="252" xr:uid="{5E6A3EF3-7DDC-48F2-800F-460C8B63E3AE}"/>
    <cellStyle name="Normal 4 3 4 2" xfId="651" xr:uid="{966E8A12-97CE-4330-A7D5-E87137DDB29F}"/>
    <cellStyle name="Normal 4 3 4 2 2" xfId="1485" xr:uid="{86DE496C-817E-4258-87C9-DBD125FA5464}"/>
    <cellStyle name="Normal 4 3 4 3" xfId="470" xr:uid="{CE69203A-911C-4A24-B528-233D92314C56}"/>
    <cellStyle name="Normal 4 3 4 3 2" xfId="1818" xr:uid="{E321E6A8-2121-4C42-8D96-C6A2983F9498}"/>
    <cellStyle name="Normal 4 3 4 4" xfId="786" xr:uid="{8A4D9C6C-F199-4267-9FEB-2816DE64B8AF}"/>
    <cellStyle name="Normal 4 3 4 5" xfId="1031" xr:uid="{C8F0FB33-D577-4A60-90CE-777C04AE4187}"/>
    <cellStyle name="Normal 4 3 4 6" xfId="1230" xr:uid="{3C51F503-ED31-4EA1-91FA-C28B79127114}"/>
    <cellStyle name="Normal 4 3 5" xfId="308" xr:uid="{127B00DB-3193-4948-9692-3AB6B8E39B7E}"/>
    <cellStyle name="Normal 4 3 5 2" xfId="707" xr:uid="{01DB619B-5BB7-47C4-8437-82B0420D45A9}"/>
    <cellStyle name="Normal 4 3 5 3" xfId="862" xr:uid="{8E095752-AEF0-422F-9E45-A4577FF28C74}"/>
    <cellStyle name="Normal 4 3 5 4" xfId="1002" xr:uid="{B9E45725-F0E2-47B6-B48A-1234BCFA62AD}"/>
    <cellStyle name="Normal 4 3 5 5" xfId="1540" xr:uid="{BF9D35D5-8F09-4EDA-A7D9-3B3AE4A11E33}"/>
    <cellStyle name="Normal 4 3 6" xfId="223" xr:uid="{5C9B7F93-7233-46F1-AB34-79536130BCFD}"/>
    <cellStyle name="Normal 4 3 6 2" xfId="622" xr:uid="{DF04DC45-8F2A-4B1D-98CB-6DBBB7421BD4}"/>
    <cellStyle name="Normal 4 3 6 3" xfId="1456" xr:uid="{E3BA1866-4CE2-40D7-91B7-8ADBA440F2C1}"/>
    <cellStyle name="Normal 4 3 7" xfId="149" xr:uid="{845FF848-6287-45E7-BCD3-E2B5BB9B9ED0}"/>
    <cellStyle name="Normal 4 3 7 2" xfId="553" xr:uid="{98320F4C-B015-43BC-8052-6422827A71AA}"/>
    <cellStyle name="Normal 4 3 7 3" xfId="1385" xr:uid="{24BA5F83-95B0-4882-BF8F-B0AA67480BD6}"/>
    <cellStyle name="Normal 4 3 8" xfId="355" xr:uid="{CC3F2A1D-5A34-43D2-AB69-190FEDB57467}"/>
    <cellStyle name="Normal 4 3 8 2" xfId="522" xr:uid="{04D05445-86A3-44E9-8CDC-535238A5D196}"/>
    <cellStyle name="Normal 4 3 8 3" xfId="1587" xr:uid="{826ADDB9-9AE8-49FF-B18F-98E4FFE14E93}"/>
    <cellStyle name="Normal 4 3 9" xfId="422" xr:uid="{E443B6BE-32B7-4153-972C-D3A12A7E724F}"/>
    <cellStyle name="Normal 4 3 9 2" xfId="1634" xr:uid="{473A34B6-436F-4F4F-8605-F83499140877}"/>
    <cellStyle name="Normal 4 4" xfId="12" xr:uid="{00000000-0005-0000-0000-00002C000000}"/>
    <cellStyle name="Normal 4 4 10" xfId="1095" xr:uid="{2BBFD865-B668-469D-8DC4-FC363C2A9713}"/>
    <cellStyle name="Normal 4 4 2" xfId="181" xr:uid="{430856C9-706E-4C27-826F-D8682D58BF80}"/>
    <cellStyle name="Normal 4 4 2 2" xfId="361" xr:uid="{4C0A73CF-5F22-4CF3-BE02-AA01B6CCAFC3}"/>
    <cellStyle name="Normal 4 4 2 2 2" xfId="1593" xr:uid="{8865EA25-B419-4A32-9817-26694EE7369F}"/>
    <cellStyle name="Normal 4 4 2 3" xfId="1696" xr:uid="{E0F99323-03C2-4BB7-A3B3-4529B0871292}"/>
    <cellStyle name="Normal 4 4 2 4" xfId="1780" xr:uid="{825D3DBE-5767-4FDE-8865-872401D31224}"/>
    <cellStyle name="Normal 4 4 2 5" xfId="1414" xr:uid="{78FE89B9-6B04-4A02-9A5F-E55199C5DF32}"/>
    <cellStyle name="Normal 4 4 2 6" xfId="1107" xr:uid="{5EFD78FC-2AE0-47BD-8899-0652865F9427}"/>
    <cellStyle name="Normal 4 4 3" xfId="156" xr:uid="{216D4170-1B6B-4509-9145-906B75C6530F}"/>
    <cellStyle name="Normal 4 4 3 2" xfId="560" xr:uid="{81FC4036-2541-401A-84B5-9BF596498C5D}"/>
    <cellStyle name="Normal 4 4 3 2 2" xfId="1813" xr:uid="{797FA28A-D806-48B8-B972-11FE2A05DBF0}"/>
    <cellStyle name="Normal 4 4 3 3" xfId="1766" xr:uid="{C2EB019F-4864-4815-A53D-D7433F7CD309}"/>
    <cellStyle name="Normal 4 4 3 4" xfId="1392" xr:uid="{BF0CF43A-8B66-43EA-84FC-8AB6EE9E41E7}"/>
    <cellStyle name="Normal 4 4 4" xfId="349" xr:uid="{6D37FA5A-0378-472B-957D-4B33C36AC9AA}"/>
    <cellStyle name="Normal 4 4 4 2" xfId="1793" xr:uid="{1C716412-99FA-4F77-AFDE-91D97ABAD923}"/>
    <cellStyle name="Normal 4 4 4 3" xfId="1581" xr:uid="{F7687506-CF8F-4738-931E-E741F5BC6DE4}"/>
    <cellStyle name="Normal 4 4 5" xfId="1345" xr:uid="{96157A1C-C7EC-4FFE-A0C3-3030EE051F2D}"/>
    <cellStyle name="Normal 4 4 6" xfId="1320" xr:uid="{1B9AE658-4C8E-48DF-B3EE-030A5CD8549C}"/>
    <cellStyle name="Normal 4 4 7" xfId="1192" xr:uid="{9F70AAD7-517C-4144-AEAA-A1C1DCD2397B}"/>
    <cellStyle name="Normal 4 4 8" xfId="1684" xr:uid="{BD0B6D79-BC2E-451E-B163-1F873701F190}"/>
    <cellStyle name="Normal 4 4 9" xfId="1163" xr:uid="{55A1F6C5-FEFC-49B6-B472-BB24259B6C21}"/>
    <cellStyle name="Normal 4 5" xfId="37" xr:uid="{00000000-0005-0000-0000-00002D000000}"/>
    <cellStyle name="Normal 4 5 10" xfId="133" xr:uid="{8D3AC336-E3A2-4FB7-9C92-BC2F91C96B8E}"/>
    <cellStyle name="Normal 4 5 10 2" xfId="1204" xr:uid="{CD9C2C26-E76C-4E6A-AA1F-B128BC17FCFF}"/>
    <cellStyle name="Normal 4 5 11" xfId="1693" xr:uid="{81CC7A06-1F78-4A63-8B38-66CC7F9D1BFF}"/>
    <cellStyle name="Normal 4 5 12" xfId="1757" xr:uid="{96B98266-73F1-41D5-8AA4-6A89C014C04C}"/>
    <cellStyle name="Normal 4 5 13" xfId="1161" xr:uid="{C81CFA45-80B8-4190-A01A-D0487C2BE52B}"/>
    <cellStyle name="Normal 4 5 14" xfId="1104" xr:uid="{430CE93C-A9CA-4DC8-AF20-B0936E62F217}"/>
    <cellStyle name="Normal 4 5 2" xfId="91" xr:uid="{E03DA692-0CD4-4280-80D9-4C2849E01B2A}"/>
    <cellStyle name="Normal 4 5 2 2" xfId="654" xr:uid="{45314928-8669-4BB3-90F6-4B2FA420B7EF}"/>
    <cellStyle name="Normal 4 5 2 2 2" xfId="1034" xr:uid="{9A617BBE-B060-4465-B71E-0AAD37754EDC}"/>
    <cellStyle name="Normal 4 5 2 2 2 2" xfId="1820" xr:uid="{68148106-4C0F-4D17-8E76-294C17DA6B8F}"/>
    <cellStyle name="Normal 4 5 2 2 3" xfId="1488" xr:uid="{99350F61-AEDE-49B8-9A35-F3A62DF13B24}"/>
    <cellStyle name="Normal 4 5 2 3" xfId="485" xr:uid="{9E45F161-D0C3-46DA-9E92-5F4F70429926}"/>
    <cellStyle name="Normal 4 5 2 3 2" xfId="1781" xr:uid="{4B8B4582-0BD5-4FC6-9080-4AFD1C16A9D9}"/>
    <cellStyle name="Normal 4 5 2 4" xfId="789" xr:uid="{CCF2AD9C-EAAF-42E8-A265-6618D3DA3AD9}"/>
    <cellStyle name="Normal 4 5 2 5" xfId="970" xr:uid="{7CD537AD-0E83-464B-B13F-7DE2394FBA95}"/>
    <cellStyle name="Normal 4 5 2 6" xfId="255" xr:uid="{E9E3B5BD-2686-4FA0-899B-7FABCBBA723F}"/>
    <cellStyle name="Normal 4 5 2 7" xfId="1233" xr:uid="{8D73F253-15AE-4664-AA4F-585AF243A0BB}"/>
    <cellStyle name="Normal 4 5 3" xfId="311" xr:uid="{4F8F29E8-4E08-4A6B-9277-A6136380CB49}"/>
    <cellStyle name="Normal 4 5 3 2" xfId="710" xr:uid="{3289D8D8-0050-473A-964C-3902987D90C3}"/>
    <cellStyle name="Normal 4 5 3 3" xfId="877" xr:uid="{11D6B16C-2062-4B61-9767-EEE192AA15B5}"/>
    <cellStyle name="Normal 4 5 3 4" xfId="1005" xr:uid="{2C9A10DB-76B9-49D9-9DC4-5BF808E74589}"/>
    <cellStyle name="Normal 4 5 3 5" xfId="1543" xr:uid="{BF8FF023-EB64-48FA-8DD4-C5DB8CD6DA7E}"/>
    <cellStyle name="Normal 4 5 4" xfId="226" xr:uid="{C660EA61-94A0-462F-9ADD-1C0FED256984}"/>
    <cellStyle name="Normal 4 5 4 2" xfId="625" xr:uid="{DA373BA4-F9CA-46DD-BAFC-4549D392ED31}"/>
    <cellStyle name="Normal 4 5 4 3" xfId="1459" xr:uid="{4A13E799-EC33-42CF-B8FF-B5033DE94F71}"/>
    <cellStyle name="Normal 4 5 5" xfId="159" xr:uid="{9E906997-1AD8-4104-BCA3-A2B408622B89}"/>
    <cellStyle name="Normal 4 5 6" xfId="358" xr:uid="{EF5E63DC-E689-48DC-BFEF-F06A453FE439}"/>
    <cellStyle name="Normal 4 5 6 2" xfId="537" xr:uid="{2D5ECA9D-66BE-4D8E-8979-3C8BC8BD175B}"/>
    <cellStyle name="Normal 4 5 6 3" xfId="1590" xr:uid="{C793846F-0D52-417D-9DD8-018B06F16661}"/>
    <cellStyle name="Normal 4 5 7" xfId="425" xr:uid="{50CB3981-9686-443C-9B56-271F7DF2C189}"/>
    <cellStyle name="Normal 4 5 7 2" xfId="1649" xr:uid="{A73AA919-AC2E-4E13-818F-8E124112F6BA}"/>
    <cellStyle name="Normal 4 5 8" xfId="760" xr:uid="{B8F63163-6133-4797-B860-763B0BBEEA7C}"/>
    <cellStyle name="Normal 4 5 8 2" xfId="1369" xr:uid="{A8FF74E2-1F19-4947-B3D3-7903AA78DF2E}"/>
    <cellStyle name="Normal 4 5 9" xfId="918" xr:uid="{B427A1F2-7574-4D25-AA61-A51D572C317E}"/>
    <cellStyle name="Normal 4 5 9 2" xfId="1322" xr:uid="{286D908E-210B-4D3D-A24F-1825E1E98F3D}"/>
    <cellStyle name="Normal 4 6" xfId="60" xr:uid="{65AD7D80-1B1A-48C8-9F23-4F91005DA02A}"/>
    <cellStyle name="Normal 4 6 10" xfId="1156" xr:uid="{1D3D26BB-96EE-4529-8992-5440861FDD50}"/>
    <cellStyle name="Normal 4 6 2" xfId="237" xr:uid="{AE001645-B5B0-4C2E-BF7C-416194B879A6}"/>
    <cellStyle name="Normal 4 6 2 2" xfId="636" xr:uid="{C75F8336-F4DE-44BA-9EA4-AA531C797565}"/>
    <cellStyle name="Normal 4 6 2 2 2" xfId="1470" xr:uid="{B5AAE4D3-AD73-4803-BD71-AA20EE2C8681}"/>
    <cellStyle name="Normal 4 6 2 3" xfId="771" xr:uid="{FED29A65-7DCB-4B77-ACF1-BBBF56580FA6}"/>
    <cellStyle name="Normal 4 6 2 3 2" xfId="1779" xr:uid="{CC3C3F4D-D356-4C96-BE6F-B0627809D3A8}"/>
    <cellStyle name="Normal 4 6 2 4" xfId="1016" xr:uid="{6DBF8172-AC20-4864-B328-2255D4A993E9}"/>
    <cellStyle name="Normal 4 6 2 5" xfId="1215" xr:uid="{D40A350B-516E-4DD5-B775-6B5F890C2638}"/>
    <cellStyle name="Normal 4 6 3" xfId="208" xr:uid="{14F60AC3-3E44-494E-B20A-1A6E01E08AC3}"/>
    <cellStyle name="Normal 4 6 3 2" xfId="607" xr:uid="{8861ABB1-FF55-4936-9E90-EDEA6800EE57}"/>
    <cellStyle name="Normal 4 6 3 3" xfId="987" xr:uid="{256BD6BE-43E1-4506-9076-3D9467CBB110}"/>
    <cellStyle name="Normal 4 6 3 4" xfId="1441" xr:uid="{DB4D8BA8-980F-4A2E-9F2E-1C2DC2B20940}"/>
    <cellStyle name="Normal 4 6 4" xfId="372" xr:uid="{DC3DDB68-B249-4A06-BD54-3E839A76B99E}"/>
    <cellStyle name="Normal 4 6 4 2" xfId="574" xr:uid="{FC9B329A-63D7-4781-87E2-07C831E69848}"/>
    <cellStyle name="Normal 4 6 4 3" xfId="1604" xr:uid="{126F7FB8-5C80-4C49-8F5B-3030267CC1AB}"/>
    <cellStyle name="Normal 4 6 5" xfId="407" xr:uid="{80C0D4E7-EA5E-4C8B-906C-B971E849EF95}"/>
    <cellStyle name="Normal 4 6 5 2" xfId="1619" xr:uid="{2B59BC52-2154-482A-B411-0D6E732AACB6}"/>
    <cellStyle name="Normal 4 6 6" xfId="742" xr:uid="{78C25391-567E-4A85-A350-B514D0492C5B}"/>
    <cellStyle name="Normal 4 6 6 2" xfId="1407" xr:uid="{EC67BF6B-D392-4AC7-9732-0AC95CDF4AE0}"/>
    <cellStyle name="Normal 4 6 7" xfId="940" xr:uid="{367CA114-A0EC-474F-AFB0-283423D7F30F}"/>
    <cellStyle name="Normal 4 6 7 2" xfId="1333" xr:uid="{21612E8A-1346-4225-92CF-73CFC8946366}"/>
    <cellStyle name="Normal 4 6 8" xfId="174" xr:uid="{9FC7815F-1F4B-41DE-9164-5BA08BA15872}"/>
    <cellStyle name="Normal 4 6 8 2" xfId="1185" xr:uid="{D55E34AD-09F9-4E4A-A900-F769828C8A70}"/>
    <cellStyle name="Normal 4 6 9" xfId="1681" xr:uid="{269246A2-BCA9-404A-B363-FE4ED13B8738}"/>
    <cellStyle name="Normal 4 7" xfId="273" xr:uid="{9B4422F4-17F1-480F-9668-986E7A40CE9B}"/>
    <cellStyle name="Normal 4 7 2" xfId="672" xr:uid="{74582443-CEAB-4D69-A88F-A4E5AF867022}"/>
    <cellStyle name="Normal 4 7 2 2" xfId="1831" xr:uid="{A4930706-2CAD-4CD6-827B-456C19017CF9}"/>
    <cellStyle name="Normal 4 7 3" xfId="403" xr:uid="{B98EAA72-FAB5-4F03-BF53-89405B3A2CD0}"/>
    <cellStyle name="Normal 4 7 3 2" xfId="1307" xr:uid="{67A51BB3-A21D-42D2-B1C5-D16D1A580281}"/>
    <cellStyle name="Normal 4 7 4" xfId="1251" xr:uid="{BFEE6AAE-C0FA-41FC-ADCE-911746D0E3B5}"/>
    <cellStyle name="Normal 4 7 5" xfId="1774" xr:uid="{1D5BC9DE-527E-4126-AF92-E4E914D10BA5}"/>
    <cellStyle name="Normal 4 7 6" xfId="1139" xr:uid="{3054EA8B-23C7-4BE8-B585-1B35EB17479F}"/>
    <cellStyle name="Normal 4 8" xfId="293" xr:uid="{99397FC7-6D9C-4668-AAAF-526814ECF66A}"/>
    <cellStyle name="Normal 4 8 2" xfId="692" xr:uid="{11051B7E-1997-4BE5-9AD9-FBD7EBFF634A}"/>
    <cellStyle name="Normal 4 8 2 2" xfId="1796" xr:uid="{740D494E-6EAD-415B-AAE8-347C9BBE1906}"/>
    <cellStyle name="Normal 4 8 3" xfId="434" xr:uid="{88AF3719-77E2-4F6B-815A-802E5DD12911}"/>
    <cellStyle name="Normal 4 8 3 2" xfId="1785" xr:uid="{993AFE29-3DBF-4283-8EA6-D9905B9C9F8C}"/>
    <cellStyle name="Normal 4 8 4" xfId="847" xr:uid="{F2B5BF48-257F-4FF0-A3E1-D8089AE997DE}"/>
    <cellStyle name="Normal 4 8 5" xfId="1525" xr:uid="{39614288-F70C-462F-A2CE-9889589C78CA}"/>
    <cellStyle name="Normal 4 9" xfId="143" xr:uid="{9A25521D-93FD-47A9-B5DD-92308F0CE7B7}"/>
    <cellStyle name="Normal 4 9 2" xfId="547" xr:uid="{72D9A586-14A3-4145-8934-3F37E511F85B}"/>
    <cellStyle name="Normal 4 9 3" xfId="455" xr:uid="{0519A7C8-3B24-4579-A178-06D61A8800B5}"/>
    <cellStyle name="Normal 4 9 4" xfId="1379" xr:uid="{DDAD4778-2F93-4EEF-9787-A09FB684C7D9}"/>
    <cellStyle name="Normal 5" xfId="161" xr:uid="{6F77177D-DFB6-4369-84E2-38FD864052A2}"/>
    <cellStyle name="Normal 5 2" xfId="375" xr:uid="{14D0B61C-C4AD-409A-B45F-BE4C0479F21C}"/>
    <cellStyle name="Normal 5 2 2" xfId="500" xr:uid="{88FD2B22-9DA2-46FF-A834-1ACF5587B9F1}"/>
    <cellStyle name="Normal 5 2 2 2" xfId="1607" xr:uid="{5DF3B898-FC7E-49F4-BD16-ACEE43B3933D}"/>
    <cellStyle name="Normal 5 2 3" xfId="401" xr:uid="{07A2261B-C4E9-448E-8A9E-BC4BFDA9FDEB}"/>
    <cellStyle name="Normal 5 2 3 2" xfId="1782" xr:uid="{FF4474AD-E9E0-487C-869D-122991AB618D}"/>
    <cellStyle name="Normal 5 2 4" xfId="1165" xr:uid="{7ADD12B2-4AF3-4BC0-BCE8-4EB2697595D8}"/>
    <cellStyle name="Normal 5 3" xfId="448" xr:uid="{BAAA105F-EC85-457A-B773-9CB194F91D3F}"/>
    <cellStyle name="Normal 5 3 2" xfId="1396" xr:uid="{A4227B15-541C-4809-B2BE-A6710980B930}"/>
    <cellStyle name="Normal 5 3 3" xfId="1778" xr:uid="{5646B713-4A3B-45B6-86FE-E83F81C7FB60}"/>
    <cellStyle name="Normal 5 3 4" xfId="1142" xr:uid="{8846F6D2-060D-49BA-8FC6-0819D0F2683F}"/>
    <cellStyle name="Normal 5 4" xfId="563" xr:uid="{A9461BE8-FCBC-4716-A383-41E8DCC8A251}"/>
    <cellStyle name="Normal 5 4 2" xfId="1800" xr:uid="{AD476B62-913B-4FE0-8EE1-7D33B7D462B3}"/>
    <cellStyle name="Normal 5 4 3" xfId="1324" xr:uid="{872EED1E-C939-476F-B7A8-37B7C214AE75}"/>
    <cellStyle name="Normal 5 5" xfId="399" xr:uid="{77C4D913-3AFD-4FB4-A6F3-F4B78A1F2256}"/>
    <cellStyle name="Normal 5 5 2" xfId="1790" xr:uid="{02B612D4-D53C-42FC-A89D-C12A0145E9A5}"/>
    <cellStyle name="Normal 5 5 3" xfId="1262" xr:uid="{FBA8195E-1BBC-4602-8786-D9D38E2589A9}"/>
    <cellStyle name="Normal 5 6" xfId="817" xr:uid="{830344F1-BD35-44CF-954B-F7ADA04B61CB}"/>
    <cellStyle name="Normal 5 6 2" xfId="1787" xr:uid="{D6124449-DD91-4654-8467-4DA8CC1E8B82}"/>
    <cellStyle name="Normal 5 6 3" xfId="1668" xr:uid="{78825161-AFD4-4FB3-90C9-62A7DE6D8C42}"/>
    <cellStyle name="Normal 5 7" xfId="1719" xr:uid="{8D136C0C-C206-412B-A160-07449999BC35}"/>
    <cellStyle name="Normal 5 8" xfId="1136" xr:uid="{29133F9C-5FA8-4B33-95C4-D48E65A5DFDB}"/>
    <cellStyle name="Normal 5 9" xfId="1126" xr:uid="{FF8E514E-F4B1-480B-B100-97931CA58223}"/>
    <cellStyle name="Normal 6" xfId="163" xr:uid="{2C7623A7-16C2-48A1-A26E-E78925F96C06}"/>
    <cellStyle name="Normal 6 2" xfId="564" xr:uid="{ECBB6741-BEE2-4F03-833E-B3F57E690EB2}"/>
    <cellStyle name="Normal 6 2 2" xfId="1397" xr:uid="{B2ABBC37-185C-4682-AEEC-42A0CB392028}"/>
    <cellStyle name="Normal 6 3" xfId="501" xr:uid="{3FCA7DD6-0843-4D8B-95A2-16A59B8A483B}"/>
    <cellStyle name="Normal 6 3 2" xfId="1325" xr:uid="{9584A819-D535-41F2-9735-08060C27D07A}"/>
    <cellStyle name="Normal 6 4" xfId="1783" xr:uid="{302A8953-5128-4CA2-9373-E36FE9860121}"/>
    <cellStyle name="Normal 6 5" xfId="1166" xr:uid="{D74FBAFA-50C3-48A7-BA17-F3B089AA351E}"/>
    <cellStyle name="Normal 7" xfId="158" xr:uid="{3E633B32-F38C-4A35-8EC1-8CF2DFCBFA63}"/>
    <cellStyle name="Normal 7 2" xfId="1394" xr:uid="{873D9015-CF15-40F9-AF8F-025D34301108}"/>
    <cellStyle name="Normal 8" xfId="502" xr:uid="{AE4B0134-195A-4B14-95A9-9F0DAD2E7F48}"/>
    <cellStyle name="Normal 8 2" xfId="1144" xr:uid="{8FD61D97-36AF-4690-A3AF-60B11F437C83}"/>
    <cellStyle name="Normal 9" xfId="503" xr:uid="{115BE3D3-AC1C-47D4-82DD-767D4EBA8700}"/>
    <cellStyle name="Normal 9 2" xfId="1660" xr:uid="{AE3DCB71-DAE6-4D1A-B7B6-51E52AF39910}"/>
    <cellStyle name="Percent" xfId="46" builtinId="5"/>
    <cellStyle name="Percent 2" xfId="1658" xr:uid="{CFDAD70C-E7F7-434C-8A8B-7096F2A7F510}"/>
    <cellStyle name="Percent 7" xfId="504" xr:uid="{8F0C6C9C-FCF7-49B5-AFDA-471790EF3CD0}"/>
  </cellStyles>
  <dxfs count="1">
    <dxf>
      <font>
        <color rgb="FF92D050"/>
      </font>
    </dxf>
  </dxfs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4" fmlaRange="'TABEL DATA'!$P$4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Template%20Terbaru/Gaya%20Massa%20Pressure%20Alat%20Uji%20Kimia%20Stopwatch%20Volume/Template%20Volumetrik%2019.02.0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P/Documents/Workspace/Koreksian/Darurat%2018%20Maret%202017/Sudah%20OK/Terkirim%20ke%20Admin/D023_PT.%20INDONESIA%20STANLEY%20ELECTRIC_OUTSIDE%20MICROMETER%205613079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STER%20ONE_MARK,volum2005,mei%205,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A008354_Precision%20Sample%20Cutter_HM%20Sampoern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MULTI_MARK,volum200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KAN%20Reasesment\No.%2002%20CMC%20Budget%20dan%20data%20perhitungan\CMC%20SUHU\13.%20CMC%20Themperatur%20Indicator%20(%20Tanpa%20Sensor%20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essure%20Gauge%20(%20std%20SM%20103%20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C034733_DigOutMicrometer-25-50mm_PT.ToyoBesq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FORMAT%20SERTIFIKAT%20BARU%20Spectro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OUTSTANDING\@tang\06-2008\C017046_DigOutMicrometer_0-25mm_PT.Toyo.Besq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mbangan"/>
      <sheetName val="Thermometer yang dipakai"/>
      <sheetName val="Thermohygro Database"/>
      <sheetName val="Entry Data"/>
      <sheetName val="Ketidakpastian"/>
      <sheetName val="Cover"/>
      <sheetName val="Sertifikat"/>
      <sheetName val="Riwayat"/>
      <sheetName val="TABEL DATA"/>
    </sheetNames>
    <sheetDataSet>
      <sheetData sheetId="0" refreshError="1"/>
      <sheetData sheetId="1" refreshError="1"/>
      <sheetData sheetId="2" refreshError="1"/>
      <sheetData sheetId="3">
        <row r="10">
          <cell r="B10">
            <v>0.01</v>
          </cell>
        </row>
        <row r="39">
          <cell r="C39">
            <v>0.99985307999999995</v>
          </cell>
        </row>
        <row r="40">
          <cell r="C40">
            <v>6.3269300000000001E-5</v>
          </cell>
        </row>
        <row r="41">
          <cell r="C41">
            <v>-8.5238290000000006E-6</v>
          </cell>
        </row>
        <row r="42">
          <cell r="C42">
            <v>6.943249E-8</v>
          </cell>
        </row>
        <row r="43">
          <cell r="C43">
            <v>-3.8212160000000001E-10</v>
          </cell>
        </row>
        <row r="47">
          <cell r="C47">
            <v>9.9000000000000001E-6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 Thermohygro"/>
      <sheetName val="Database Standard GB"/>
      <sheetName val="Product"/>
      <sheetName val="Entry Data"/>
      <sheetName val="Uncertainty"/>
      <sheetName val="Certificate 1"/>
      <sheetName val="Certificate 2"/>
      <sheetName val="Tips"/>
    </sheetNames>
    <sheetDataSet>
      <sheetData sheetId="0" refreshError="1"/>
      <sheetData sheetId="1" refreshError="1"/>
      <sheetData sheetId="2">
        <row r="1">
          <cell r="B1" t="str">
            <v>Outside</v>
          </cell>
          <cell r="C1" t="str">
            <v>Outside</v>
          </cell>
        </row>
        <row r="2">
          <cell r="B2" t="str">
            <v>Inside</v>
          </cell>
        </row>
        <row r="3">
          <cell r="B3" t="str">
            <v>Depth</v>
          </cell>
        </row>
      </sheetData>
      <sheetData sheetId="3">
        <row r="9">
          <cell r="B9" t="str">
            <v>Outside Micrometer</v>
          </cell>
        </row>
        <row r="24">
          <cell r="Q24">
            <v>4</v>
          </cell>
        </row>
      </sheetData>
      <sheetData sheetId="4">
        <row r="18">
          <cell r="B18">
            <v>1.4</v>
          </cell>
        </row>
      </sheetData>
      <sheetData sheetId="5">
        <row r="24">
          <cell r="I24" t="str">
            <v>103-139-10 / 56130792</v>
          </cell>
        </row>
      </sheetData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ksi"/>
      <sheetName val="Report"/>
      <sheetName val="pipet volume1-100ml"/>
      <sheetName val="Pyknometer10ml"/>
      <sheetName val="BMC."/>
      <sheetName val="Labu ukur 10ml"/>
      <sheetName val="Labu ukur 5ml"/>
      <sheetName val="BMC"/>
      <sheetName val="regresi timb"/>
      <sheetName val="Data"/>
      <sheetName val="Dutu"/>
      <sheetName val="Sertifikat"/>
      <sheetName val="Ue-dgn meniskus"/>
      <sheetName val="Ue tanpa koreksi meniskus"/>
    </sheetNames>
    <sheetDataSet>
      <sheetData sheetId="0">
        <row r="32">
          <cell r="C32">
            <v>6.3269300000000001E-5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2">
          <cell r="C32">
            <v>6.3269300000000001E-5</v>
          </cell>
        </row>
        <row r="34">
          <cell r="C34">
            <v>6.943249E-8</v>
          </cell>
        </row>
        <row r="35">
          <cell r="C35">
            <v>-3.8212160000000001E-10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Mentah"/>
      <sheetName val="SDS016"/>
      <sheetName val="analisa data"/>
      <sheetName val="Ketidakpastian"/>
      <sheetName val="Sertifikat"/>
      <sheetName val="New-Sertifikat"/>
      <sheetName val="BMC"/>
    </sheetNames>
    <sheetDataSet>
      <sheetData sheetId="0">
        <row r="19">
          <cell r="L19">
            <v>3</v>
          </cell>
        </row>
      </sheetData>
      <sheetData sheetId="1"/>
      <sheetData sheetId="2"/>
      <sheetData sheetId="3">
        <row r="19">
          <cell r="L19">
            <v>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ksi"/>
      <sheetName val="Data Input"/>
      <sheetName val="BURET 100ml"/>
      <sheetName val="Pipet Ukur1-50ml"/>
      <sheetName val="Pipet Ukur50-100ml"/>
      <sheetName val="Gelas Ukur 5-50"/>
      <sheetName val="Gelas Ukur 100-2000ml"/>
      <sheetName val="buret1-100"/>
      <sheetName val="Analisis"/>
      <sheetName val="Report"/>
    </sheetNames>
    <sheetDataSet>
      <sheetData sheetId="0">
        <row r="33">
          <cell r="C33">
            <v>-8.5238290000000006E-6</v>
          </cell>
        </row>
      </sheetData>
      <sheetData sheetId="1">
        <row r="33">
          <cell r="C33">
            <v>-8.5238290000000006E-6</v>
          </cell>
        </row>
        <row r="35">
          <cell r="C35">
            <v>-3.8212160000000001E-10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"/>
      <sheetName val="CMC Suhu"/>
      <sheetName val="CMC Massa"/>
      <sheetName val="CMC Timbangan"/>
      <sheetName val="CMC tekanan"/>
      <sheetName val="CMC Dimensi"/>
      <sheetName val="CMC Volume"/>
      <sheetName val="TABEL DATA"/>
      <sheetName val="KONTROL SUHU"/>
    </sheetNames>
    <sheetDataSet>
      <sheetData sheetId="0">
        <row r="2">
          <cell r="A2" t="str">
            <v>(Kop dan alamat Laboratorium pemohon akreditasi)</v>
          </cell>
        </row>
        <row r="3">
          <cell r="A3" t="str">
            <v>KEMAMPUAN KALIBRASI DAN PENGUKURAN (CMC) LABORATORIUM KALIBRASI</v>
          </cell>
        </row>
        <row r="4">
          <cell r="A4" t="str">
            <v>CQA Laboratorium Bid. Kalibrasi PT. Indofood CBP Sukses Makmur ( LK-056-IDN )</v>
          </cell>
        </row>
        <row r="5">
          <cell r="A5" t="str">
            <v>No.</v>
          </cell>
          <cell r="B5" t="str">
            <v>Jenis alat atau standar atau bahan yang dikalibrasi atau diukur
( a )</v>
          </cell>
          <cell r="C5" t="str">
            <v>Besaran yang diukur, dan 
syarat batas (bila relevan)
( b )</v>
          </cell>
          <cell r="D5" t="str">
            <v>Rentang Ukur
( c )</v>
          </cell>
          <cell r="I5" t="str">
            <v>Expanded Uncertainty*) 
(at 95% c.l.) 
( d )</v>
          </cell>
          <cell r="K5" t="str">
            <v>Metode Kalibrasi;  
Dokumen Standar dan Spesifikasi (Bila Relevan) 
( e )</v>
          </cell>
          <cell r="L5" t="str">
            <v>Standar, Peralatan Utama dan Alat Bantu
( f )</v>
          </cell>
          <cell r="P5" t="str">
            <v>Sumber Ketertelusuran Pengukuran 
( g )</v>
          </cell>
          <cell r="Q5" t="str">
            <v>Interval Kalibrasi 
( h )</v>
          </cell>
          <cell r="R5" t="str">
            <v>Tanggal Kalibrasi Terakhir 
( i )</v>
          </cell>
          <cell r="S5" t="str">
            <v>Akomodasi dan kondisi Lingkungan
(j)</v>
          </cell>
          <cell r="U5" t="str">
            <v>Personel Yang Bertanggungjawab
 ( k )</v>
          </cell>
          <cell r="V5" t="str">
            <v>Pengendalian Mutu dan Pengecekan Antara 
( l )</v>
          </cell>
          <cell r="W5" t="str">
            <v>Interval Pengendalian Mutu dan Pengecekan Antara 
( m )</v>
          </cell>
        </row>
        <row r="7">
          <cell r="B7" t="str">
            <v>TEMPERATUR DAN KELEMBABAN</v>
          </cell>
        </row>
        <row r="9">
          <cell r="A9" t="str">
            <v>1.</v>
          </cell>
          <cell r="B9" t="str">
            <v>Liquid glass thermometer</v>
          </cell>
          <cell r="C9" t="str">
            <v>Temperature</v>
          </cell>
        </row>
        <row r="13">
          <cell r="A13" t="str">
            <v>2.</v>
          </cell>
          <cell r="B13" t="str">
            <v>Temerature sensor with</v>
          </cell>
          <cell r="C13" t="str">
            <v>Temperature</v>
          </cell>
        </row>
        <row r="14">
          <cell r="B14" t="str">
            <v>Display unit</v>
          </cell>
        </row>
        <row r="17">
          <cell r="A17" t="str">
            <v>3.</v>
          </cell>
          <cell r="B17" t="str">
            <v>Temperature indikator</v>
          </cell>
          <cell r="C17" t="str">
            <v>Temperature</v>
          </cell>
        </row>
        <row r="18">
          <cell r="B18" t="str">
            <v>( tanpa sensor )</v>
          </cell>
        </row>
        <row r="20">
          <cell r="A20" t="str">
            <v>4.</v>
          </cell>
          <cell r="B20" t="str">
            <v xml:space="preserve">Temperature Enclousure </v>
          </cell>
          <cell r="C20" t="str">
            <v>Temperature</v>
          </cell>
        </row>
        <row r="21">
          <cell r="B21" t="str">
            <v>- Oven, Incubator, Autoclave</v>
          </cell>
        </row>
        <row r="22">
          <cell r="B22" t="str">
            <v>- Furnace</v>
          </cell>
        </row>
        <row r="24">
          <cell r="B24" t="str">
            <v>MASSA</v>
          </cell>
        </row>
        <row r="25">
          <cell r="A25">
            <v>1</v>
          </cell>
          <cell r="B25" t="str">
            <v>Anak Timbangan</v>
          </cell>
          <cell r="C25" t="str">
            <v>Massa Konvensional</v>
          </cell>
        </row>
        <row r="41">
          <cell r="A41">
            <v>2</v>
          </cell>
          <cell r="B41" t="str">
            <v>Timbangan</v>
          </cell>
          <cell r="C41" t="str">
            <v>Massa Konvensional</v>
          </cell>
        </row>
        <row r="42">
          <cell r="B42" t="str">
            <v>(Elektronik, mekanik)</v>
          </cell>
        </row>
        <row r="56">
          <cell r="B56" t="str">
            <v>TEKANAN</v>
          </cell>
        </row>
        <row r="57">
          <cell r="A57">
            <v>1</v>
          </cell>
          <cell r="B57" t="str">
            <v>Pressure Gauge</v>
          </cell>
          <cell r="C57" t="str">
            <v>Tekanan</v>
          </cell>
        </row>
        <row r="58">
          <cell r="B58" t="str">
            <v>(pneumatic )</v>
          </cell>
        </row>
        <row r="60">
          <cell r="A60">
            <v>2</v>
          </cell>
          <cell r="B60" t="str">
            <v>Vacuum Gauge</v>
          </cell>
        </row>
        <row r="63">
          <cell r="B63" t="str">
            <v>VOLUME DAN ALIRAN</v>
          </cell>
        </row>
        <row r="64">
          <cell r="A64">
            <v>1</v>
          </cell>
          <cell r="B64" t="str">
            <v>Volumetric Glassware;</v>
          </cell>
          <cell r="C64" t="str">
            <v>Volume</v>
          </cell>
        </row>
        <row r="65">
          <cell r="B65" t="str">
            <v>Volumetric Measures</v>
          </cell>
        </row>
        <row r="73">
          <cell r="B73" t="str">
            <v>PANJANG, DIMENSI DAN SUDUT</v>
          </cell>
        </row>
        <row r="74">
          <cell r="A74">
            <v>1</v>
          </cell>
          <cell r="B74" t="str">
            <v>Outside Mucrometer</v>
          </cell>
          <cell r="C74" t="str">
            <v>length</v>
          </cell>
        </row>
        <row r="75">
          <cell r="B75" t="str">
            <v>Dial Thickness Gauge</v>
          </cell>
        </row>
        <row r="77">
          <cell r="B77" t="str">
            <v>Vernier Caliper</v>
          </cell>
        </row>
        <row r="82">
          <cell r="B82" t="str">
            <v>Expanded Uncertainty *) : "best achievable uncertainty" which is more or less routinely reported to laboratory's customer in the calibration of "customer's best available devices" respective to the laboratory's resources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hermohygro"/>
      <sheetName val="TG 103"/>
      <sheetName val="analisa"/>
      <sheetName val="sertifikat hal 1"/>
      <sheetName val="sertifikat hal 2"/>
      <sheetName val="data kalibrasi"/>
    </sheetNames>
    <sheetDataSet>
      <sheetData sheetId="0">
        <row r="7">
          <cell r="C7" t="str">
            <v>kg/cm²</v>
          </cell>
        </row>
      </sheetData>
      <sheetData sheetId="1" refreshError="1"/>
      <sheetData sheetId="2">
        <row r="7">
          <cell r="C7" t="str">
            <v>kg/cm²</v>
          </cell>
        </row>
      </sheetData>
      <sheetData sheetId="3" refreshError="1"/>
      <sheetData sheetId="4" refreshError="1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046"/>
      <sheetName val="SD062"/>
      <sheetName val="SD001-2007"/>
      <sheetName val="SD001-2009"/>
      <sheetName val="DATA MENTAH"/>
      <sheetName val="Ketidakpastian"/>
      <sheetName val="New-Sertifikat"/>
      <sheetName val="sertifikat"/>
      <sheetName val="BMC_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t"/>
      <sheetName val="Hasil Kal."/>
      <sheetName val="entry data"/>
      <sheetName val="Analisa"/>
      <sheetName val="Thermohygro"/>
      <sheetName val="Std 2012"/>
      <sheetName val="STD 2010"/>
      <sheetName val="Drift"/>
      <sheetName val="Ue CMC"/>
    </sheetNames>
    <sheetDataSet>
      <sheetData sheetId="0" refreshError="1"/>
      <sheetData sheetId="1" refreshError="1"/>
      <sheetData sheetId="2">
        <row r="14">
          <cell r="P14">
            <v>29.033333333333331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046-SD013"/>
      <sheetName val="SD001"/>
      <sheetName val="DATA MENTAH"/>
      <sheetName val="Ketidakpastian"/>
      <sheetName val="New-Sertifikat"/>
      <sheetName val="sertifikat"/>
      <sheetName val="BMC_2"/>
    </sheetNames>
    <sheetDataSet>
      <sheetData sheetId="0"/>
      <sheetData sheetId="1"/>
      <sheetData sheetId="2">
        <row r="8">
          <cell r="E8">
            <v>20.2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DBC00E1-B5B2-42D6-BFC1-851C7224EF7D}">
  <we:reference id="wa200004687" version="1.0.0.4" store="en-US" storeType="OMEX"/>
  <we:alternateReferences>
    <we:reference id="WA200004687" version="1.0.0.4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0CDD7-68F4-46C1-8469-3E4A863B5E03}">
  <sheetPr codeName="Sheet10">
    <tabColor rgb="FFFFFF99"/>
  </sheetPr>
  <dimension ref="A1:I46"/>
  <sheetViews>
    <sheetView topLeftCell="A31"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426</v>
      </c>
      <c r="B1" s="18"/>
    </row>
    <row r="2" spans="1:9" x14ac:dyDescent="0.25">
      <c r="A2" s="18" t="s">
        <v>6</v>
      </c>
      <c r="B2" s="18"/>
    </row>
    <row r="3" spans="1:9" x14ac:dyDescent="0.25">
      <c r="A3" s="18" t="s">
        <v>398</v>
      </c>
      <c r="B3" s="18"/>
    </row>
    <row r="4" spans="1:9" x14ac:dyDescent="0.25">
      <c r="A4" s="18" t="s">
        <v>399</v>
      </c>
      <c r="B4" s="18"/>
    </row>
    <row r="5" spans="1:9" x14ac:dyDescent="0.25">
      <c r="A5" s="18" t="s">
        <v>400</v>
      </c>
      <c r="B5" s="18"/>
    </row>
    <row r="6" spans="1:9" x14ac:dyDescent="0.25">
      <c r="A6" s="18" t="s">
        <v>401</v>
      </c>
      <c r="B6" s="18"/>
    </row>
    <row r="7" spans="1:9" x14ac:dyDescent="0.25">
      <c r="A7" s="18" t="s">
        <v>402</v>
      </c>
      <c r="B7" s="18"/>
    </row>
    <row r="8" spans="1:9" x14ac:dyDescent="0.25">
      <c r="A8" s="18" t="s">
        <v>403</v>
      </c>
      <c r="B8" s="18"/>
      <c r="E8" s="305"/>
      <c r="F8" s="305"/>
      <c r="G8" s="305"/>
      <c r="H8" s="305"/>
      <c r="I8" s="305"/>
    </row>
    <row r="9" spans="1:9" x14ac:dyDescent="0.25">
      <c r="A9" s="18" t="s">
        <v>404</v>
      </c>
      <c r="B9" s="18"/>
      <c r="E9" s="311" t="s">
        <v>427</v>
      </c>
      <c r="F9" s="311"/>
      <c r="G9" s="311"/>
      <c r="H9" s="311"/>
      <c r="I9" s="311"/>
    </row>
    <row r="10" spans="1:9" x14ac:dyDescent="0.25">
      <c r="A10" s="18" t="s">
        <v>405</v>
      </c>
      <c r="B10" s="18"/>
      <c r="E10" s="311"/>
      <c r="F10" s="311"/>
      <c r="G10" s="311"/>
      <c r="H10" s="311"/>
      <c r="I10" s="311"/>
    </row>
    <row r="11" spans="1:9" x14ac:dyDescent="0.25">
      <c r="A11" s="18" t="s">
        <v>406</v>
      </c>
      <c r="B11" s="18"/>
      <c r="E11" s="311"/>
      <c r="F11" s="311"/>
      <c r="G11" s="311"/>
      <c r="H11" s="311"/>
      <c r="I11" s="311"/>
    </row>
    <row r="12" spans="1:9" x14ac:dyDescent="0.25">
      <c r="A12" s="18" t="s">
        <v>407</v>
      </c>
      <c r="B12" s="18"/>
      <c r="E12" s="311"/>
      <c r="F12" s="311"/>
      <c r="G12" s="311"/>
      <c r="H12" s="311"/>
      <c r="I12" s="311"/>
    </row>
    <row r="13" spans="1:9" x14ac:dyDescent="0.25">
      <c r="A13" s="18" t="s">
        <v>408</v>
      </c>
      <c r="B13" s="18"/>
      <c r="E13" s="311"/>
      <c r="F13" s="311"/>
      <c r="G13" s="311"/>
      <c r="H13" s="311"/>
      <c r="I13" s="311"/>
    </row>
    <row r="14" spans="1:9" x14ac:dyDescent="0.25">
      <c r="A14" s="18" t="s">
        <v>409</v>
      </c>
      <c r="B14" s="18"/>
    </row>
    <row r="15" spans="1:9" x14ac:dyDescent="0.25">
      <c r="A15" s="18" t="s">
        <v>410</v>
      </c>
      <c r="B15" s="18"/>
    </row>
    <row r="16" spans="1:9" x14ac:dyDescent="0.25">
      <c r="A16" s="18" t="s">
        <v>411</v>
      </c>
      <c r="B16" s="18"/>
    </row>
    <row r="17" spans="1:6" x14ac:dyDescent="0.25">
      <c r="A17" s="18" t="s">
        <v>412</v>
      </c>
      <c r="B17" s="18"/>
    </row>
    <row r="18" spans="1:6" x14ac:dyDescent="0.25">
      <c r="A18" s="302" t="s">
        <v>413</v>
      </c>
      <c r="B18" s="302"/>
    </row>
    <row r="19" spans="1:6" x14ac:dyDescent="0.25">
      <c r="A19" s="303"/>
      <c r="B19" s="303"/>
    </row>
    <row r="20" spans="1:6" x14ac:dyDescent="0.25">
      <c r="A20" s="308" t="s">
        <v>414</v>
      </c>
      <c r="B20" s="309"/>
      <c r="C20" s="309"/>
      <c r="D20" s="310"/>
    </row>
    <row r="21" spans="1:6" x14ac:dyDescent="0.25">
      <c r="A21" s="18"/>
      <c r="B21" s="16" t="s">
        <v>415</v>
      </c>
      <c r="C21" s="18" t="s">
        <v>416</v>
      </c>
      <c r="D21" s="18" t="s">
        <v>417</v>
      </c>
    </row>
    <row r="22" spans="1:6" x14ac:dyDescent="0.25">
      <c r="A22" s="18" t="s">
        <v>418</v>
      </c>
      <c r="B22" s="18"/>
      <c r="C22" s="18"/>
      <c r="D22" s="18"/>
    </row>
    <row r="23" spans="1:6" x14ac:dyDescent="0.25">
      <c r="A23" s="18" t="s">
        <v>419</v>
      </c>
      <c r="B23" s="18"/>
      <c r="C23" s="18"/>
      <c r="D23" s="18"/>
    </row>
    <row r="25" spans="1:6" x14ac:dyDescent="0.25">
      <c r="A25" s="308" t="s">
        <v>420</v>
      </c>
      <c r="B25" s="309"/>
      <c r="C25" s="309"/>
      <c r="D25" s="309"/>
      <c r="E25" s="309"/>
      <c r="F25" s="310"/>
    </row>
    <row r="26" spans="1:6" x14ac:dyDescent="0.25">
      <c r="A26" s="16" t="s">
        <v>421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/>
      <c r="B27" s="18"/>
      <c r="C27" s="18"/>
      <c r="D27" s="18"/>
      <c r="E27" s="18"/>
      <c r="F27" s="18"/>
    </row>
    <row r="28" spans="1:6" x14ac:dyDescent="0.25">
      <c r="A28" s="18"/>
      <c r="B28" s="18"/>
      <c r="C28" s="18"/>
      <c r="D28" s="18"/>
      <c r="E28" s="18"/>
      <c r="F28" s="18"/>
    </row>
    <row r="29" spans="1:6" x14ac:dyDescent="0.25">
      <c r="A29" s="18"/>
      <c r="B29" s="18"/>
      <c r="C29" s="18"/>
      <c r="D29" s="18"/>
      <c r="E29" s="18"/>
      <c r="F29" s="18"/>
    </row>
    <row r="30" spans="1:6" x14ac:dyDescent="0.25">
      <c r="A30" s="18"/>
      <c r="B30" s="18"/>
      <c r="C30" s="18"/>
      <c r="D30" s="18"/>
      <c r="E30" s="18"/>
      <c r="F30" s="18"/>
    </row>
    <row r="31" spans="1:6" x14ac:dyDescent="0.25">
      <c r="A31" s="18"/>
      <c r="B31" s="18"/>
      <c r="C31" s="18"/>
      <c r="D31" s="18"/>
      <c r="E31" s="18"/>
      <c r="F31" s="18"/>
    </row>
    <row r="32" spans="1:6" x14ac:dyDescent="0.25">
      <c r="A32" s="18"/>
      <c r="B32" s="18"/>
      <c r="C32" s="18"/>
      <c r="D32" s="18"/>
      <c r="E32" s="18"/>
      <c r="F32" s="18"/>
    </row>
    <row r="33" spans="1:6" x14ac:dyDescent="0.25">
      <c r="A33" s="18"/>
      <c r="B33" s="18"/>
      <c r="C33" s="18"/>
      <c r="D33" s="18"/>
      <c r="E33" s="18"/>
      <c r="F33" s="18"/>
    </row>
    <row r="34" spans="1:6" x14ac:dyDescent="0.25">
      <c r="A34" s="18"/>
      <c r="B34" s="18"/>
      <c r="C34" s="18"/>
      <c r="D34" s="18"/>
      <c r="E34" s="18"/>
      <c r="F34" s="18"/>
    </row>
    <row r="35" spans="1:6" x14ac:dyDescent="0.25">
      <c r="A35" s="18"/>
      <c r="B35" s="18"/>
      <c r="C35" s="18"/>
      <c r="D35" s="18"/>
      <c r="E35" s="18"/>
      <c r="F35" s="18"/>
    </row>
    <row r="36" spans="1:6" x14ac:dyDescent="0.25">
      <c r="A36" s="18"/>
      <c r="B36" s="18"/>
      <c r="C36" s="18"/>
      <c r="D36" s="18"/>
      <c r="E36" s="18"/>
      <c r="F36" s="18"/>
    </row>
    <row r="37" spans="1:6" x14ac:dyDescent="0.25">
      <c r="A37" s="18"/>
      <c r="B37" s="18"/>
      <c r="C37" s="18"/>
      <c r="D37" s="18"/>
      <c r="E37" s="18"/>
      <c r="F37" s="18"/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422</v>
      </c>
      <c r="B43" s="18"/>
    </row>
    <row r="44" spans="1:6" x14ac:dyDescent="0.25">
      <c r="A44" s="18" t="s">
        <v>423</v>
      </c>
      <c r="B44" s="18"/>
    </row>
    <row r="45" spans="1:6" x14ac:dyDescent="0.25">
      <c r="A45" s="18" t="s">
        <v>424</v>
      </c>
      <c r="B45" s="18"/>
    </row>
    <row r="46" spans="1:6" x14ac:dyDescent="0.25">
      <c r="A46" s="18" t="s">
        <v>425</v>
      </c>
      <c r="B46" s="18"/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Normal="100" zoomScaleSheetLayoutView="70" workbookViewId="0">
      <selection activeCell="J23" sqref="J23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bestFit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16384" width="8.6640625" style="1"/>
  </cols>
  <sheetData>
    <row r="1" spans="1:15" ht="30" customHeight="1" x14ac:dyDescent="0.25">
      <c r="A1" s="369" t="s">
        <v>192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1"/>
    </row>
    <row r="2" spans="1:15" ht="15" customHeight="1" x14ac:dyDescent="0.25">
      <c r="A2" s="322"/>
      <c r="B2" s="322"/>
      <c r="C2" s="322"/>
      <c r="D2" s="322"/>
      <c r="E2" s="322"/>
      <c r="F2" s="322"/>
      <c r="G2" s="322"/>
      <c r="H2" s="322"/>
      <c r="I2" s="322"/>
      <c r="J2" s="322"/>
      <c r="K2" s="322"/>
      <c r="L2" s="322"/>
    </row>
    <row r="3" spans="1:15" ht="15" customHeight="1" x14ac:dyDescent="0.25">
      <c r="A3" s="29" t="s">
        <v>188</v>
      </c>
      <c r="B3" s="39"/>
      <c r="C3" s="39"/>
      <c r="D3" s="38" t="s">
        <v>11</v>
      </c>
      <c r="E3" s="323" t="str">
        <f>'TABEL DATA'!Q6</f>
        <v>PAS-IK-1102-02</v>
      </c>
      <c r="F3" s="323"/>
      <c r="G3" s="323"/>
      <c r="H3" s="324"/>
      <c r="I3"/>
      <c r="J3"/>
      <c r="K3"/>
      <c r="L3"/>
      <c r="M3"/>
    </row>
    <row r="4" spans="1:15" ht="15" customHeight="1" x14ac:dyDescent="0.25">
      <c r="A4" s="29" t="s">
        <v>190</v>
      </c>
      <c r="B4" s="39"/>
      <c r="C4" s="39"/>
      <c r="D4" s="38" t="s">
        <v>11</v>
      </c>
      <c r="E4" s="323" t="str">
        <f>'TABEL DATA'!R6</f>
        <v>JIS B 7502:2016 (JMA/JSA); SNSU PK.P-01:2020.</v>
      </c>
      <c r="F4" s="323"/>
      <c r="G4" s="323"/>
      <c r="H4" s="324"/>
      <c r="I4"/>
      <c r="J4"/>
      <c r="K4"/>
      <c r="L4"/>
      <c r="M4"/>
    </row>
    <row r="5" spans="1:15" ht="15" customHeight="1" x14ac:dyDescent="0.25">
      <c r="I5"/>
      <c r="J5"/>
      <c r="K5"/>
      <c r="L5"/>
      <c r="M5"/>
    </row>
    <row r="6" spans="1:15" ht="15" customHeight="1" x14ac:dyDescent="0.25">
      <c r="A6" s="29" t="s">
        <v>163</v>
      </c>
      <c r="B6" s="25"/>
      <c r="C6" s="25"/>
      <c r="D6" s="37" t="s">
        <v>11</v>
      </c>
      <c r="E6" s="28">
        <f ca="1">TODAY()</f>
        <v>46028</v>
      </c>
      <c r="F6" s="320">
        <f ca="1">TODAY()</f>
        <v>46028</v>
      </c>
      <c r="G6" s="320"/>
      <c r="H6" s="259">
        <f ca="1">YEAR(TODAY())</f>
        <v>2026</v>
      </c>
    </row>
    <row r="8" spans="1:15" ht="15" customHeight="1" x14ac:dyDescent="0.25">
      <c r="A8" s="325" t="s">
        <v>176</v>
      </c>
      <c r="B8" s="326"/>
      <c r="C8" s="326"/>
      <c r="D8" s="326"/>
      <c r="E8" s="326"/>
      <c r="F8" s="326"/>
      <c r="G8" s="326"/>
      <c r="H8" s="326"/>
      <c r="I8" s="326"/>
      <c r="J8" s="326"/>
      <c r="K8" s="326"/>
      <c r="L8" s="327"/>
    </row>
    <row r="9" spans="1:15" ht="15" customHeight="1" x14ac:dyDescent="0.25">
      <c r="C9" s="1"/>
      <c r="D9" s="3"/>
    </row>
    <row r="10" spans="1:15" ht="15" customHeight="1" x14ac:dyDescent="0.25">
      <c r="A10" s="24" t="s">
        <v>164</v>
      </c>
      <c r="B10" s="25"/>
      <c r="C10" s="26"/>
      <c r="D10" s="37" t="s">
        <v>11</v>
      </c>
      <c r="E10" s="112"/>
      <c r="F10" s="321" t="s">
        <v>47</v>
      </c>
      <c r="G10" s="321"/>
      <c r="H10" s="27">
        <v>2025</v>
      </c>
      <c r="J10" s="322"/>
      <c r="K10" s="322"/>
      <c r="L10" s="322"/>
    </row>
    <row r="11" spans="1:15" ht="15" customHeight="1" x14ac:dyDescent="0.25">
      <c r="A11" s="24" t="s">
        <v>165</v>
      </c>
      <c r="B11" s="25"/>
      <c r="C11" s="26"/>
      <c r="D11" s="37" t="s">
        <v>11</v>
      </c>
      <c r="E11" s="115" t="s">
        <v>48</v>
      </c>
      <c r="F11" s="116" t="s">
        <v>254</v>
      </c>
      <c r="G11" s="116" t="str">
        <f>RIGHT(H10,2)</f>
        <v>25</v>
      </c>
      <c r="H11" s="335" t="s">
        <v>397</v>
      </c>
      <c r="I11" s="336"/>
      <c r="J11" s="322"/>
      <c r="K11" s="322"/>
      <c r="L11" s="322"/>
    </row>
    <row r="12" spans="1:15" ht="15" customHeight="1" x14ac:dyDescent="0.25">
      <c r="D12" s="3"/>
    </row>
    <row r="13" spans="1:15" ht="15" customHeight="1" x14ac:dyDescent="0.25">
      <c r="A13" s="31" t="s">
        <v>166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167</v>
      </c>
      <c r="B14" s="25"/>
      <c r="C14" s="26"/>
      <c r="D14" s="37" t="s">
        <v>11</v>
      </c>
      <c r="E14" s="329"/>
      <c r="F14" s="330"/>
      <c r="G14" s="330"/>
      <c r="H14" s="330"/>
      <c r="I14" s="330"/>
      <c r="J14" s="330"/>
      <c r="K14" s="330"/>
      <c r="L14" s="331"/>
    </row>
    <row r="15" spans="1:15" ht="15" customHeight="1" x14ac:dyDescent="0.25">
      <c r="E15" s="337" t="s">
        <v>107</v>
      </c>
      <c r="F15" s="338"/>
      <c r="G15" s="338"/>
      <c r="H15" s="338"/>
      <c r="I15" s="338"/>
      <c r="J15" s="338"/>
      <c r="K15" s="338"/>
      <c r="L15" s="339"/>
    </row>
    <row r="16" spans="1:15" ht="15" customHeight="1" x14ac:dyDescent="0.25">
      <c r="D16" s="3"/>
      <c r="E16" s="329"/>
      <c r="F16" s="330"/>
      <c r="G16" s="330"/>
      <c r="H16" s="330"/>
      <c r="I16" s="330"/>
      <c r="J16" s="330"/>
      <c r="K16" s="330"/>
      <c r="L16" s="331"/>
    </row>
    <row r="17" spans="1:23" ht="15" customHeight="1" x14ac:dyDescent="0.25">
      <c r="D17" s="3"/>
      <c r="W17" s="304"/>
    </row>
    <row r="18" spans="1:23" ht="15" customHeight="1" x14ac:dyDescent="0.25">
      <c r="A18" s="24" t="s">
        <v>88</v>
      </c>
      <c r="B18" s="25"/>
      <c r="C18" s="26"/>
      <c r="D18" s="37" t="s">
        <v>11</v>
      </c>
      <c r="E18" s="329"/>
      <c r="F18" s="330"/>
      <c r="G18" s="330"/>
      <c r="H18" s="331"/>
      <c r="I18"/>
      <c r="J18"/>
      <c r="K18"/>
      <c r="L18"/>
    </row>
    <row r="19" spans="1:23" ht="15" customHeight="1" x14ac:dyDescent="0.25">
      <c r="A19" s="24" t="s">
        <v>168</v>
      </c>
      <c r="B19" s="25"/>
      <c r="C19" s="26"/>
      <c r="D19" s="37" t="s">
        <v>11</v>
      </c>
      <c r="E19" s="332"/>
      <c r="F19" s="333"/>
      <c r="G19" s="333"/>
      <c r="H19" s="334"/>
    </row>
    <row r="20" spans="1:23" ht="15" customHeight="1" x14ac:dyDescent="0.25">
      <c r="A20" s="24" t="s">
        <v>108</v>
      </c>
      <c r="B20" s="25"/>
      <c r="C20" s="26"/>
      <c r="D20" s="38" t="s">
        <v>11</v>
      </c>
      <c r="E20" s="332"/>
      <c r="F20" s="333"/>
      <c r="G20" s="333"/>
      <c r="H20" s="334"/>
    </row>
    <row r="21" spans="1:23" ht="15" customHeight="1" x14ac:dyDescent="0.25">
      <c r="A21" s="24" t="s">
        <v>247</v>
      </c>
      <c r="B21" s="25"/>
      <c r="C21" s="26"/>
      <c r="D21" s="37" t="s">
        <v>11</v>
      </c>
      <c r="E21" s="332"/>
      <c r="F21" s="342"/>
      <c r="G21" s="342"/>
      <c r="H21" s="342"/>
      <c r="I21" s="340"/>
      <c r="J21" s="341"/>
      <c r="K21" s="341"/>
      <c r="L21" s="341"/>
    </row>
    <row r="22" spans="1:23" ht="15" customHeight="1" x14ac:dyDescent="0.25">
      <c r="A22" s="24" t="s">
        <v>345</v>
      </c>
      <c r="B22" s="25"/>
      <c r="C22" s="26"/>
      <c r="D22" s="37" t="s">
        <v>11</v>
      </c>
      <c r="E22" s="344"/>
      <c r="F22" s="344"/>
      <c r="G22" s="344"/>
      <c r="H22" s="344"/>
      <c r="I22" s="153"/>
      <c r="J22" s="153"/>
      <c r="K22" s="153"/>
      <c r="L22" s="153"/>
    </row>
    <row r="23" spans="1:23" ht="15" customHeight="1" x14ac:dyDescent="0.25">
      <c r="E23" s="196"/>
      <c r="F23" s="196"/>
      <c r="G23" s="196"/>
      <c r="H23" s="196"/>
      <c r="I23" s="153"/>
      <c r="J23" s="153"/>
    </row>
    <row r="24" spans="1:23" ht="15" customHeight="1" x14ac:dyDescent="0.25">
      <c r="A24" s="24" t="s">
        <v>309</v>
      </c>
      <c r="B24" s="25"/>
      <c r="C24" s="26"/>
      <c r="D24" s="37" t="s">
        <v>11</v>
      </c>
      <c r="E24" s="372"/>
      <c r="F24" s="372"/>
    </row>
    <row r="25" spans="1:23" ht="15" customHeight="1" x14ac:dyDescent="0.25">
      <c r="A25" s="24" t="s">
        <v>177</v>
      </c>
      <c r="B25" s="25"/>
      <c r="C25" s="26"/>
      <c r="D25" s="37" t="s">
        <v>11</v>
      </c>
      <c r="E25" s="343"/>
      <c r="F25" s="343"/>
      <c r="G25" s="199" t="str">
        <f>'TABEL DATA'!$K$5</f>
        <v>mm</v>
      </c>
      <c r="H25" s="21" t="s">
        <v>353</v>
      </c>
      <c r="I25" s="343"/>
      <c r="J25" s="343"/>
      <c r="K25" s="199" t="str">
        <f>'TABEL DATA'!$K$5</f>
        <v>mm</v>
      </c>
    </row>
    <row r="26" spans="1:23" ht="15" customHeight="1" x14ac:dyDescent="0.25">
      <c r="A26" s="24" t="s">
        <v>178</v>
      </c>
      <c r="B26" s="25"/>
      <c r="C26" s="26"/>
      <c r="D26" s="38" t="s">
        <v>11</v>
      </c>
      <c r="E26" s="328">
        <f>I25</f>
        <v>0</v>
      </c>
      <c r="F26" s="328"/>
      <c r="G26" s="199" t="str">
        <f>'TABEL DATA'!$K$5</f>
        <v>mm</v>
      </c>
      <c r="H26" s="3"/>
      <c r="I26" s="3"/>
      <c r="J26" s="3"/>
      <c r="Q26" s="3" t="s">
        <v>232</v>
      </c>
      <c r="R26" s="3" t="s">
        <v>334</v>
      </c>
      <c r="S26" s="3" t="s">
        <v>335</v>
      </c>
    </row>
    <row r="27" spans="1:23" ht="15" customHeight="1" x14ac:dyDescent="0.25">
      <c r="A27" s="24" t="s">
        <v>179</v>
      </c>
      <c r="B27" s="25"/>
      <c r="C27" s="26"/>
      <c r="D27" s="38" t="s">
        <v>11</v>
      </c>
      <c r="E27" s="353"/>
      <c r="F27" s="354"/>
      <c r="G27" s="199" t="str">
        <f>'TABEL DATA'!$K$5</f>
        <v>mm</v>
      </c>
      <c r="H27" s="257"/>
      <c r="I27" s="257" t="s">
        <v>333</v>
      </c>
      <c r="J27" s="257"/>
      <c r="K27" s="258"/>
      <c r="L27" s="258"/>
      <c r="Q27" s="229">
        <f>E27</f>
        <v>0</v>
      </c>
      <c r="R27" s="230">
        <f>'TABEL DATA'!I6</f>
        <v>0.1</v>
      </c>
      <c r="S27" s="229">
        <f>Q27*R27</f>
        <v>0</v>
      </c>
    </row>
    <row r="29" spans="1:23" ht="15" customHeight="1" x14ac:dyDescent="0.25">
      <c r="A29" s="31" t="s">
        <v>180</v>
      </c>
    </row>
    <row r="30" spans="1:23" ht="15" customHeight="1" x14ac:dyDescent="0.25">
      <c r="A30" s="24" t="s">
        <v>191</v>
      </c>
      <c r="B30" s="25"/>
      <c r="C30" s="26"/>
      <c r="D30" s="37" t="s">
        <v>11</v>
      </c>
      <c r="E30" s="364"/>
      <c r="F30" s="364"/>
      <c r="G30" s="364"/>
      <c r="H30" s="364"/>
      <c r="I30" s="364"/>
      <c r="J30" s="364"/>
      <c r="K30" s="364"/>
      <c r="L30" s="364"/>
    </row>
    <row r="31" spans="1:23" ht="15" customHeight="1" x14ac:dyDescent="0.25">
      <c r="A31" s="24" t="s">
        <v>181</v>
      </c>
      <c r="B31" s="25"/>
      <c r="C31" s="26"/>
      <c r="D31" s="37" t="s">
        <v>11</v>
      </c>
      <c r="E31" s="358"/>
      <c r="F31" s="359"/>
      <c r="G31" s="359"/>
      <c r="H31" s="359"/>
      <c r="I31" s="359"/>
      <c r="J31" s="359"/>
      <c r="K31" s="359"/>
      <c r="L31" s="360"/>
    </row>
    <row r="32" spans="1:23" ht="15" customHeight="1" x14ac:dyDescent="0.25">
      <c r="E32" s="293"/>
      <c r="F32" s="293"/>
      <c r="G32" s="293"/>
      <c r="H32" s="293"/>
      <c r="I32" s="293"/>
      <c r="J32" s="293"/>
      <c r="K32" s="293"/>
      <c r="L32" s="293"/>
    </row>
    <row r="33" spans="1:19" ht="15" customHeight="1" x14ac:dyDescent="0.25">
      <c r="A33" s="24" t="s">
        <v>182</v>
      </c>
      <c r="B33" s="25"/>
      <c r="C33" s="26"/>
      <c r="D33" s="37" t="s">
        <v>11</v>
      </c>
      <c r="E33" s="361"/>
      <c r="F33" s="362"/>
      <c r="G33" s="362"/>
      <c r="H33" s="362"/>
      <c r="I33" s="362"/>
      <c r="J33" s="362"/>
      <c r="K33" s="362"/>
      <c r="L33" s="363"/>
    </row>
    <row r="34" spans="1:19" ht="15" customHeight="1" x14ac:dyDescent="0.25">
      <c r="E34" s="361"/>
      <c r="F34" s="362"/>
      <c r="G34" s="362"/>
      <c r="H34" s="362"/>
      <c r="I34" s="362"/>
      <c r="J34" s="362"/>
      <c r="K34" s="362"/>
      <c r="L34" s="363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183</v>
      </c>
    </row>
    <row r="37" spans="1:19" ht="15" customHeight="1" x14ac:dyDescent="0.25">
      <c r="A37" s="24" t="s">
        <v>379</v>
      </c>
      <c r="B37" s="25"/>
      <c r="C37" s="26"/>
      <c r="D37" s="37" t="s">
        <v>11</v>
      </c>
      <c r="E37" s="113"/>
      <c r="F37" s="321"/>
      <c r="G37" s="321"/>
      <c r="H37" s="30"/>
    </row>
    <row r="38" spans="1:19" ht="15" customHeight="1" x14ac:dyDescent="0.25">
      <c r="A38" s="24" t="s">
        <v>89</v>
      </c>
      <c r="B38" s="25"/>
      <c r="C38" s="26"/>
      <c r="D38" s="37" t="s">
        <v>11</v>
      </c>
      <c r="E38" s="113"/>
      <c r="F38" s="321"/>
      <c r="G38" s="321"/>
      <c r="H38" s="30"/>
    </row>
    <row r="39" spans="1:19" ht="15" customHeight="1" x14ac:dyDescent="0.25">
      <c r="A39" s="24" t="s">
        <v>90</v>
      </c>
      <c r="B39" s="25"/>
      <c r="C39" s="26"/>
      <c r="D39" s="37" t="s">
        <v>11</v>
      </c>
      <c r="E39" s="329"/>
      <c r="F39" s="330"/>
      <c r="G39" s="330"/>
      <c r="H39" s="330"/>
      <c r="I39" s="330"/>
      <c r="J39" s="330"/>
      <c r="K39" s="330"/>
      <c r="L39" s="331"/>
    </row>
    <row r="41" spans="1:19" ht="15" customHeight="1" x14ac:dyDescent="0.25">
      <c r="A41" s="102" t="s">
        <v>220</v>
      </c>
      <c r="B41" s="103"/>
      <c r="C41" s="104"/>
      <c r="D41" s="105" t="s">
        <v>11</v>
      </c>
      <c r="E41" s="355" t="s">
        <v>235</v>
      </c>
      <c r="F41" s="355"/>
      <c r="G41" s="355"/>
    </row>
    <row r="42" spans="1:19" ht="15" customHeight="1" x14ac:dyDescent="0.25">
      <c r="A42" s="24" t="s">
        <v>184</v>
      </c>
      <c r="B42" s="25"/>
      <c r="C42" s="26"/>
      <c r="D42" s="37" t="s">
        <v>11</v>
      </c>
      <c r="E42" s="32"/>
      <c r="F42" s="32"/>
      <c r="G42" s="32"/>
      <c r="H42" s="33" t="e">
        <f ca="1">'KONTROL SUHU'!B314</f>
        <v>#DIV/0!</v>
      </c>
      <c r="I42" s="34" t="s">
        <v>16</v>
      </c>
      <c r="J42" s="33" t="e">
        <f>'KONTROL SUHU'!C321</f>
        <v>#DIV/0!</v>
      </c>
      <c r="K42" s="35" t="s">
        <v>186</v>
      </c>
    </row>
    <row r="43" spans="1:19" ht="15" customHeight="1" x14ac:dyDescent="0.25">
      <c r="A43" s="24" t="s">
        <v>185</v>
      </c>
      <c r="B43" s="25"/>
      <c r="C43" s="26"/>
      <c r="D43" s="37" t="s">
        <v>11</v>
      </c>
      <c r="E43" s="32"/>
      <c r="F43" s="32"/>
      <c r="G43" s="32"/>
      <c r="H43" s="33" t="e">
        <f ca="1">'KONTROL SUHU'!G314</f>
        <v>#DIV/0!</v>
      </c>
      <c r="I43" s="34" t="s">
        <v>16</v>
      </c>
      <c r="J43" s="33" t="e">
        <f>'KONTROL SUHU'!D321</f>
        <v>#DIV/0!</v>
      </c>
      <c r="K43" s="35" t="s">
        <v>52</v>
      </c>
    </row>
    <row r="45" spans="1:19" ht="15" customHeight="1" x14ac:dyDescent="0.25">
      <c r="A45" s="24" t="s">
        <v>187</v>
      </c>
      <c r="B45" s="25"/>
      <c r="C45" s="26"/>
      <c r="D45" s="37" t="s">
        <v>11</v>
      </c>
      <c r="E45" s="352"/>
      <c r="F45" s="352"/>
      <c r="G45" s="352"/>
    </row>
    <row r="48" spans="1:19" s="3" customFormat="1" ht="15" customHeight="1" x14ac:dyDescent="0.25">
      <c r="A48" s="348" t="s">
        <v>193</v>
      </c>
      <c r="B48" s="348"/>
      <c r="C48" s="348"/>
      <c r="D48" s="348"/>
      <c r="E48" s="348"/>
      <c r="F48" s="348"/>
      <c r="G48" s="348"/>
      <c r="H48" s="348"/>
      <c r="I48" s="348"/>
      <c r="J48" s="348"/>
      <c r="Q48" s="377" t="s">
        <v>317</v>
      </c>
      <c r="R48" s="377"/>
      <c r="S48" s="377"/>
    </row>
    <row r="49" spans="1:23" s="3" customFormat="1" ht="15" customHeight="1" x14ac:dyDescent="0.25">
      <c r="A49" s="347" t="s">
        <v>158</v>
      </c>
      <c r="B49" s="347"/>
      <c r="C49" s="347"/>
      <c r="D49" s="347"/>
      <c r="E49" s="347"/>
      <c r="F49" s="347" t="s">
        <v>162</v>
      </c>
      <c r="G49" s="347"/>
      <c r="H49" s="347"/>
      <c r="I49" s="347"/>
      <c r="J49" s="347"/>
      <c r="Q49" s="373" t="s">
        <v>43</v>
      </c>
      <c r="R49" s="375" t="s">
        <v>318</v>
      </c>
      <c r="S49" s="373" t="s">
        <v>162</v>
      </c>
    </row>
    <row r="50" spans="1:23" s="40" customFormat="1" ht="34.950000000000003" customHeight="1" x14ac:dyDescent="0.25">
      <c r="A50" s="345" t="s">
        <v>159</v>
      </c>
      <c r="B50" s="346"/>
      <c r="C50" s="349" t="s">
        <v>160</v>
      </c>
      <c r="D50" s="345" t="s">
        <v>161</v>
      </c>
      <c r="E50" s="346"/>
      <c r="F50" s="345" t="s">
        <v>159</v>
      </c>
      <c r="G50" s="346"/>
      <c r="H50" s="349" t="s">
        <v>160</v>
      </c>
      <c r="I50" s="345" t="s">
        <v>161</v>
      </c>
      <c r="J50" s="346"/>
      <c r="K50" s="4"/>
      <c r="Q50" s="374"/>
      <c r="R50" s="376"/>
      <c r="S50" s="374"/>
    </row>
    <row r="51" spans="1:23" s="3" customFormat="1" ht="15" customHeight="1" x14ac:dyDescent="0.25">
      <c r="A51" s="356" t="s">
        <v>1</v>
      </c>
      <c r="B51" s="357"/>
      <c r="C51" s="350"/>
      <c r="D51" s="356" t="s">
        <v>1</v>
      </c>
      <c r="E51" s="357"/>
      <c r="F51" s="356" t="s">
        <v>1</v>
      </c>
      <c r="G51" s="357"/>
      <c r="H51" s="350"/>
      <c r="I51" s="356" t="s">
        <v>1</v>
      </c>
      <c r="J51" s="357"/>
      <c r="Q51" s="203" t="str">
        <f>'TABEL DATA'!$K$5</f>
        <v>mm</v>
      </c>
      <c r="R51" s="203" t="str">
        <f>'TABEL DATA'!$L$5</f>
        <v>μm</v>
      </c>
      <c r="S51" s="203" t="str">
        <f>'TABEL DATA'!$L$5</f>
        <v>μm</v>
      </c>
    </row>
    <row r="52" spans="1:23" s="41" customFormat="1" ht="15" customHeight="1" x14ac:dyDescent="0.25">
      <c r="A52" s="351"/>
      <c r="B52" s="351"/>
      <c r="C52" s="44"/>
      <c r="D52" s="388">
        <f>C52*0.32</f>
        <v>0</v>
      </c>
      <c r="E52" s="388"/>
      <c r="F52" s="351"/>
      <c r="G52" s="351"/>
      <c r="H52" s="44"/>
      <c r="I52" s="388">
        <f>H52*0.32</f>
        <v>0</v>
      </c>
      <c r="J52" s="388"/>
      <c r="Q52" s="244">
        <f>A52/'TABEL DATA'!M5</f>
        <v>0</v>
      </c>
      <c r="R52" s="244">
        <f>D52/'TABEL DATA'!$M$5</f>
        <v>0</v>
      </c>
      <c r="S52" s="244">
        <f>I52/'TABEL DATA'!$M$5</f>
        <v>0</v>
      </c>
    </row>
    <row r="53" spans="1:23" ht="15" customHeight="1" x14ac:dyDescent="0.25">
      <c r="A53" s="322"/>
      <c r="B53" s="322"/>
      <c r="D53" s="365"/>
      <c r="E53" s="365"/>
      <c r="F53" s="365"/>
      <c r="G53" s="365"/>
      <c r="H53" s="3"/>
      <c r="I53" s="365"/>
      <c r="J53" s="365"/>
    </row>
    <row r="54" spans="1:23" s="36" customFormat="1" ht="15" customHeight="1" x14ac:dyDescent="0.25">
      <c r="A54" s="380" t="s">
        <v>194</v>
      </c>
      <c r="B54" s="380"/>
      <c r="C54" s="380"/>
      <c r="D54" s="380"/>
      <c r="E54" s="380"/>
      <c r="F54" s="380"/>
      <c r="G54" s="380"/>
      <c r="H54" s="380"/>
      <c r="I54" s="380"/>
      <c r="J54" s="380"/>
      <c r="K54" s="380"/>
      <c r="L54" s="380"/>
      <c r="M54" s="380"/>
      <c r="N54" s="380"/>
      <c r="O54" s="380"/>
      <c r="P54" s="41"/>
      <c r="Q54" s="377" t="s">
        <v>312</v>
      </c>
      <c r="R54" s="377"/>
      <c r="S54" s="377"/>
      <c r="V54" s="41"/>
      <c r="W54" s="41"/>
    </row>
    <row r="55" spans="1:23" s="36" customFormat="1" ht="15" customHeight="1" x14ac:dyDescent="0.25">
      <c r="A55" s="381" t="s">
        <v>311</v>
      </c>
      <c r="B55" s="382"/>
      <c r="C55" s="382"/>
      <c r="D55" s="383"/>
      <c r="E55" s="381" t="s">
        <v>202</v>
      </c>
      <c r="F55" s="382"/>
      <c r="G55" s="382"/>
      <c r="H55" s="382"/>
      <c r="I55" s="382"/>
      <c r="J55" s="382"/>
      <c r="K55" s="382"/>
      <c r="L55" s="382"/>
      <c r="M55" s="382"/>
      <c r="N55" s="383"/>
      <c r="O55" s="387" t="s">
        <v>111</v>
      </c>
      <c r="P55" s="41"/>
      <c r="Q55" s="373" t="s">
        <v>313</v>
      </c>
      <c r="R55" s="375" t="s">
        <v>314</v>
      </c>
      <c r="S55" s="373" t="s">
        <v>315</v>
      </c>
      <c r="V55" s="41"/>
      <c r="W55" s="41"/>
    </row>
    <row r="56" spans="1:23" s="36" customFormat="1" ht="15" customHeight="1" x14ac:dyDescent="0.25">
      <c r="A56" s="366" t="s">
        <v>43</v>
      </c>
      <c r="B56" s="367"/>
      <c r="C56" s="378" t="s">
        <v>303</v>
      </c>
      <c r="D56" s="379"/>
      <c r="E56" s="384" t="str">
        <f>'TABEL DATA'!$K$5</f>
        <v>mm</v>
      </c>
      <c r="F56" s="385"/>
      <c r="G56" s="385"/>
      <c r="H56" s="385"/>
      <c r="I56" s="385"/>
      <c r="J56" s="385"/>
      <c r="K56" s="385"/>
      <c r="L56" s="385"/>
      <c r="M56" s="385"/>
      <c r="N56" s="386"/>
      <c r="O56" s="387"/>
      <c r="P56" s="41"/>
      <c r="Q56" s="374"/>
      <c r="R56" s="376"/>
      <c r="S56" s="374"/>
    </row>
    <row r="57" spans="1:23" s="36" customFormat="1" ht="15" customHeight="1" x14ac:dyDescent="0.25">
      <c r="A57" s="356" t="s">
        <v>1</v>
      </c>
      <c r="B57" s="357"/>
      <c r="C57" s="2" t="s">
        <v>1</v>
      </c>
      <c r="D57" s="2" t="s">
        <v>304</v>
      </c>
      <c r="E57" s="328">
        <v>1</v>
      </c>
      <c r="F57" s="328"/>
      <c r="G57" s="328">
        <v>2</v>
      </c>
      <c r="H57" s="328"/>
      <c r="I57" s="328">
        <v>3</v>
      </c>
      <c r="J57" s="328"/>
      <c r="K57" s="328">
        <v>4</v>
      </c>
      <c r="L57" s="328"/>
      <c r="M57" s="328">
        <v>5</v>
      </c>
      <c r="N57" s="328"/>
      <c r="O57" s="203" t="str">
        <f>'TABEL DATA'!$K$5</f>
        <v>mm</v>
      </c>
      <c r="P57" s="41"/>
      <c r="Q57" s="203" t="str">
        <f>'TABEL DATA'!$K$5</f>
        <v>mm</v>
      </c>
      <c r="R57" s="203" t="str">
        <f>'TABEL DATA'!$K$5</f>
        <v>mm</v>
      </c>
      <c r="S57" s="203" t="str">
        <f>'TABEL DATA'!$K$5</f>
        <v>mm</v>
      </c>
    </row>
    <row r="58" spans="1:23" ht="15" customHeight="1" x14ac:dyDescent="0.25">
      <c r="A58" s="368"/>
      <c r="B58" s="315"/>
      <c r="C58" s="306">
        <f>'Pilih Standar'!AC61</f>
        <v>0</v>
      </c>
      <c r="D58" s="306" t="str">
        <f t="shared" ref="D58:D72" si="0">IF(A58="","",C58/25.4)</f>
        <v/>
      </c>
      <c r="E58" s="312"/>
      <c r="F58" s="316"/>
      <c r="G58" s="312"/>
      <c r="H58" s="316"/>
      <c r="I58" s="312"/>
      <c r="J58" s="316"/>
      <c r="K58" s="312"/>
      <c r="L58" s="316"/>
      <c r="M58" s="312"/>
      <c r="N58" s="313"/>
      <c r="O58" s="245" t="str">
        <f>IF(E58="","",STDEV(E58:N58))</f>
        <v/>
      </c>
      <c r="P58" s="42"/>
      <c r="Q58" s="245">
        <f>INDEX(C58:D58,'TABEL DATA'!$K$4)</f>
        <v>0</v>
      </c>
      <c r="R58" s="246" t="str">
        <f>IF(E58="","",ROUND(AVERAGE(E58:N58),'TABEL DATA'!$N$5))</f>
        <v/>
      </c>
      <c r="S58" s="246" t="str">
        <f>IF(E58="","",Q58-R58)</f>
        <v/>
      </c>
    </row>
    <row r="59" spans="1:23" ht="15" customHeight="1" x14ac:dyDescent="0.25">
      <c r="A59" s="314"/>
      <c r="B59" s="315"/>
      <c r="C59" s="306">
        <f>'Pilih Standar'!AC62</f>
        <v>2.5000499999999999</v>
      </c>
      <c r="D59" s="307" t="str">
        <f t="shared" si="0"/>
        <v/>
      </c>
      <c r="E59" s="312"/>
      <c r="F59" s="316"/>
      <c r="G59" s="312"/>
      <c r="H59" s="316"/>
      <c r="I59" s="312"/>
      <c r="J59" s="316"/>
      <c r="K59" s="312"/>
      <c r="L59" s="316"/>
      <c r="M59" s="312"/>
      <c r="N59" s="313"/>
      <c r="O59" s="245" t="str">
        <f t="shared" ref="O59:O71" si="1">IF(E59="","",STDEV(E59:N59))</f>
        <v/>
      </c>
      <c r="P59" s="42"/>
      <c r="Q59" s="245">
        <f>INDEX(C59:D59,'TABEL DATA'!$K$4)</f>
        <v>2.5000499999999999</v>
      </c>
      <c r="R59" s="246" t="str">
        <f>IF(E59="","",ROUND(AVERAGE(E59:N59),'TABEL DATA'!$N$5))</f>
        <v/>
      </c>
      <c r="S59" s="246" t="str">
        <f t="shared" ref="S59:S72" si="2">IF(E59="","",Q59-R59)</f>
        <v/>
      </c>
    </row>
    <row r="60" spans="1:23" ht="15" customHeight="1" x14ac:dyDescent="0.25">
      <c r="A60" s="314"/>
      <c r="B60" s="315"/>
      <c r="C60" s="306">
        <f>'Pilih Standar'!AC63</f>
        <v>5.1000899999999998</v>
      </c>
      <c r="D60" s="307" t="str">
        <f t="shared" si="0"/>
        <v/>
      </c>
      <c r="E60" s="312"/>
      <c r="F60" s="316"/>
      <c r="G60" s="312"/>
      <c r="H60" s="316"/>
      <c r="I60" s="312"/>
      <c r="J60" s="316"/>
      <c r="K60" s="312"/>
      <c r="L60" s="316"/>
      <c r="M60" s="312"/>
      <c r="N60" s="313"/>
      <c r="O60" s="245" t="str">
        <f t="shared" si="1"/>
        <v/>
      </c>
      <c r="P60" s="42"/>
      <c r="Q60" s="245">
        <f>INDEX(C60:D60,'TABEL DATA'!$K$4)</f>
        <v>5.1000899999999998</v>
      </c>
      <c r="R60" s="246" t="str">
        <f>IF(E60="","",ROUND(AVERAGE(E60:N60),'TABEL DATA'!$N$5))</f>
        <v/>
      </c>
      <c r="S60" s="246" t="str">
        <f t="shared" si="2"/>
        <v/>
      </c>
    </row>
    <row r="61" spans="1:23" ht="15" customHeight="1" x14ac:dyDescent="0.25">
      <c r="A61" s="314"/>
      <c r="B61" s="315"/>
      <c r="C61" s="306">
        <f>'Pilih Standar'!AC64</f>
        <v>7.6998899999999999</v>
      </c>
      <c r="D61" s="307" t="str">
        <f t="shared" si="0"/>
        <v/>
      </c>
      <c r="E61" s="312"/>
      <c r="F61" s="316"/>
      <c r="G61" s="312"/>
      <c r="H61" s="316"/>
      <c r="I61" s="312"/>
      <c r="J61" s="316"/>
      <c r="K61" s="312"/>
      <c r="L61" s="316"/>
      <c r="M61" s="312"/>
      <c r="N61" s="313"/>
      <c r="O61" s="245" t="str">
        <f t="shared" si="1"/>
        <v/>
      </c>
      <c r="P61" s="42"/>
      <c r="Q61" s="245">
        <f>INDEX(C61:D61,'TABEL DATA'!$K$4)</f>
        <v>7.6998899999999999</v>
      </c>
      <c r="R61" s="246" t="str">
        <f>IF(E61="","",ROUND(AVERAGE(E61:N61),'TABEL DATA'!$N$5))</f>
        <v/>
      </c>
      <c r="S61" s="246" t="str">
        <f t="shared" si="2"/>
        <v/>
      </c>
    </row>
    <row r="62" spans="1:23" ht="15" customHeight="1" x14ac:dyDescent="0.25">
      <c r="A62" s="314"/>
      <c r="B62" s="315"/>
      <c r="C62" s="306">
        <f>'Pilih Standar'!AC65</f>
        <v>10.299930000000002</v>
      </c>
      <c r="D62" s="307" t="str">
        <f t="shared" si="0"/>
        <v/>
      </c>
      <c r="E62" s="312"/>
      <c r="F62" s="316"/>
      <c r="G62" s="312"/>
      <c r="H62" s="316"/>
      <c r="I62" s="312"/>
      <c r="J62" s="316"/>
      <c r="K62" s="312"/>
      <c r="L62" s="316"/>
      <c r="M62" s="312"/>
      <c r="N62" s="313"/>
      <c r="O62" s="245" t="str">
        <f t="shared" si="1"/>
        <v/>
      </c>
      <c r="P62" s="42"/>
      <c r="Q62" s="245">
        <f>INDEX(C62:D62,'TABEL DATA'!$K$4)</f>
        <v>10.299930000000002</v>
      </c>
      <c r="R62" s="246" t="str">
        <f>IF(E62="","",ROUND(AVERAGE(E62:N62),'TABEL DATA'!$N$5))</f>
        <v/>
      </c>
      <c r="S62" s="246" t="str">
        <f t="shared" si="2"/>
        <v/>
      </c>
    </row>
    <row r="63" spans="1:23" ht="15" customHeight="1" x14ac:dyDescent="0.25">
      <c r="A63" s="314"/>
      <c r="B63" s="315"/>
      <c r="C63" s="306">
        <f>'Pilih Standar'!AC66</f>
        <v>12.89992</v>
      </c>
      <c r="D63" s="307" t="str">
        <f t="shared" si="0"/>
        <v/>
      </c>
      <c r="E63" s="312"/>
      <c r="F63" s="316"/>
      <c r="G63" s="312"/>
      <c r="H63" s="316"/>
      <c r="I63" s="312"/>
      <c r="J63" s="316"/>
      <c r="K63" s="312"/>
      <c r="L63" s="316"/>
      <c r="M63" s="312"/>
      <c r="N63" s="313"/>
      <c r="O63" s="245" t="str">
        <f t="shared" si="1"/>
        <v/>
      </c>
      <c r="P63" s="42"/>
      <c r="Q63" s="245">
        <f>INDEX(C63:D63,'TABEL DATA'!$K$4)</f>
        <v>12.89992</v>
      </c>
      <c r="R63" s="246" t="str">
        <f>IF(E63="","",ROUND(AVERAGE(E63:N63),'TABEL DATA'!$N$5))</f>
        <v/>
      </c>
      <c r="S63" s="246" t="str">
        <f t="shared" si="2"/>
        <v/>
      </c>
    </row>
    <row r="64" spans="1:23" ht="15" customHeight="1" x14ac:dyDescent="0.25">
      <c r="A64" s="314"/>
      <c r="B64" s="315"/>
      <c r="C64" s="306">
        <f>'Pilih Standar'!AC67</f>
        <v>14.999969999999999</v>
      </c>
      <c r="D64" s="307" t="str">
        <f t="shared" si="0"/>
        <v/>
      </c>
      <c r="E64" s="312"/>
      <c r="F64" s="316"/>
      <c r="G64" s="312"/>
      <c r="H64" s="316"/>
      <c r="I64" s="312"/>
      <c r="J64" s="316"/>
      <c r="K64" s="312"/>
      <c r="L64" s="316"/>
      <c r="M64" s="312"/>
      <c r="N64" s="313"/>
      <c r="O64" s="245" t="str">
        <f t="shared" si="1"/>
        <v/>
      </c>
      <c r="P64" s="42"/>
      <c r="Q64" s="245">
        <f>INDEX(C64:D64,'TABEL DATA'!$K$4)</f>
        <v>14.999969999999999</v>
      </c>
      <c r="R64" s="246" t="str">
        <f>IF(E64="","",ROUND(AVERAGE(E64:N64),'TABEL DATA'!$N$5))</f>
        <v/>
      </c>
      <c r="S64" s="246" t="str">
        <f t="shared" si="2"/>
        <v/>
      </c>
    </row>
    <row r="65" spans="1:39" ht="15" customHeight="1" x14ac:dyDescent="0.25">
      <c r="A65" s="314"/>
      <c r="B65" s="315"/>
      <c r="C65" s="306">
        <f>'Pilih Standar'!AC68</f>
        <v>17.599920000000001</v>
      </c>
      <c r="D65" s="307" t="str">
        <f t="shared" si="0"/>
        <v/>
      </c>
      <c r="E65" s="312"/>
      <c r="F65" s="316"/>
      <c r="G65" s="312"/>
      <c r="H65" s="316"/>
      <c r="I65" s="312"/>
      <c r="J65" s="316"/>
      <c r="K65" s="312"/>
      <c r="L65" s="316"/>
      <c r="M65" s="312"/>
      <c r="N65" s="313"/>
      <c r="O65" s="245" t="str">
        <f t="shared" si="1"/>
        <v/>
      </c>
      <c r="P65" s="42"/>
      <c r="Q65" s="245">
        <f>INDEX(C65:D65,'TABEL DATA'!$K$4)</f>
        <v>17.599920000000001</v>
      </c>
      <c r="R65" s="246" t="str">
        <f>IF(E65="","",ROUND(AVERAGE(E65:N65),'TABEL DATA'!$N$5))</f>
        <v/>
      </c>
      <c r="S65" s="246" t="str">
        <f t="shared" si="2"/>
        <v/>
      </c>
    </row>
    <row r="66" spans="1:39" ht="15" customHeight="1" x14ac:dyDescent="0.25">
      <c r="A66" s="314"/>
      <c r="B66" s="315"/>
      <c r="C66" s="306">
        <f>'Pilih Standar'!AC69</f>
        <v>20.199909999999999</v>
      </c>
      <c r="D66" s="307" t="str">
        <f t="shared" si="0"/>
        <v/>
      </c>
      <c r="E66" s="312"/>
      <c r="F66" s="316"/>
      <c r="G66" s="312"/>
      <c r="H66" s="316"/>
      <c r="I66" s="312"/>
      <c r="J66" s="316"/>
      <c r="K66" s="312"/>
      <c r="L66" s="316"/>
      <c r="M66" s="312"/>
      <c r="N66" s="313"/>
      <c r="O66" s="245" t="str">
        <f t="shared" si="1"/>
        <v/>
      </c>
      <c r="P66" s="42"/>
      <c r="Q66" s="245">
        <f>INDEX(C66:D66,'TABEL DATA'!$K$4)</f>
        <v>20.199909999999999</v>
      </c>
      <c r="R66" s="246" t="str">
        <f>IF(E66="","",ROUND(AVERAGE(E66:N66),'TABEL DATA'!$N$5))</f>
        <v/>
      </c>
      <c r="S66" s="246" t="str">
        <f t="shared" si="2"/>
        <v/>
      </c>
    </row>
    <row r="67" spans="1:39" ht="15" customHeight="1" x14ac:dyDescent="0.25">
      <c r="A67" s="314"/>
      <c r="B67" s="315"/>
      <c r="C67" s="306">
        <f>'Pilih Standar'!AC70</f>
        <v>22.799890000000001</v>
      </c>
      <c r="D67" s="307" t="str">
        <f t="shared" si="0"/>
        <v/>
      </c>
      <c r="E67" s="312"/>
      <c r="F67" s="316"/>
      <c r="G67" s="312"/>
      <c r="H67" s="316"/>
      <c r="I67" s="312"/>
      <c r="J67" s="316"/>
      <c r="K67" s="312"/>
      <c r="L67" s="316"/>
      <c r="M67" s="312"/>
      <c r="N67" s="313"/>
      <c r="O67" s="245" t="str">
        <f t="shared" si="1"/>
        <v/>
      </c>
      <c r="P67" s="42"/>
      <c r="Q67" s="245">
        <f>INDEX(C67:D67,'TABEL DATA'!$K$4)</f>
        <v>22.799890000000001</v>
      </c>
      <c r="R67" s="246" t="str">
        <f>IF(E67="","",ROUND(AVERAGE(E67:N67),'TABEL DATA'!$N$5))</f>
        <v/>
      </c>
      <c r="S67" s="246" t="str">
        <f t="shared" si="2"/>
        <v/>
      </c>
    </row>
    <row r="68" spans="1:39" ht="15" customHeight="1" x14ac:dyDescent="0.25">
      <c r="A68" s="314"/>
      <c r="B68" s="315"/>
      <c r="C68" s="306">
        <f>'Pilih Standar'!AC71</f>
        <v>25.000080000000001</v>
      </c>
      <c r="D68" s="307" t="str">
        <f t="shared" si="0"/>
        <v/>
      </c>
      <c r="E68" s="312"/>
      <c r="F68" s="316"/>
      <c r="G68" s="312"/>
      <c r="H68" s="316"/>
      <c r="I68" s="312"/>
      <c r="J68" s="316"/>
      <c r="K68" s="312"/>
      <c r="L68" s="316"/>
      <c r="M68" s="312"/>
      <c r="N68" s="313"/>
      <c r="O68" s="245" t="str">
        <f t="shared" si="1"/>
        <v/>
      </c>
      <c r="P68" s="42"/>
      <c r="Q68" s="245">
        <f>INDEX(C68:D68,'TABEL DATA'!$K$4)</f>
        <v>25.000080000000001</v>
      </c>
      <c r="R68" s="246" t="str">
        <f>IF(E68="","",ROUND(AVERAGE(E68:N68),'TABEL DATA'!$N$5))</f>
        <v/>
      </c>
      <c r="S68" s="246" t="str">
        <f t="shared" si="2"/>
        <v/>
      </c>
    </row>
    <row r="69" spans="1:39" ht="15" customHeight="1" x14ac:dyDescent="0.25">
      <c r="A69" s="314"/>
      <c r="B69" s="315"/>
      <c r="C69" s="306" t="str">
        <f>'Pilih Standar'!AC72</f>
        <v/>
      </c>
      <c r="D69" s="307" t="str">
        <f t="shared" si="0"/>
        <v/>
      </c>
      <c r="E69" s="312"/>
      <c r="F69" s="316"/>
      <c r="G69" s="312"/>
      <c r="H69" s="316"/>
      <c r="I69" s="312"/>
      <c r="J69" s="316"/>
      <c r="K69" s="312"/>
      <c r="L69" s="316"/>
      <c r="M69" s="312"/>
      <c r="N69" s="313"/>
      <c r="O69" s="245" t="str">
        <f t="shared" si="1"/>
        <v/>
      </c>
      <c r="P69" s="42"/>
      <c r="Q69" s="245" t="str">
        <f>INDEX(C69:D69,'TABEL DATA'!$K$4)</f>
        <v/>
      </c>
      <c r="R69" s="246" t="str">
        <f>IF(E69="","",ROUND(AVERAGE(E69:N69),'TABEL DATA'!$N$5))</f>
        <v/>
      </c>
      <c r="S69" s="246" t="str">
        <f t="shared" si="2"/>
        <v/>
      </c>
    </row>
    <row r="70" spans="1:39" ht="15" customHeight="1" x14ac:dyDescent="0.25">
      <c r="A70" s="314"/>
      <c r="B70" s="315"/>
      <c r="C70" s="306" t="str">
        <f>'Pilih Standar'!AC73</f>
        <v/>
      </c>
      <c r="D70" s="307" t="str">
        <f t="shared" si="0"/>
        <v/>
      </c>
      <c r="E70" s="312"/>
      <c r="F70" s="316"/>
      <c r="G70" s="312"/>
      <c r="H70" s="316"/>
      <c r="I70" s="312"/>
      <c r="J70" s="316"/>
      <c r="K70" s="312"/>
      <c r="L70" s="316"/>
      <c r="M70" s="312"/>
      <c r="N70" s="313"/>
      <c r="O70" s="245" t="str">
        <f t="shared" si="1"/>
        <v/>
      </c>
      <c r="P70" s="42"/>
      <c r="Q70" s="245" t="str">
        <f>INDEX(C70:D70,'TABEL DATA'!$K$4)</f>
        <v/>
      </c>
      <c r="R70" s="246" t="str">
        <f>IF(E70="","",ROUND(AVERAGE(E70:N70),'TABEL DATA'!$N$5))</f>
        <v/>
      </c>
      <c r="S70" s="246" t="str">
        <f t="shared" si="2"/>
        <v/>
      </c>
    </row>
    <row r="71" spans="1:39" ht="15" customHeight="1" x14ac:dyDescent="0.25">
      <c r="A71" s="314"/>
      <c r="B71" s="315"/>
      <c r="C71" s="306" t="str">
        <f>'Pilih Standar'!AC74</f>
        <v/>
      </c>
      <c r="D71" s="307" t="str">
        <f t="shared" si="0"/>
        <v/>
      </c>
      <c r="E71" s="312"/>
      <c r="F71" s="316"/>
      <c r="G71" s="312"/>
      <c r="H71" s="316"/>
      <c r="I71" s="312"/>
      <c r="J71" s="316"/>
      <c r="K71" s="312"/>
      <c r="L71" s="316"/>
      <c r="M71" s="312"/>
      <c r="N71" s="313"/>
      <c r="O71" s="245" t="str">
        <f t="shared" si="1"/>
        <v/>
      </c>
      <c r="P71" s="42"/>
      <c r="Q71" s="245" t="str">
        <f>INDEX(C71:D71,'TABEL DATA'!$K$4)</f>
        <v/>
      </c>
      <c r="R71" s="246" t="str">
        <f>IF(E71="","",ROUND(AVERAGE(E71:N71),'TABEL DATA'!$N$5))</f>
        <v/>
      </c>
      <c r="S71" s="24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14"/>
      <c r="B72" s="315"/>
      <c r="C72" s="306" t="str">
        <f>'Pilih Standar'!AC75</f>
        <v/>
      </c>
      <c r="D72" s="307" t="str">
        <f t="shared" si="0"/>
        <v/>
      </c>
      <c r="E72" s="312"/>
      <c r="F72" s="316"/>
      <c r="G72" s="312"/>
      <c r="H72" s="316"/>
      <c r="I72" s="312"/>
      <c r="J72" s="316"/>
      <c r="K72" s="312"/>
      <c r="L72" s="316"/>
      <c r="M72" s="312"/>
      <c r="N72" s="313"/>
      <c r="O72" s="245" t="str">
        <f>IF(E72="","",STDEV(E72:N72))</f>
        <v/>
      </c>
      <c r="P72" s="42"/>
      <c r="Q72" s="245" t="str">
        <f>INDEX(C72:D72,'TABEL DATA'!$K$4)</f>
        <v/>
      </c>
      <c r="R72" s="246" t="str">
        <f>IF(E72="","",ROUND(AVERAGE(E72:N72),'TABEL DATA'!$N$5))</f>
        <v/>
      </c>
      <c r="S72" s="246" t="str">
        <f t="shared" si="2"/>
        <v/>
      </c>
    </row>
    <row r="73" spans="1:39" ht="15" customHeight="1" x14ac:dyDescent="0.25">
      <c r="A73" s="319"/>
      <c r="B73" s="319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51" t="s">
        <v>195</v>
      </c>
      <c r="P73" s="42"/>
      <c r="Q73" s="42"/>
    </row>
    <row r="74" spans="1:39" ht="15" customHeight="1" x14ac:dyDescent="0.25">
      <c r="A74" s="201" t="s">
        <v>322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52">
        <f>_xlfn.AGGREGATE(4,6,O58:O72)</f>
        <v>0</v>
      </c>
      <c r="P74" s="200" t="str">
        <f>'TABEL DATA'!$K$5</f>
        <v>mm</v>
      </c>
      <c r="Q74" s="42"/>
    </row>
    <row r="75" spans="1:39" ht="15" customHeight="1" x14ac:dyDescent="0.25">
      <c r="A75" s="201" t="s">
        <v>323</v>
      </c>
      <c r="B75" s="42"/>
      <c r="C75" s="317">
        <v>0</v>
      </c>
      <c r="D75" s="318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204">
        <f>O74*'TABEL DATA'!M5</f>
        <v>0</v>
      </c>
      <c r="P75" s="201" t="s">
        <v>1</v>
      </c>
      <c r="Q75" s="42"/>
    </row>
    <row r="76" spans="1:39" ht="15" customHeight="1" x14ac:dyDescent="0.25">
      <c r="A76" s="42" t="s">
        <v>325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202" t="s">
        <v>310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F53:G53"/>
    <mergeCell ref="I53:J53"/>
    <mergeCell ref="A52:B52"/>
    <mergeCell ref="D52:E52"/>
    <mergeCell ref="I52:J52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I67:J67"/>
    <mergeCell ref="I57:J57"/>
    <mergeCell ref="K57:L57"/>
    <mergeCell ref="I63:J63"/>
    <mergeCell ref="K63:L63"/>
    <mergeCell ref="M63:N63"/>
    <mergeCell ref="M57:N57"/>
    <mergeCell ref="I58:J58"/>
    <mergeCell ref="K58:L58"/>
    <mergeCell ref="M58:N58"/>
    <mergeCell ref="I59:J59"/>
    <mergeCell ref="K59:L59"/>
    <mergeCell ref="M59:N59"/>
    <mergeCell ref="I60:J60"/>
    <mergeCell ref="M68:N68"/>
    <mergeCell ref="E66:F66"/>
    <mergeCell ref="G66:H66"/>
    <mergeCell ref="I66:J66"/>
    <mergeCell ref="K66:L66"/>
    <mergeCell ref="M66:N66"/>
    <mergeCell ref="E58:F58"/>
    <mergeCell ref="G58:H58"/>
    <mergeCell ref="E59:F59"/>
    <mergeCell ref="G59:H59"/>
    <mergeCell ref="E60:F60"/>
    <mergeCell ref="G60:H60"/>
    <mergeCell ref="E61:F61"/>
    <mergeCell ref="G61:H61"/>
    <mergeCell ref="E63:F63"/>
    <mergeCell ref="G63:H63"/>
    <mergeCell ref="E65:F65"/>
    <mergeCell ref="G65:H65"/>
    <mergeCell ref="E67:F67"/>
    <mergeCell ref="E68:F68"/>
    <mergeCell ref="G68:H68"/>
    <mergeCell ref="I65:J65"/>
    <mergeCell ref="G67:H67"/>
    <mergeCell ref="M67:N67"/>
    <mergeCell ref="I68:J68"/>
    <mergeCell ref="K68:L68"/>
    <mergeCell ref="A66:B66"/>
    <mergeCell ref="A67:B67"/>
    <mergeCell ref="A68:B68"/>
    <mergeCell ref="A69:B69"/>
    <mergeCell ref="E69:F69"/>
    <mergeCell ref="G69:H69"/>
    <mergeCell ref="I69:J69"/>
    <mergeCell ref="K69:L69"/>
    <mergeCell ref="A60:B60"/>
    <mergeCell ref="A61:B61"/>
    <mergeCell ref="K67:L67"/>
    <mergeCell ref="A62:B62"/>
    <mergeCell ref="A63:B63"/>
    <mergeCell ref="A53:B53"/>
    <mergeCell ref="D53:E53"/>
    <mergeCell ref="A56:B56"/>
    <mergeCell ref="A57:B57"/>
    <mergeCell ref="A58:B58"/>
    <mergeCell ref="A59:B59"/>
    <mergeCell ref="E64:F64"/>
    <mergeCell ref="G64:H64"/>
    <mergeCell ref="I64:J64"/>
    <mergeCell ref="K64:L64"/>
    <mergeCell ref="I61:J61"/>
    <mergeCell ref="K61:L61"/>
    <mergeCell ref="E62:F62"/>
    <mergeCell ref="G62:H62"/>
    <mergeCell ref="I62:J62"/>
    <mergeCell ref="K62:L62"/>
    <mergeCell ref="A64:B64"/>
    <mergeCell ref="A65:B65"/>
    <mergeCell ref="G57:H57"/>
    <mergeCell ref="E57:F57"/>
    <mergeCell ref="F52:G52"/>
    <mergeCell ref="E39:L39"/>
    <mergeCell ref="E45:G45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A50:B50"/>
    <mergeCell ref="D50:E50"/>
    <mergeCell ref="F50:G50"/>
    <mergeCell ref="I50:J50"/>
    <mergeCell ref="A49:E49"/>
    <mergeCell ref="F49:J49"/>
    <mergeCell ref="A48:J48"/>
    <mergeCell ref="F37:G37"/>
    <mergeCell ref="C50:C51"/>
    <mergeCell ref="F6:G6"/>
    <mergeCell ref="F10:G10"/>
    <mergeCell ref="A2:F2"/>
    <mergeCell ref="G2:L2"/>
    <mergeCell ref="E3:H3"/>
    <mergeCell ref="E4:H4"/>
    <mergeCell ref="A8:L8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M69:N69"/>
    <mergeCell ref="A70:B70"/>
    <mergeCell ref="E70:F70"/>
    <mergeCell ref="G70:H70"/>
    <mergeCell ref="I70:J70"/>
    <mergeCell ref="K70:L70"/>
    <mergeCell ref="M70:N70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</mergeCells>
  <phoneticPr fontId="14" type="noConversion"/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2D050"/>
  </sheetPr>
  <dimension ref="A1:N66"/>
  <sheetViews>
    <sheetView showGridLines="0" view="pageBreakPreview" topLeftCell="A28" zoomScale="85" zoomScaleNormal="100" zoomScaleSheetLayoutView="85" workbookViewId="0">
      <selection activeCell="J50" sqref="J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3" width="8.88671875" style="45"/>
    <col min="16384" max="16384" width="8.88671875" style="45" customWidth="1"/>
  </cols>
  <sheetData>
    <row r="1" spans="1:14" ht="30" customHeight="1" x14ac:dyDescent="0.25">
      <c r="A1" s="389" t="s">
        <v>196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</row>
    <row r="2" spans="1:14" ht="13.95" customHeight="1" x14ac:dyDescent="0.25">
      <c r="A2" s="46" t="s">
        <v>20</v>
      </c>
      <c r="B2" s="390" t="s">
        <v>11</v>
      </c>
      <c r="C2" s="391" t="str">
        <f>CONCATENATE('INPUT DATA'!E11,"-",'INPUT DATA'!F11,'INPUT DATA'!G11,"-",'INPUT DATA'!H11)</f>
        <v>PAS-K25-999999</v>
      </c>
      <c r="D2" s="391"/>
      <c r="E2" s="391"/>
      <c r="F2" s="391"/>
      <c r="I2" s="47" t="s">
        <v>74</v>
      </c>
      <c r="J2" s="392" t="s">
        <v>11</v>
      </c>
      <c r="K2" s="390">
        <v>1</v>
      </c>
      <c r="L2" s="392" t="s">
        <v>42</v>
      </c>
      <c r="M2" s="392"/>
      <c r="N2" s="390">
        <v>2</v>
      </c>
    </row>
    <row r="3" spans="1:14" ht="12" customHeight="1" x14ac:dyDescent="0.25">
      <c r="A3" s="48" t="s">
        <v>18</v>
      </c>
      <c r="B3" s="390"/>
      <c r="C3" s="391"/>
      <c r="D3" s="391"/>
      <c r="E3" s="391"/>
      <c r="F3" s="391"/>
      <c r="I3" s="49" t="s">
        <v>19</v>
      </c>
      <c r="J3" s="392"/>
      <c r="K3" s="390"/>
      <c r="L3" s="393" t="s">
        <v>41</v>
      </c>
      <c r="M3" s="393"/>
      <c r="N3" s="390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378</v>
      </c>
      <c r="B5" s="390" t="s">
        <v>11</v>
      </c>
      <c r="C5" s="395" t="str">
        <f>CONCATENATE('INPUT DATA'!E10," ",'INPUT DATA'!F10," ",'INPUT DATA'!H10)</f>
        <v xml:space="preserve"> September 2025</v>
      </c>
      <c r="D5" s="395"/>
      <c r="E5" s="395"/>
      <c r="F5" s="395"/>
    </row>
    <row r="6" spans="1:14" ht="12" customHeight="1" x14ac:dyDescent="0.25">
      <c r="A6" s="48" t="s">
        <v>21</v>
      </c>
      <c r="B6" s="390"/>
      <c r="C6" s="395"/>
      <c r="D6" s="395"/>
      <c r="E6" s="395"/>
      <c r="F6" s="395"/>
    </row>
    <row r="7" spans="1:14" ht="10.199999999999999" customHeight="1" x14ac:dyDescent="0.25"/>
    <row r="8" spans="1:14" ht="13.95" customHeight="1" x14ac:dyDescent="0.25">
      <c r="A8" s="396" t="s">
        <v>24</v>
      </c>
      <c r="B8" s="396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</row>
    <row r="9" spans="1:14" ht="13.95" customHeight="1" x14ac:dyDescent="0.25">
      <c r="A9" s="397" t="s">
        <v>23</v>
      </c>
      <c r="B9" s="397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</row>
    <row r="10" spans="1:14" ht="6" customHeight="1" x14ac:dyDescent="0.25"/>
    <row r="11" spans="1:14" ht="13.95" customHeight="1" x14ac:dyDescent="0.25">
      <c r="A11" s="46" t="s">
        <v>6</v>
      </c>
      <c r="B11" s="53" t="s">
        <v>11</v>
      </c>
      <c r="C11" s="395" t="str">
        <f>CONCATENATE('INPUT DATA'!E14)</f>
        <v/>
      </c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</row>
    <row r="12" spans="1:14" ht="12" customHeight="1" x14ac:dyDescent="0.25">
      <c r="A12" s="48" t="s">
        <v>197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25</v>
      </c>
      <c r="B14" s="53" t="s">
        <v>11</v>
      </c>
      <c r="C14" s="395" t="str">
        <f>CONCATENATE('INPUT DATA'!E18)</f>
        <v/>
      </c>
      <c r="D14" s="395"/>
      <c r="E14" s="395"/>
      <c r="F14" s="395"/>
      <c r="G14" s="395"/>
      <c r="H14" s="395"/>
      <c r="I14" s="395"/>
      <c r="J14" s="395"/>
      <c r="K14" s="395"/>
      <c r="L14" s="395"/>
      <c r="M14" s="395"/>
      <c r="N14" s="395"/>
    </row>
    <row r="15" spans="1:14" ht="12" customHeight="1" x14ac:dyDescent="0.25">
      <c r="A15" s="48" t="s">
        <v>79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80</v>
      </c>
      <c r="B17" s="53" t="s">
        <v>11</v>
      </c>
      <c r="C17" s="395" t="str">
        <f>CONCATENATE('INPUT DATA'!E19,"    /   ",'INPUT DATA'!E20)</f>
        <v xml:space="preserve">    /   </v>
      </c>
      <c r="D17" s="395"/>
      <c r="E17" s="395"/>
      <c r="F17" s="395"/>
      <c r="G17" s="395"/>
      <c r="H17" s="395"/>
      <c r="I17" s="395"/>
      <c r="J17" s="395"/>
      <c r="K17" s="395"/>
      <c r="L17" s="395"/>
      <c r="M17" s="395"/>
      <c r="N17" s="395"/>
    </row>
    <row r="18" spans="1:14" ht="12" customHeight="1" x14ac:dyDescent="0.25">
      <c r="A18" s="48" t="s">
        <v>198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247</v>
      </c>
      <c r="B20" s="53" t="s">
        <v>11</v>
      </c>
      <c r="C20" s="394">
        <f>'INPUT DATA'!E21</f>
        <v>0</v>
      </c>
      <c r="D20" s="394"/>
      <c r="E20" s="394"/>
      <c r="F20" s="394"/>
      <c r="G20" s="394"/>
      <c r="H20" s="394"/>
      <c r="I20" s="394"/>
      <c r="J20" s="394"/>
      <c r="K20" s="394"/>
      <c r="L20" s="394"/>
      <c r="M20" s="394"/>
      <c r="N20" s="394"/>
    </row>
    <row r="21" spans="1:14" ht="12" customHeight="1" x14ac:dyDescent="0.25">
      <c r="A21" s="48" t="s">
        <v>248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81</v>
      </c>
      <c r="B23" s="53" t="s">
        <v>11</v>
      </c>
      <c r="C23" s="394" t="str">
        <f>CONCATENATE('INPUT DATA'!E25,"  ~  ",'INPUT DATA'!I25," ",'INPUT DATA'!K25,"    /    ",'INPUT DATA'!E27," ",'INPUT DATA'!G27)</f>
        <v xml:space="preserve">  ~   mm    /     mm</v>
      </c>
      <c r="D23" s="394"/>
      <c r="E23" s="394"/>
      <c r="F23" s="394"/>
      <c r="G23" s="394"/>
      <c r="H23" s="394"/>
      <c r="I23" s="394"/>
      <c r="J23" s="394"/>
      <c r="K23" s="394"/>
      <c r="L23" s="394"/>
      <c r="M23" s="394"/>
      <c r="N23" s="394"/>
    </row>
    <row r="24" spans="1:14" ht="12" customHeight="1" x14ac:dyDescent="0.25">
      <c r="A24" s="48" t="s">
        <v>199</v>
      </c>
      <c r="B24" s="46"/>
    </row>
    <row r="25" spans="1:14" ht="10.199999999999999" customHeight="1" x14ac:dyDescent="0.25"/>
    <row r="26" spans="1:14" ht="13.95" customHeight="1" x14ac:dyDescent="0.25">
      <c r="A26" s="396" t="s">
        <v>27</v>
      </c>
      <c r="B26" s="396"/>
      <c r="C26" s="396"/>
      <c r="D26" s="396"/>
      <c r="E26" s="396"/>
      <c r="F26" s="396"/>
      <c r="G26" s="396"/>
      <c r="H26" s="396"/>
      <c r="I26" s="396"/>
      <c r="J26" s="396"/>
      <c r="K26" s="396"/>
      <c r="L26" s="396"/>
      <c r="M26" s="396"/>
      <c r="N26" s="396"/>
    </row>
    <row r="27" spans="1:14" ht="13.95" customHeight="1" x14ac:dyDescent="0.25">
      <c r="A27" s="398" t="s">
        <v>26</v>
      </c>
      <c r="B27" s="398"/>
      <c r="C27" s="398"/>
      <c r="D27" s="398"/>
      <c r="E27" s="398"/>
      <c r="F27" s="398"/>
      <c r="G27" s="398"/>
      <c r="H27" s="398"/>
      <c r="I27" s="398"/>
      <c r="J27" s="398"/>
      <c r="K27" s="398"/>
      <c r="L27" s="398"/>
      <c r="M27" s="398"/>
      <c r="N27" s="398"/>
    </row>
    <row r="28" spans="1:14" ht="6" customHeight="1" x14ac:dyDescent="0.25"/>
    <row r="29" spans="1:14" ht="13.95" customHeight="1" x14ac:dyDescent="0.25">
      <c r="A29" s="46" t="s">
        <v>29</v>
      </c>
      <c r="B29" s="46" t="s">
        <v>11</v>
      </c>
      <c r="C29" s="391" t="str">
        <f>CONCATENATE('INPUT DATA'!E30)</f>
        <v/>
      </c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</row>
    <row r="30" spans="1:14" ht="12" customHeight="1" x14ac:dyDescent="0.25">
      <c r="A30" s="48" t="s">
        <v>28</v>
      </c>
      <c r="B30" s="46"/>
      <c r="C30" s="391" t="str">
        <f>CONCATENATE('INPUT DATA'!E31)</f>
        <v/>
      </c>
      <c r="D30" s="391"/>
      <c r="E30" s="391"/>
      <c r="F30" s="391"/>
      <c r="G30" s="391"/>
      <c r="H30" s="391"/>
      <c r="I30" s="391"/>
      <c r="J30" s="391"/>
      <c r="K30" s="391"/>
      <c r="L30" s="391"/>
      <c r="M30" s="391"/>
      <c r="N30" s="391"/>
    </row>
    <row r="31" spans="1:14" ht="6" customHeight="1" x14ac:dyDescent="0.25">
      <c r="A31" s="48"/>
      <c r="B31" s="46"/>
    </row>
    <row r="32" spans="1:14" ht="13.95" customHeight="1" x14ac:dyDescent="0.25">
      <c r="A32" s="46" t="s">
        <v>31</v>
      </c>
      <c r="B32" s="46" t="s">
        <v>11</v>
      </c>
      <c r="C32" s="395" t="str">
        <f>CONCATENATE('INPUT DATA'!E33)</f>
        <v/>
      </c>
      <c r="D32" s="395"/>
      <c r="E32" s="395"/>
      <c r="F32" s="395"/>
      <c r="G32" s="395"/>
      <c r="H32" s="395"/>
      <c r="I32" s="395"/>
      <c r="J32" s="395"/>
      <c r="K32" s="395"/>
      <c r="L32" s="395"/>
      <c r="M32" s="395"/>
      <c r="N32" s="395"/>
    </row>
    <row r="33" spans="1:14" ht="12" customHeight="1" x14ac:dyDescent="0.25">
      <c r="A33" s="48" t="s">
        <v>30</v>
      </c>
      <c r="B33" s="46"/>
      <c r="C33" s="395" t="str">
        <f>CONCATENATE('INPUT DATA'!E34)</f>
        <v/>
      </c>
      <c r="D33" s="395"/>
      <c r="E33" s="395"/>
      <c r="F33" s="395"/>
      <c r="G33" s="395"/>
      <c r="H33" s="395"/>
      <c r="I33" s="395"/>
      <c r="J33" s="395"/>
      <c r="K33" s="395"/>
      <c r="L33" s="395"/>
      <c r="M33" s="395"/>
      <c r="N33" s="395"/>
    </row>
    <row r="34" spans="1:14" ht="10.199999999999999" customHeight="1" x14ac:dyDescent="0.25"/>
    <row r="35" spans="1:14" ht="13.95" customHeight="1" x14ac:dyDescent="0.25">
      <c r="A35" s="396" t="s">
        <v>33</v>
      </c>
      <c r="B35" s="396"/>
      <c r="C35" s="396"/>
      <c r="D35" s="396"/>
      <c r="E35" s="396"/>
      <c r="F35" s="396"/>
      <c r="G35" s="396"/>
      <c r="H35" s="396"/>
      <c r="I35" s="396"/>
      <c r="J35" s="396"/>
      <c r="K35" s="396"/>
      <c r="L35" s="396"/>
      <c r="M35" s="396"/>
      <c r="N35" s="396"/>
    </row>
    <row r="36" spans="1:14" ht="13.95" customHeight="1" x14ac:dyDescent="0.25">
      <c r="A36" s="398" t="s">
        <v>32</v>
      </c>
      <c r="B36" s="398"/>
      <c r="C36" s="398"/>
      <c r="D36" s="398"/>
      <c r="E36" s="398"/>
      <c r="F36" s="398"/>
      <c r="G36" s="398"/>
      <c r="H36" s="398"/>
      <c r="I36" s="398"/>
      <c r="J36" s="398"/>
      <c r="K36" s="398"/>
      <c r="L36" s="398"/>
      <c r="M36" s="398"/>
      <c r="N36" s="398"/>
    </row>
    <row r="37" spans="1:14" ht="6" customHeight="1" x14ac:dyDescent="0.25"/>
    <row r="38" spans="1:14" ht="13.95" customHeight="1" x14ac:dyDescent="0.25">
      <c r="A38" s="46" t="s">
        <v>35</v>
      </c>
      <c r="B38" s="46" t="s">
        <v>11</v>
      </c>
      <c r="C38" s="395" t="str">
        <f>'INPUT DATA'!E3</f>
        <v>PAS-IK-1102-02</v>
      </c>
      <c r="D38" s="395"/>
      <c r="E38" s="395"/>
      <c r="F38" s="395"/>
      <c r="G38" s="395"/>
      <c r="H38" s="395"/>
      <c r="I38" s="395"/>
      <c r="J38" s="395"/>
      <c r="K38" s="395"/>
      <c r="L38" s="395"/>
      <c r="M38" s="395"/>
      <c r="N38" s="395"/>
    </row>
    <row r="39" spans="1:14" ht="12" customHeight="1" x14ac:dyDescent="0.25">
      <c r="A39" s="48" t="s">
        <v>34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37</v>
      </c>
      <c r="B41" s="46" t="s">
        <v>11</v>
      </c>
      <c r="C41" s="395" t="str">
        <f>'INPUT DATA'!E4</f>
        <v>JIS B 7502:2016 (JMA/JSA); SNSU PK.P-01:2020.</v>
      </c>
      <c r="D41" s="395"/>
      <c r="E41" s="395"/>
      <c r="F41" s="395"/>
      <c r="G41" s="395"/>
      <c r="H41" s="395"/>
      <c r="I41" s="395"/>
      <c r="J41" s="395"/>
      <c r="K41" s="395"/>
      <c r="L41" s="395"/>
      <c r="M41" s="395"/>
      <c r="N41" s="395"/>
    </row>
    <row r="42" spans="1:14" ht="12" customHeight="1" x14ac:dyDescent="0.25">
      <c r="A42" s="48" t="s">
        <v>36</v>
      </c>
      <c r="B42" s="46"/>
      <c r="C42" s="398"/>
      <c r="D42" s="398"/>
      <c r="E42" s="398"/>
      <c r="F42" s="398"/>
      <c r="G42" s="398"/>
      <c r="H42" s="398"/>
      <c r="I42" s="398"/>
      <c r="J42" s="398"/>
      <c r="K42" s="398"/>
      <c r="L42" s="398"/>
      <c r="M42" s="398"/>
      <c r="N42" s="398"/>
    </row>
    <row r="43" spans="1:14" ht="6" customHeight="1" x14ac:dyDescent="0.25">
      <c r="A43" s="48"/>
      <c r="B43" s="46"/>
    </row>
    <row r="44" spans="1:14" ht="13.95" customHeight="1" x14ac:dyDescent="0.25">
      <c r="A44" s="46" t="s">
        <v>39</v>
      </c>
      <c r="B44" s="46" t="s">
        <v>11</v>
      </c>
      <c r="C44" s="400" t="str">
        <f>"Gauge Block, Grade 0, "&amp;'Pilih Standar'!CU16</f>
        <v>Gauge Block, Grade 0, Mitutoyo, 516-106-10, S/N. 1103008.</v>
      </c>
      <c r="D44" s="400"/>
      <c r="E44" s="400"/>
      <c r="F44" s="400"/>
      <c r="G44" s="400"/>
      <c r="H44" s="400"/>
      <c r="I44" s="400"/>
      <c r="J44" s="400"/>
      <c r="K44" s="400"/>
      <c r="L44" s="400"/>
      <c r="M44" s="400"/>
      <c r="N44" s="400"/>
    </row>
    <row r="45" spans="1:14" ht="15.6" customHeight="1" x14ac:dyDescent="0.25">
      <c r="A45" s="192" t="s">
        <v>38</v>
      </c>
      <c r="B45" s="46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M45" s="400"/>
      <c r="N45" s="400"/>
    </row>
    <row r="46" spans="1:14" ht="6" customHeight="1" x14ac:dyDescent="0.25">
      <c r="A46" s="48"/>
      <c r="B46" s="46"/>
    </row>
    <row r="47" spans="1:14" ht="13.95" customHeight="1" x14ac:dyDescent="0.25">
      <c r="A47" s="46" t="s">
        <v>82</v>
      </c>
      <c r="B47" s="46" t="s">
        <v>11</v>
      </c>
      <c r="C47" s="400" t="str">
        <f>"Hasil kalibrasi yang dilaporkan tertelusur ke SI melalui "&amp;'Pilih Standar'!BZ16</f>
        <v>Hasil kalibrasi yang dilaporkan tertelusur ke SI melalui LK-066-IDN.</v>
      </c>
      <c r="D47" s="400"/>
      <c r="E47" s="400"/>
      <c r="F47" s="400"/>
      <c r="G47" s="400"/>
      <c r="H47" s="400"/>
      <c r="I47" s="400"/>
      <c r="J47" s="400"/>
      <c r="K47" s="400"/>
      <c r="L47" s="400"/>
      <c r="M47" s="400"/>
      <c r="N47" s="400"/>
    </row>
    <row r="48" spans="1:14" ht="17.399999999999999" customHeight="1" x14ac:dyDescent="0.25">
      <c r="A48" s="192" t="s">
        <v>40</v>
      </c>
      <c r="B48" s="46"/>
      <c r="C48" s="400"/>
      <c r="D48" s="400"/>
      <c r="E48" s="400"/>
      <c r="F48" s="400"/>
      <c r="G48" s="400"/>
      <c r="H48" s="400"/>
      <c r="I48" s="400"/>
      <c r="J48" s="400"/>
      <c r="K48" s="400"/>
      <c r="L48" s="400"/>
      <c r="M48" s="400"/>
      <c r="N48" s="400"/>
    </row>
    <row r="50" spans="1:14" ht="117.6" customHeight="1" x14ac:dyDescent="0.25">
      <c r="I50" s="301" t="str">
        <f>C66</f>
        <v>https://pascalibration.com/PAS-K25-999999--|Signed and Approved by M. Iqbal Fauzi</v>
      </c>
      <c r="J50" s="301"/>
      <c r="K50" s="301"/>
      <c r="L50" s="301"/>
      <c r="M50" s="301"/>
    </row>
    <row r="51" spans="1:14" ht="13.95" customHeight="1" x14ac:dyDescent="0.25">
      <c r="H51" s="301"/>
      <c r="I51" s="301"/>
      <c r="J51" s="301"/>
      <c r="K51" s="301"/>
      <c r="L51" s="301"/>
      <c r="M51" s="301"/>
    </row>
    <row r="52" spans="1:14" ht="13.95" customHeight="1" x14ac:dyDescent="0.25">
      <c r="H52" s="301"/>
      <c r="I52" s="301"/>
      <c r="J52" s="301"/>
      <c r="K52" s="301"/>
      <c r="L52" s="301"/>
      <c r="M52" s="301"/>
    </row>
    <row r="53" spans="1:14" ht="13.8" hidden="1" customHeight="1" x14ac:dyDescent="0.25">
      <c r="H53" s="301"/>
      <c r="I53" s="301"/>
      <c r="J53" s="301"/>
      <c r="K53" s="301"/>
      <c r="L53" s="301"/>
      <c r="M53" s="301"/>
    </row>
    <row r="54" spans="1:14" ht="13.95" hidden="1" customHeight="1" x14ac:dyDescent="0.25">
      <c r="H54" s="301"/>
      <c r="I54" s="301"/>
      <c r="J54" s="301"/>
      <c r="K54" s="301"/>
      <c r="L54" s="301"/>
      <c r="M54" s="301"/>
    </row>
    <row r="55" spans="1:14" ht="13.95" hidden="1" customHeight="1" x14ac:dyDescent="0.25">
      <c r="H55" s="301"/>
      <c r="I55" s="301"/>
      <c r="J55" s="301"/>
      <c r="K55" s="301"/>
      <c r="L55" s="301"/>
      <c r="M55" s="301"/>
    </row>
    <row r="56" spans="1:14" ht="13.95" hidden="1" customHeight="1" x14ac:dyDescent="0.25">
      <c r="H56" s="301"/>
      <c r="I56" s="301"/>
      <c r="J56" s="301"/>
      <c r="K56" s="301"/>
      <c r="L56" s="301"/>
      <c r="M56" s="301"/>
    </row>
    <row r="57" spans="1:14" ht="13.95" hidden="1" customHeight="1" x14ac:dyDescent="0.25">
      <c r="H57" s="301"/>
      <c r="I57" s="301"/>
      <c r="J57" s="301"/>
      <c r="K57" s="301"/>
      <c r="L57" s="301"/>
      <c r="M57" s="301"/>
    </row>
    <row r="58" spans="1:14" ht="13.95" hidden="1" customHeight="1" x14ac:dyDescent="0.25">
      <c r="H58" s="301">
        <f>C74</f>
        <v>0</v>
      </c>
    </row>
    <row r="59" spans="1:14" ht="13.95" customHeight="1" x14ac:dyDescent="0.25">
      <c r="A59" s="294"/>
      <c r="B59" s="295"/>
      <c r="C59" s="295"/>
      <c r="D59" s="295"/>
      <c r="E59" s="295"/>
      <c r="F59" s="295"/>
      <c r="G59" s="296"/>
      <c r="H59" s="297" t="str">
        <f>"Signed and Approved by "&amp; J59</f>
        <v>Signed and Approved by M. Iqbal Fauzi</v>
      </c>
      <c r="I59" s="295"/>
      <c r="J59" s="399" t="s">
        <v>244</v>
      </c>
      <c r="K59" s="399"/>
      <c r="L59" s="399"/>
      <c r="M59" s="399"/>
      <c r="N59" s="399"/>
    </row>
    <row r="60" spans="1:14" ht="13.95" customHeight="1" x14ac:dyDescent="0.25">
      <c r="A60" s="294"/>
      <c r="B60" s="295"/>
      <c r="C60" s="295"/>
      <c r="D60" s="295"/>
      <c r="E60" s="295"/>
      <c r="F60" s="295"/>
      <c r="G60" s="296"/>
      <c r="H60" s="298" t="s">
        <v>243</v>
      </c>
      <c r="I60" s="295"/>
      <c r="J60" s="295"/>
      <c r="K60" s="295"/>
      <c r="L60" s="295"/>
      <c r="M60" s="295"/>
      <c r="N60" s="295"/>
    </row>
    <row r="61" spans="1:14" ht="13.95" customHeight="1" x14ac:dyDescent="0.25">
      <c r="A61" s="294"/>
      <c r="B61" s="295"/>
      <c r="C61" s="295"/>
      <c r="D61" s="295"/>
      <c r="E61" s="295"/>
      <c r="F61" s="295"/>
      <c r="G61" s="296"/>
      <c r="H61" s="298" t="s">
        <v>244</v>
      </c>
      <c r="I61" s="295"/>
      <c r="J61" s="295"/>
      <c r="K61" s="295"/>
      <c r="L61" s="295"/>
      <c r="M61" s="295"/>
      <c r="N61" s="295"/>
    </row>
    <row r="62" spans="1:14" ht="13.95" customHeight="1" x14ac:dyDescent="0.25">
      <c r="A62" s="294"/>
      <c r="B62" s="295"/>
      <c r="C62" s="295"/>
      <c r="D62" s="295"/>
      <c r="E62" s="295"/>
      <c r="F62" s="295"/>
      <c r="G62" s="296"/>
      <c r="H62" s="298" t="s">
        <v>245</v>
      </c>
      <c r="I62" s="295"/>
      <c r="J62" s="295"/>
      <c r="K62" s="295"/>
      <c r="L62" s="295"/>
      <c r="M62" s="295"/>
      <c r="N62" s="295"/>
    </row>
    <row r="63" spans="1:14" ht="13.95" customHeight="1" x14ac:dyDescent="0.25">
      <c r="A63" s="299" t="s">
        <v>392</v>
      </c>
      <c r="B63" s="299"/>
      <c r="C63" s="300" t="s">
        <v>393</v>
      </c>
      <c r="D63" s="299"/>
      <c r="E63" s="299"/>
      <c r="F63" s="299"/>
      <c r="G63" s="299"/>
      <c r="H63" s="299"/>
      <c r="I63" s="299"/>
      <c r="J63" s="296"/>
      <c r="K63" s="299"/>
      <c r="L63" s="299"/>
      <c r="M63" s="299"/>
      <c r="N63" s="299"/>
    </row>
    <row r="64" spans="1:14" ht="13.95" customHeight="1" x14ac:dyDescent="0.25">
      <c r="A64" s="299" t="s">
        <v>394</v>
      </c>
      <c r="B64" s="299"/>
      <c r="C64" s="299" t="str">
        <f>C2</f>
        <v>PAS-K25-999999</v>
      </c>
      <c r="D64" s="299"/>
      <c r="E64" s="299"/>
      <c r="F64" s="299"/>
      <c r="G64" s="299"/>
      <c r="H64" s="299"/>
      <c r="I64" s="299"/>
      <c r="J64" s="296"/>
      <c r="K64" s="299"/>
      <c r="L64" s="299"/>
      <c r="M64" s="299"/>
      <c r="N64" s="299"/>
    </row>
    <row r="65" spans="1:14" ht="13.95" customHeight="1" x14ac:dyDescent="0.25">
      <c r="A65" s="299" t="s">
        <v>395</v>
      </c>
      <c r="B65" s="299"/>
      <c r="C65" s="299" t="str">
        <f>_xlfn.VALUETOTEXT(C64&amp;"-"&amp;UPPER(C11)&amp;"-"&amp;C29&amp;IF(C30&lt;&gt;""," ("&amp;C30&amp;")",""))</f>
        <v>PAS-K25-999999--</v>
      </c>
      <c r="D65" s="299"/>
      <c r="E65" s="299"/>
      <c r="F65" s="299"/>
      <c r="G65" s="299"/>
      <c r="H65" s="299"/>
      <c r="I65" s="299"/>
      <c r="J65" s="299"/>
      <c r="K65" s="299"/>
      <c r="L65" s="299"/>
      <c r="M65" s="299"/>
      <c r="N65" s="299"/>
    </row>
    <row r="66" spans="1:14" ht="13.95" customHeight="1" x14ac:dyDescent="0.25">
      <c r="A66" s="299" t="s">
        <v>396</v>
      </c>
      <c r="B66" s="299"/>
      <c r="C66" s="299" t="str">
        <f>C63&amp;C65&amp;"|"&amp;H59</f>
        <v>https://pascalibration.com/PAS-K25-999999--|Signed and Approved by M. Iqbal Fauzi</v>
      </c>
      <c r="D66" s="299"/>
      <c r="E66" s="299"/>
      <c r="F66" s="299"/>
      <c r="G66" s="299"/>
      <c r="H66" s="299"/>
      <c r="I66" s="299"/>
      <c r="J66" s="299"/>
      <c r="K66" s="299"/>
      <c r="L66" s="299"/>
      <c r="M66" s="299"/>
      <c r="N66" s="299"/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99F288E5-9F57-4020-BF54-A5F1C4A419D7}">
      <formula1>$H$60:$H$62</formula1>
    </dataValidation>
  </dataValidations>
  <hyperlinks>
    <hyperlink ref="C63" r:id="rId1" xr:uid="{5E61073C-4F38-4F45-A05E-9CD9B382EC1E}"/>
  </hyperlinks>
  <printOptions horizontalCentered="1"/>
  <pageMargins left="0" right="0" top="1.1023622047244095" bottom="0.78740157480314965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99"/>
  </sheetPr>
  <dimension ref="A1:XEY114"/>
  <sheetViews>
    <sheetView zoomScaleNormal="100"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59" hidden="1" customWidth="1"/>
    <col min="3" max="3" width="5.6640625" style="15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35" customWidth="1"/>
    <col min="25" max="25" width="6.6640625" style="235" customWidth="1"/>
    <col min="26" max="26" width="10.5546875" style="23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1" max="101" width="0" hidden="1" customWidth="1"/>
    <col min="102" max="16379" width="8.88671875" hidden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205" t="s">
        <v>271</v>
      </c>
      <c r="B1" s="206"/>
      <c r="C1" s="206"/>
      <c r="D1" s="205"/>
      <c r="E1" s="207"/>
      <c r="F1" s="207"/>
      <c r="G1" s="207"/>
      <c r="H1" s="207"/>
      <c r="I1" s="207"/>
      <c r="J1" s="207"/>
      <c r="K1" s="207"/>
      <c r="L1" s="205" t="s">
        <v>285</v>
      </c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5" t="s">
        <v>286</v>
      </c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5" t="s">
        <v>287</v>
      </c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5" t="s">
        <v>291</v>
      </c>
      <c r="BI1" s="207"/>
      <c r="BJ1" s="207"/>
      <c r="BK1" s="207"/>
      <c r="BL1" s="207"/>
      <c r="BM1" s="207"/>
      <c r="BN1" s="207"/>
      <c r="BO1" s="207"/>
      <c r="BP1" s="207"/>
      <c r="BQ1" s="207"/>
      <c r="BR1" s="207"/>
      <c r="BS1" s="207"/>
      <c r="BT1" s="207"/>
      <c r="BU1" s="207"/>
      <c r="BV1" s="207"/>
      <c r="BW1" s="207"/>
      <c r="BX1" s="207"/>
      <c r="BY1" s="207"/>
      <c r="BZ1" s="207"/>
      <c r="CA1" s="207"/>
      <c r="CB1" s="207"/>
      <c r="CC1" s="205" t="s">
        <v>301</v>
      </c>
      <c r="CD1" s="207"/>
      <c r="CE1" s="207"/>
      <c r="CF1" s="207"/>
      <c r="CG1" s="207"/>
      <c r="CH1" s="207"/>
      <c r="CI1" s="207"/>
      <c r="CJ1" s="207"/>
      <c r="CK1" s="207"/>
      <c r="CL1" s="207"/>
      <c r="CM1" s="207"/>
      <c r="CN1" s="207"/>
      <c r="CO1" s="207"/>
      <c r="CP1" s="207"/>
      <c r="CQ1" s="207"/>
      <c r="CR1" s="207"/>
      <c r="CS1" s="207"/>
      <c r="CT1" s="207"/>
      <c r="CU1" s="207"/>
      <c r="CV1" s="207"/>
      <c r="CW1" s="207"/>
    </row>
    <row r="2" spans="1:101" x14ac:dyDescent="0.3">
      <c r="A2" s="207" t="s">
        <v>272</v>
      </c>
      <c r="B2" s="208"/>
      <c r="C2" s="208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07"/>
      <c r="AH2" s="207"/>
      <c r="AI2" s="207"/>
      <c r="AJ2" s="207"/>
      <c r="AK2" s="207"/>
      <c r="AL2" s="207"/>
      <c r="AM2" s="207"/>
      <c r="AN2" s="207"/>
      <c r="AO2" s="207"/>
      <c r="AP2" s="207"/>
      <c r="AQ2" s="207"/>
      <c r="AR2" s="207"/>
      <c r="AS2" s="207"/>
      <c r="AT2" s="207"/>
      <c r="AU2" s="207"/>
      <c r="AV2" s="207"/>
      <c r="AW2" s="207"/>
      <c r="AX2" s="207"/>
      <c r="AY2" s="207"/>
      <c r="AZ2" s="207"/>
      <c r="BA2" s="207"/>
      <c r="BB2" s="207"/>
      <c r="BC2" s="207"/>
      <c r="BD2" s="207"/>
      <c r="BE2" s="207"/>
      <c r="BF2" s="207"/>
      <c r="BG2" s="207"/>
      <c r="BH2" s="207"/>
      <c r="BI2" s="207"/>
      <c r="BJ2" s="207"/>
      <c r="BK2" s="207"/>
      <c r="BL2" s="207"/>
      <c r="BM2" s="207"/>
      <c r="BN2" s="207"/>
      <c r="BO2" s="207"/>
      <c r="BP2" s="207"/>
      <c r="BQ2" s="207"/>
      <c r="BR2" s="207"/>
      <c r="BS2" s="207"/>
      <c r="BT2" s="207"/>
      <c r="BU2" s="207"/>
      <c r="BV2" s="207"/>
      <c r="BW2" s="207"/>
      <c r="BX2" s="207"/>
      <c r="BY2" s="207"/>
      <c r="BZ2" s="207"/>
      <c r="CA2" s="207"/>
      <c r="CB2" s="207"/>
      <c r="CC2" s="207"/>
      <c r="CD2" s="207"/>
      <c r="CE2" s="207"/>
      <c r="CF2" s="207"/>
      <c r="CG2" s="207"/>
      <c r="CH2" s="207"/>
      <c r="CI2" s="207"/>
      <c r="CJ2" s="207"/>
      <c r="CK2" s="207"/>
      <c r="CL2" s="207"/>
      <c r="CM2" s="207"/>
      <c r="CN2" s="207"/>
      <c r="CO2" s="207"/>
      <c r="CP2" s="207"/>
      <c r="CQ2" s="207"/>
      <c r="CR2" s="207"/>
      <c r="CS2" s="207"/>
      <c r="CT2" s="207"/>
      <c r="CU2" s="207"/>
      <c r="CV2" s="207"/>
      <c r="CW2" s="207"/>
    </row>
    <row r="3" spans="1:101" x14ac:dyDescent="0.3">
      <c r="A3" s="207"/>
      <c r="B3" s="208"/>
      <c r="C3" s="208"/>
      <c r="D3" s="207"/>
      <c r="E3" s="207"/>
      <c r="F3" s="207"/>
      <c r="G3" s="207"/>
      <c r="H3" s="207"/>
      <c r="I3" s="207"/>
      <c r="J3" s="207"/>
      <c r="K3" s="207"/>
      <c r="L3" s="210">
        <v>1</v>
      </c>
      <c r="M3" s="210">
        <v>2</v>
      </c>
      <c r="N3" s="210">
        <v>3</v>
      </c>
      <c r="O3" s="210">
        <v>4</v>
      </c>
      <c r="P3" s="210">
        <v>5</v>
      </c>
      <c r="Q3" s="210">
        <v>6</v>
      </c>
      <c r="R3" s="210">
        <v>7</v>
      </c>
      <c r="S3" s="210">
        <v>8</v>
      </c>
      <c r="T3" s="210">
        <v>9</v>
      </c>
      <c r="U3" s="210">
        <v>10</v>
      </c>
      <c r="V3" s="210">
        <v>11</v>
      </c>
      <c r="W3" s="210">
        <v>12</v>
      </c>
      <c r="X3" s="210">
        <v>13</v>
      </c>
      <c r="Y3" s="210">
        <v>14</v>
      </c>
      <c r="Z3" s="210">
        <v>15</v>
      </c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207"/>
      <c r="BH3" s="207"/>
      <c r="BI3" s="207"/>
      <c r="BJ3" s="207"/>
      <c r="BK3" s="207"/>
      <c r="BL3" s="207"/>
      <c r="BM3" s="207"/>
      <c r="BN3" s="207"/>
      <c r="BO3" s="207"/>
      <c r="BP3" s="207"/>
      <c r="BQ3" s="207"/>
      <c r="BR3" s="207"/>
      <c r="BS3" s="207"/>
      <c r="BT3" s="207"/>
      <c r="BU3" s="207"/>
      <c r="BV3" s="207"/>
      <c r="BW3" s="207"/>
      <c r="BX3" s="207"/>
      <c r="BY3" s="207"/>
      <c r="BZ3" s="207"/>
      <c r="CA3" s="207"/>
      <c r="CB3" s="207"/>
      <c r="CC3" s="207"/>
      <c r="CD3" s="207"/>
      <c r="CE3" s="207"/>
      <c r="CF3" s="207"/>
      <c r="CG3" s="207"/>
      <c r="CH3" s="207"/>
      <c r="CI3" s="207"/>
      <c r="CJ3" s="207"/>
      <c r="CK3" s="207"/>
      <c r="CL3" s="207"/>
      <c r="CM3" s="207"/>
      <c r="CN3" s="207"/>
      <c r="CO3" s="207"/>
      <c r="CP3" s="207"/>
      <c r="CQ3" s="207"/>
      <c r="CR3" s="207"/>
      <c r="CS3" s="207"/>
      <c r="CT3" s="207"/>
      <c r="CU3" s="207"/>
      <c r="CV3" s="207"/>
      <c r="CW3" s="207"/>
    </row>
    <row r="4" spans="1:101" x14ac:dyDescent="0.3">
      <c r="A4" s="404" t="s">
        <v>280</v>
      </c>
      <c r="B4" s="406" t="s">
        <v>295</v>
      </c>
      <c r="C4" s="406" t="s">
        <v>381</v>
      </c>
      <c r="D4" s="209" t="s">
        <v>279</v>
      </c>
      <c r="E4" s="209" t="s">
        <v>43</v>
      </c>
      <c r="F4" s="209" t="s">
        <v>273</v>
      </c>
      <c r="G4" s="209" t="s">
        <v>275</v>
      </c>
      <c r="H4" s="209" t="s">
        <v>211</v>
      </c>
      <c r="I4" s="209" t="s">
        <v>277</v>
      </c>
      <c r="J4" s="209" t="s">
        <v>278</v>
      </c>
      <c r="K4" s="247" t="s">
        <v>351</v>
      </c>
      <c r="L4" s="211">
        <f>'INPUT DATA'!$A58</f>
        <v>0</v>
      </c>
      <c r="M4" s="211">
        <f>'INPUT DATA'!$A59</f>
        <v>0</v>
      </c>
      <c r="N4" s="211">
        <f>'INPUT DATA'!$A60</f>
        <v>0</v>
      </c>
      <c r="O4" s="211">
        <f>'INPUT DATA'!$A61</f>
        <v>0</v>
      </c>
      <c r="P4" s="211">
        <f>'INPUT DATA'!$A62</f>
        <v>0</v>
      </c>
      <c r="Q4" s="211">
        <f>'INPUT DATA'!$A63</f>
        <v>0</v>
      </c>
      <c r="R4" s="211">
        <f>'INPUT DATA'!$A64</f>
        <v>0</v>
      </c>
      <c r="S4" s="211">
        <f>'INPUT DATA'!$A65</f>
        <v>0</v>
      </c>
      <c r="T4" s="211">
        <f>'INPUT DATA'!$A66</f>
        <v>0</v>
      </c>
      <c r="U4" s="211">
        <f>'INPUT DATA'!$A67</f>
        <v>0</v>
      </c>
      <c r="V4" s="211">
        <f>'INPUT DATA'!$A68</f>
        <v>0</v>
      </c>
      <c r="W4" s="211">
        <f>'INPUT DATA'!$A69</f>
        <v>0</v>
      </c>
      <c r="X4" s="211">
        <f>'INPUT DATA'!$A70</f>
        <v>0</v>
      </c>
      <c r="Y4" s="211">
        <f>'INPUT DATA'!$A71</f>
        <v>0</v>
      </c>
      <c r="Z4" s="21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84" t="s">
        <v>283</v>
      </c>
      <c r="BY4" s="185">
        <f>COUNTIF($BH$6:$BV$54,BX4)</f>
        <v>0</v>
      </c>
      <c r="BZ4" s="185" t="str">
        <f>IF(BY4&gt;0,BX4,"")</f>
        <v/>
      </c>
      <c r="CA4" s="185" t="str">
        <f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66" t="s">
        <v>296</v>
      </c>
      <c r="CT4" s="185">
        <f>COUNTIF($CC$6:$CQ$54,CS4)</f>
        <v>10</v>
      </c>
      <c r="CU4" s="185" t="str">
        <f>IF(CT4&gt;0,CS4,"")</f>
        <v>Mitutoyo, 516-106-10, S/N. 1103008</v>
      </c>
      <c r="CV4" s="184" t="str">
        <f>IF(CU4="","",CU4&amp;"; ")</f>
        <v xml:space="preserve">Mitutoyo, 516-106-10, S/N. 1103008; </v>
      </c>
    </row>
    <row r="5" spans="1:101" x14ac:dyDescent="0.3">
      <c r="A5" s="405"/>
      <c r="B5" s="407"/>
      <c r="C5" s="407"/>
      <c r="D5" s="210"/>
      <c r="E5" s="210" t="s">
        <v>9</v>
      </c>
      <c r="F5" s="210" t="s">
        <v>274</v>
      </c>
      <c r="G5" s="210" t="s">
        <v>9</v>
      </c>
      <c r="H5" s="210" t="s">
        <v>274</v>
      </c>
      <c r="I5" s="210"/>
      <c r="J5" s="210"/>
      <c r="K5" s="247" t="s">
        <v>352</v>
      </c>
      <c r="L5" s="249">
        <f>AB58</f>
        <v>0</v>
      </c>
      <c r="M5" s="249">
        <f t="shared" ref="M5:Z5" si="0">AC58</f>
        <v>2.5000499999999999</v>
      </c>
      <c r="N5" s="249">
        <f t="shared" si="0"/>
        <v>5.1000899999999998</v>
      </c>
      <c r="O5" s="249">
        <f t="shared" si="0"/>
        <v>7.6998899999999999</v>
      </c>
      <c r="P5" s="249">
        <f t="shared" si="0"/>
        <v>10.299930000000002</v>
      </c>
      <c r="Q5" s="249">
        <f t="shared" si="0"/>
        <v>12.89992</v>
      </c>
      <c r="R5" s="249">
        <f t="shared" si="0"/>
        <v>14.999969999999999</v>
      </c>
      <c r="S5" s="249">
        <f t="shared" si="0"/>
        <v>17.599920000000001</v>
      </c>
      <c r="T5" s="249">
        <f t="shared" si="0"/>
        <v>20.199909999999999</v>
      </c>
      <c r="U5" s="249">
        <f t="shared" si="0"/>
        <v>22.799890000000001</v>
      </c>
      <c r="V5" s="249">
        <f t="shared" si="0"/>
        <v>25.000080000000001</v>
      </c>
      <c r="W5" s="249">
        <f t="shared" si="0"/>
        <v>0</v>
      </c>
      <c r="X5" s="249">
        <f t="shared" si="0"/>
        <v>0</v>
      </c>
      <c r="Y5" s="249">
        <f t="shared" si="0"/>
        <v>0</v>
      </c>
      <c r="Z5" s="249">
        <f t="shared" si="0"/>
        <v>0</v>
      </c>
      <c r="AB5" s="182">
        <f t="shared" ref="AB5:AP5" si="1">L4</f>
        <v>0</v>
      </c>
      <c r="AC5" s="182">
        <f t="shared" si="1"/>
        <v>0</v>
      </c>
      <c r="AD5" s="182">
        <f t="shared" si="1"/>
        <v>0</v>
      </c>
      <c r="AE5" s="182">
        <f t="shared" si="1"/>
        <v>0</v>
      </c>
      <c r="AF5" s="182">
        <f t="shared" si="1"/>
        <v>0</v>
      </c>
      <c r="AG5" s="182">
        <f t="shared" si="1"/>
        <v>0</v>
      </c>
      <c r="AH5" s="182">
        <f t="shared" si="1"/>
        <v>0</v>
      </c>
      <c r="AI5" s="182">
        <f t="shared" si="1"/>
        <v>0</v>
      </c>
      <c r="AJ5" s="182">
        <f t="shared" si="1"/>
        <v>0</v>
      </c>
      <c r="AK5" s="182">
        <f t="shared" si="1"/>
        <v>0</v>
      </c>
      <c r="AL5" s="182">
        <f t="shared" si="1"/>
        <v>0</v>
      </c>
      <c r="AM5" s="182">
        <f t="shared" si="1"/>
        <v>0</v>
      </c>
      <c r="AN5" s="182">
        <f t="shared" si="1"/>
        <v>0</v>
      </c>
      <c r="AO5" s="182">
        <f t="shared" si="1"/>
        <v>0</v>
      </c>
      <c r="AP5" s="182">
        <f t="shared" si="1"/>
        <v>0</v>
      </c>
      <c r="AR5" s="182">
        <f t="shared" ref="AR5:BF5" si="2">L4</f>
        <v>0</v>
      </c>
      <c r="AS5" s="182">
        <f t="shared" si="2"/>
        <v>0</v>
      </c>
      <c r="AT5" s="182">
        <f t="shared" si="2"/>
        <v>0</v>
      </c>
      <c r="AU5" s="182">
        <f t="shared" si="2"/>
        <v>0</v>
      </c>
      <c r="AV5" s="182">
        <f t="shared" si="2"/>
        <v>0</v>
      </c>
      <c r="AW5" s="182">
        <f t="shared" si="2"/>
        <v>0</v>
      </c>
      <c r="AX5" s="182">
        <f t="shared" si="2"/>
        <v>0</v>
      </c>
      <c r="AY5" s="182">
        <f t="shared" si="2"/>
        <v>0</v>
      </c>
      <c r="AZ5" s="182">
        <f t="shared" si="2"/>
        <v>0</v>
      </c>
      <c r="BA5" s="182">
        <f t="shared" si="2"/>
        <v>0</v>
      </c>
      <c r="BB5" s="182">
        <f t="shared" si="2"/>
        <v>0</v>
      </c>
      <c r="BC5" s="182">
        <f t="shared" si="2"/>
        <v>0</v>
      </c>
      <c r="BD5" s="182">
        <f t="shared" si="2"/>
        <v>0</v>
      </c>
      <c r="BE5" s="182">
        <f t="shared" si="2"/>
        <v>0</v>
      </c>
      <c r="BF5" s="182">
        <f t="shared" si="2"/>
        <v>0</v>
      </c>
      <c r="BH5" s="182">
        <f t="shared" ref="BH5:BV5" si="3">L4</f>
        <v>0</v>
      </c>
      <c r="BI5" s="182">
        <f t="shared" si="3"/>
        <v>0</v>
      </c>
      <c r="BJ5" s="182">
        <f t="shared" si="3"/>
        <v>0</v>
      </c>
      <c r="BK5" s="182">
        <f t="shared" si="3"/>
        <v>0</v>
      </c>
      <c r="BL5" s="182">
        <f t="shared" si="3"/>
        <v>0</v>
      </c>
      <c r="BM5" s="182">
        <f t="shared" si="3"/>
        <v>0</v>
      </c>
      <c r="BN5" s="182">
        <f t="shared" si="3"/>
        <v>0</v>
      </c>
      <c r="BO5" s="182">
        <f t="shared" si="3"/>
        <v>0</v>
      </c>
      <c r="BP5" s="182">
        <f t="shared" si="3"/>
        <v>0</v>
      </c>
      <c r="BQ5" s="182">
        <f t="shared" si="3"/>
        <v>0</v>
      </c>
      <c r="BR5" s="182">
        <f t="shared" si="3"/>
        <v>0</v>
      </c>
      <c r="BS5" s="182">
        <f t="shared" si="3"/>
        <v>0</v>
      </c>
      <c r="BT5" s="182">
        <f t="shared" si="3"/>
        <v>0</v>
      </c>
      <c r="BU5" s="182">
        <f t="shared" si="3"/>
        <v>0</v>
      </c>
      <c r="BV5" s="182">
        <f t="shared" si="3"/>
        <v>0</v>
      </c>
      <c r="BX5" s="184" t="s">
        <v>276</v>
      </c>
      <c r="BY5" s="185">
        <f t="shared" ref="BY5:BY11" si="4">COUNTIF($BH$6:$BV$54,BX5)</f>
        <v>10</v>
      </c>
      <c r="BZ5" s="185" t="str">
        <f t="shared" ref="BZ5:BZ9" si="5">IF(BY5&gt;0,BX5,"")</f>
        <v>LK-066-IDN</v>
      </c>
      <c r="CA5" s="185" t="str">
        <f t="shared" ref="CA5:CA11" si="6">IF(BZ5="","",BZ5&amp;", ")</f>
        <v xml:space="preserve">LK-066-IDN, </v>
      </c>
      <c r="CC5" s="182">
        <f>AG5</f>
        <v>0</v>
      </c>
      <c r="CD5" s="182">
        <f t="shared" ref="CD5" si="7">AH5</f>
        <v>0</v>
      </c>
      <c r="CE5" s="182">
        <f t="shared" ref="CE5" si="8">AI5</f>
        <v>0</v>
      </c>
      <c r="CF5" s="182">
        <f t="shared" ref="CF5" si="9">AJ5</f>
        <v>0</v>
      </c>
      <c r="CG5" s="182">
        <f t="shared" ref="CG5" si="10">AK5</f>
        <v>0</v>
      </c>
      <c r="CH5" s="182">
        <f t="shared" ref="CH5" si="11">AL5</f>
        <v>0</v>
      </c>
      <c r="CI5" s="182">
        <f t="shared" ref="CI5" si="12">AM5</f>
        <v>0</v>
      </c>
      <c r="CJ5" s="182">
        <f t="shared" ref="CJ5" si="13">AN5</f>
        <v>0</v>
      </c>
      <c r="CK5" s="182">
        <f t="shared" ref="CK5" si="14">AO5</f>
        <v>0</v>
      </c>
      <c r="CL5" s="182">
        <f t="shared" ref="CL5" si="15">AP5</f>
        <v>0</v>
      </c>
      <c r="CM5" s="182">
        <f t="shared" ref="CM5" si="16">AQ5</f>
        <v>0</v>
      </c>
      <c r="CN5" s="182">
        <f t="shared" ref="CN5" si="17">AR5</f>
        <v>0</v>
      </c>
      <c r="CO5" s="182">
        <f t="shared" ref="CO5" si="18">AS5</f>
        <v>0</v>
      </c>
      <c r="CP5" s="182">
        <f t="shared" ref="CP5" si="19">AT5</f>
        <v>0</v>
      </c>
      <c r="CQ5" s="182">
        <f t="shared" ref="CQ5" si="20">AU5</f>
        <v>0</v>
      </c>
      <c r="CS5" s="191" t="s">
        <v>297</v>
      </c>
      <c r="CT5" s="185">
        <f t="shared" ref="CT5:CT11" si="21">COUNTIF($CC$6:$CQ$54,CS5)</f>
        <v>0</v>
      </c>
      <c r="CU5" s="185" t="str">
        <f t="shared" ref="CU5:CU8" si="22">IF(CT5&gt;0,CS5,"")</f>
        <v/>
      </c>
      <c r="CV5" s="184" t="str">
        <f t="shared" ref="CV5:CV11" si="23">IF(CU5="","",CU5&amp;"; ")</f>
        <v/>
      </c>
    </row>
    <row r="6" spans="1:101" ht="13.2" x14ac:dyDescent="0.25">
      <c r="A6" s="166" t="s">
        <v>281</v>
      </c>
      <c r="B6" s="166" t="s">
        <v>296</v>
      </c>
      <c r="C6" s="287" t="s">
        <v>383</v>
      </c>
      <c r="D6" s="167">
        <v>0</v>
      </c>
      <c r="E6" s="168">
        <v>2.5</v>
      </c>
      <c r="F6" s="169">
        <v>0.05</v>
      </c>
      <c r="G6" s="170">
        <f>E6+F6/1000</f>
        <v>2.5000499999999999</v>
      </c>
      <c r="H6" s="167">
        <v>0.14000000000000001</v>
      </c>
      <c r="I6" s="171">
        <v>45464</v>
      </c>
      <c r="J6" s="167" t="s">
        <v>276</v>
      </c>
      <c r="K6" s="248"/>
      <c r="L6" s="250"/>
      <c r="M6" s="250" t="s">
        <v>293</v>
      </c>
      <c r="N6" s="250"/>
      <c r="O6" s="250"/>
      <c r="P6" s="250"/>
      <c r="Q6" s="251"/>
      <c r="R6" s="251"/>
      <c r="S6" s="251"/>
      <c r="T6" s="251"/>
      <c r="U6" s="251"/>
      <c r="V6" s="250"/>
      <c r="W6" s="250"/>
      <c r="X6" s="250"/>
      <c r="Y6" s="250"/>
      <c r="Z6" s="250"/>
      <c r="AB6" s="18" t="str">
        <f>IF(L6="x",$G6,"")</f>
        <v/>
      </c>
      <c r="AC6" s="18">
        <f t="shared" ref="AC6:AP6" si="24">IF(M6="x",$G6,"")</f>
        <v>2.5000499999999999</v>
      </c>
      <c r="AD6" s="18" t="str">
        <f t="shared" si="24"/>
        <v/>
      </c>
      <c r="AE6" s="18" t="str">
        <f t="shared" si="24"/>
        <v/>
      </c>
      <c r="AF6" s="18" t="str">
        <f t="shared" si="24"/>
        <v/>
      </c>
      <c r="AG6" s="18" t="str">
        <f t="shared" si="24"/>
        <v/>
      </c>
      <c r="AH6" s="18" t="str">
        <f t="shared" si="24"/>
        <v/>
      </c>
      <c r="AI6" s="18" t="str">
        <f t="shared" si="24"/>
        <v/>
      </c>
      <c r="AJ6" s="18" t="str">
        <f t="shared" si="24"/>
        <v/>
      </c>
      <c r="AK6" s="18" t="str">
        <f t="shared" si="24"/>
        <v/>
      </c>
      <c r="AL6" s="18" t="str">
        <f t="shared" si="24"/>
        <v/>
      </c>
      <c r="AM6" s="18" t="str">
        <f t="shared" si="24"/>
        <v/>
      </c>
      <c r="AN6" s="18" t="str">
        <f t="shared" si="24"/>
        <v/>
      </c>
      <c r="AO6" s="18" t="str">
        <f t="shared" si="24"/>
        <v/>
      </c>
      <c r="AP6" s="18" t="str">
        <f t="shared" si="24"/>
        <v/>
      </c>
      <c r="AR6" s="18" t="str">
        <f>IF(L6="x",$H6,"")</f>
        <v/>
      </c>
      <c r="AS6" s="18">
        <f t="shared" ref="AS6:BF6" si="25">IF(M6="x",$H6,"")</f>
        <v>0.14000000000000001</v>
      </c>
      <c r="AT6" s="18" t="str">
        <f t="shared" si="25"/>
        <v/>
      </c>
      <c r="AU6" s="18" t="str">
        <f t="shared" si="25"/>
        <v/>
      </c>
      <c r="AV6" s="18" t="str">
        <f t="shared" si="25"/>
        <v/>
      </c>
      <c r="AW6" s="18" t="str">
        <f t="shared" si="25"/>
        <v/>
      </c>
      <c r="AX6" s="18" t="str">
        <f t="shared" si="25"/>
        <v/>
      </c>
      <c r="AY6" s="18" t="str">
        <f t="shared" si="25"/>
        <v/>
      </c>
      <c r="AZ6" s="18" t="str">
        <f t="shared" si="25"/>
        <v/>
      </c>
      <c r="BA6" s="18" t="str">
        <f t="shared" si="25"/>
        <v/>
      </c>
      <c r="BB6" s="18" t="str">
        <f t="shared" si="25"/>
        <v/>
      </c>
      <c r="BC6" s="18" t="str">
        <f t="shared" si="25"/>
        <v/>
      </c>
      <c r="BD6" s="18" t="str">
        <f t="shared" si="25"/>
        <v/>
      </c>
      <c r="BE6" s="18" t="str">
        <f t="shared" si="25"/>
        <v/>
      </c>
      <c r="BF6" s="18" t="str">
        <f t="shared" si="25"/>
        <v/>
      </c>
      <c r="BH6" s="18" t="str">
        <f>IF(L6="x",$J6,"")</f>
        <v/>
      </c>
      <c r="BI6" s="18" t="str">
        <f t="shared" ref="BI6:BV6" si="26">IF(M6="x",$J6,"")</f>
        <v>LK-066-IDN</v>
      </c>
      <c r="BJ6" s="18" t="str">
        <f t="shared" si="26"/>
        <v/>
      </c>
      <c r="BK6" s="18" t="str">
        <f t="shared" si="26"/>
        <v/>
      </c>
      <c r="BL6" s="18" t="str">
        <f t="shared" si="26"/>
        <v/>
      </c>
      <c r="BM6" s="18" t="str">
        <f t="shared" si="26"/>
        <v/>
      </c>
      <c r="BN6" s="18" t="str">
        <f t="shared" si="26"/>
        <v/>
      </c>
      <c r="BO6" s="18" t="str">
        <f t="shared" si="26"/>
        <v/>
      </c>
      <c r="BP6" s="18" t="str">
        <f t="shared" si="26"/>
        <v/>
      </c>
      <c r="BQ6" s="18" t="str">
        <f t="shared" si="26"/>
        <v/>
      </c>
      <c r="BR6" s="18" t="str">
        <f t="shared" si="26"/>
        <v/>
      </c>
      <c r="BS6" s="18" t="str">
        <f t="shared" si="26"/>
        <v/>
      </c>
      <c r="BT6" s="18" t="str">
        <f t="shared" si="26"/>
        <v/>
      </c>
      <c r="BU6" s="18" t="str">
        <f t="shared" si="26"/>
        <v/>
      </c>
      <c r="BV6" s="18" t="str">
        <f t="shared" si="26"/>
        <v/>
      </c>
      <c r="BX6" s="184" t="s">
        <v>292</v>
      </c>
      <c r="BY6" s="185">
        <f t="shared" si="4"/>
        <v>0</v>
      </c>
      <c r="BZ6" s="185" t="str">
        <f t="shared" si="5"/>
        <v/>
      </c>
      <c r="CA6" s="185" t="str">
        <f t="shared" si="6"/>
        <v/>
      </c>
      <c r="CC6" s="18" t="str">
        <f>IF(L6="x",$B6,"")</f>
        <v/>
      </c>
      <c r="CD6" s="18" t="str">
        <f t="shared" ref="CD6:CQ6" si="27">IF(M6="x",$B6,"")</f>
        <v>Mitutoyo, 516-106-10, S/N. 1103008</v>
      </c>
      <c r="CE6" s="18" t="str">
        <f t="shared" si="27"/>
        <v/>
      </c>
      <c r="CF6" s="18" t="str">
        <f t="shared" si="27"/>
        <v/>
      </c>
      <c r="CG6" s="18" t="str">
        <f t="shared" si="27"/>
        <v/>
      </c>
      <c r="CH6" s="18" t="str">
        <f t="shared" si="27"/>
        <v/>
      </c>
      <c r="CI6" s="18" t="str">
        <f t="shared" si="27"/>
        <v/>
      </c>
      <c r="CJ6" s="18" t="str">
        <f t="shared" si="27"/>
        <v/>
      </c>
      <c r="CK6" s="18" t="str">
        <f t="shared" si="27"/>
        <v/>
      </c>
      <c r="CL6" s="18" t="str">
        <f t="shared" si="27"/>
        <v/>
      </c>
      <c r="CM6" s="18" t="str">
        <f t="shared" si="27"/>
        <v/>
      </c>
      <c r="CN6" s="18" t="str">
        <f t="shared" si="27"/>
        <v/>
      </c>
      <c r="CO6" s="18" t="str">
        <f t="shared" si="27"/>
        <v/>
      </c>
      <c r="CP6" s="18" t="str">
        <f t="shared" si="27"/>
        <v/>
      </c>
      <c r="CQ6" s="18" t="str">
        <f t="shared" si="27"/>
        <v/>
      </c>
      <c r="CS6" s="181" t="s">
        <v>298</v>
      </c>
      <c r="CT6" s="185">
        <f t="shared" si="21"/>
        <v>0</v>
      </c>
      <c r="CU6" s="185" t="str">
        <f t="shared" si="22"/>
        <v/>
      </c>
      <c r="CV6" s="184" t="str">
        <f t="shared" si="23"/>
        <v/>
      </c>
    </row>
    <row r="7" spans="1:101" ht="13.2" x14ac:dyDescent="0.25">
      <c r="A7" s="166" t="s">
        <v>281</v>
      </c>
      <c r="B7" s="166" t="s">
        <v>296</v>
      </c>
      <c r="C7" s="287" t="s">
        <v>383</v>
      </c>
      <c r="D7" s="167">
        <v>0</v>
      </c>
      <c r="E7" s="168">
        <v>5.0999999999999996</v>
      </c>
      <c r="F7" s="169">
        <v>0.09</v>
      </c>
      <c r="G7" s="170">
        <f t="shared" ref="G7:G22" si="28">E7+F7/1000</f>
        <v>5.1000899999999998</v>
      </c>
      <c r="H7" s="167">
        <v>0.14000000000000001</v>
      </c>
      <c r="I7" s="171">
        <v>45464</v>
      </c>
      <c r="J7" s="167" t="s">
        <v>276</v>
      </c>
      <c r="K7" s="248"/>
      <c r="L7" s="250"/>
      <c r="M7" s="250"/>
      <c r="N7" s="250" t="s">
        <v>293</v>
      </c>
      <c r="O7" s="250"/>
      <c r="P7" s="250"/>
      <c r="Q7" s="251"/>
      <c r="R7" s="251"/>
      <c r="S7" s="251"/>
      <c r="T7" s="251"/>
      <c r="U7" s="251"/>
      <c r="V7" s="250"/>
      <c r="W7" s="250"/>
      <c r="X7" s="250"/>
      <c r="Y7" s="250"/>
      <c r="Z7" s="250"/>
      <c r="AB7" s="18" t="str">
        <f t="shared" ref="AB7:AB54" si="29">IF(L7="x",$G7,"")</f>
        <v/>
      </c>
      <c r="AC7" s="18" t="str">
        <f t="shared" ref="AC7:AC54" si="30">IF(M7="x",$G7,"")</f>
        <v/>
      </c>
      <c r="AD7" s="18">
        <f t="shared" ref="AD7:AD54" si="31">IF(N7="x",$G7,"")</f>
        <v>5.1000899999999998</v>
      </c>
      <c r="AE7" s="18" t="str">
        <f t="shared" ref="AE7:AE54" si="32">IF(O7="x",$G7,"")</f>
        <v/>
      </c>
      <c r="AF7" s="18" t="str">
        <f t="shared" ref="AF7:AF54" si="33">IF(P7="x",$G7,"")</f>
        <v/>
      </c>
      <c r="AG7" s="18" t="str">
        <f t="shared" ref="AG7:AG54" si="34">IF(Q7="x",$G7,"")</f>
        <v/>
      </c>
      <c r="AH7" s="18" t="str">
        <f t="shared" ref="AH7:AH54" si="35">IF(R7="x",$G7,"")</f>
        <v/>
      </c>
      <c r="AI7" s="18" t="str">
        <f t="shared" ref="AI7:AI54" si="36">IF(S7="x",$G7,"")</f>
        <v/>
      </c>
      <c r="AJ7" s="18" t="str">
        <f t="shared" ref="AJ7:AJ54" si="37">IF(T7="x",$G7,"")</f>
        <v/>
      </c>
      <c r="AK7" s="18" t="str">
        <f t="shared" ref="AK7:AK54" si="38">IF(U7="x",$G7,"")</f>
        <v/>
      </c>
      <c r="AL7" s="18" t="str">
        <f t="shared" ref="AL7:AL54" si="39">IF(V7="x",$G7,"")</f>
        <v/>
      </c>
      <c r="AM7" s="18" t="str">
        <f t="shared" ref="AM7:AM54" si="40">IF(W7="x",$G7,"")</f>
        <v/>
      </c>
      <c r="AN7" s="18" t="str">
        <f t="shared" ref="AN7:AN54" si="41">IF(X7="x",$G7,"")</f>
        <v/>
      </c>
      <c r="AO7" s="18" t="str">
        <f t="shared" ref="AO7:AO54" si="42">IF(Y7="x",$G7,"")</f>
        <v/>
      </c>
      <c r="AP7" s="18" t="str">
        <f t="shared" ref="AP7:AP54" si="43">IF(Z7="x",$G7,"")</f>
        <v/>
      </c>
      <c r="AR7" s="18" t="str">
        <f t="shared" ref="AR7:AR54" si="44">IF(L7="x",$H7,"")</f>
        <v/>
      </c>
      <c r="AS7" s="18" t="str">
        <f t="shared" ref="AS7:AS54" si="45">IF(M7="x",$H7,"")</f>
        <v/>
      </c>
      <c r="AT7" s="18">
        <f t="shared" ref="AT7:AT54" si="46">IF(N7="x",$H7,"")</f>
        <v>0.14000000000000001</v>
      </c>
      <c r="AU7" s="18" t="str">
        <f t="shared" ref="AU7:AU54" si="47">IF(O7="x",$H7,"")</f>
        <v/>
      </c>
      <c r="AV7" s="18" t="str">
        <f t="shared" ref="AV7:AV54" si="48">IF(P7="x",$H7,"")</f>
        <v/>
      </c>
      <c r="AW7" s="18" t="str">
        <f t="shared" ref="AW7:AW54" si="49">IF(Q7="x",$H7,"")</f>
        <v/>
      </c>
      <c r="AX7" s="18" t="str">
        <f t="shared" ref="AX7:AX54" si="50">IF(R7="x",$H7,"")</f>
        <v/>
      </c>
      <c r="AY7" s="18" t="str">
        <f t="shared" ref="AY7:AY54" si="51">IF(S7="x",$H7,"")</f>
        <v/>
      </c>
      <c r="AZ7" s="18" t="str">
        <f t="shared" ref="AZ7:AZ54" si="52">IF(T7="x",$H7,"")</f>
        <v/>
      </c>
      <c r="BA7" s="18" t="str">
        <f t="shared" ref="BA7:BA54" si="53">IF(U7="x",$H7,"")</f>
        <v/>
      </c>
      <c r="BB7" s="18" t="str">
        <f t="shared" ref="BB7:BB54" si="54">IF(V7="x",$H7,"")</f>
        <v/>
      </c>
      <c r="BC7" s="18" t="str">
        <f t="shared" ref="BC7:BC54" si="55">IF(W7="x",$H7,"")</f>
        <v/>
      </c>
      <c r="BD7" s="18" t="str">
        <f t="shared" ref="BD7:BD54" si="56">IF(X7="x",$H7,"")</f>
        <v/>
      </c>
      <c r="BE7" s="18" t="str">
        <f t="shared" ref="BE7:BE54" si="57">IF(Y7="x",$H7,"")</f>
        <v/>
      </c>
      <c r="BF7" s="18" t="str">
        <f t="shared" ref="BF7:BF53" si="58">IF(Z7="x",$H7,"")</f>
        <v/>
      </c>
      <c r="BH7" s="18" t="str">
        <f t="shared" ref="BH7:BH54" si="59">IF(L7="x",$J7,"")</f>
        <v/>
      </c>
      <c r="BI7" s="18" t="str">
        <f t="shared" ref="BI7:BI54" si="60">IF(M7="x",$J7,"")</f>
        <v/>
      </c>
      <c r="BJ7" s="18" t="str">
        <f t="shared" ref="BJ7:BJ54" si="61">IF(N7="x",$J7,"")</f>
        <v>LK-066-IDN</v>
      </c>
      <c r="BK7" s="18" t="str">
        <f t="shared" ref="BK7:BK54" si="62">IF(O7="x",$J7,"")</f>
        <v/>
      </c>
      <c r="BL7" s="18" t="str">
        <f t="shared" ref="BL7:BL54" si="63">IF(P7="x",$J7,"")</f>
        <v/>
      </c>
      <c r="BM7" s="18" t="str">
        <f t="shared" ref="BM7:BM54" si="64">IF(Q7="x",$J7,"")</f>
        <v/>
      </c>
      <c r="BN7" s="18" t="str">
        <f t="shared" ref="BN7:BN54" si="65">IF(R7="x",$J7,"")</f>
        <v/>
      </c>
      <c r="BO7" s="18" t="str">
        <f t="shared" ref="BO7:BO54" si="66">IF(S7="x",$J7,"")</f>
        <v/>
      </c>
      <c r="BP7" s="18" t="str">
        <f t="shared" ref="BP7:BP54" si="67">IF(T7="x",$J7,"")</f>
        <v/>
      </c>
      <c r="BQ7" s="18" t="str">
        <f t="shared" ref="BQ7:BQ54" si="68">IF(U7="x",$J7,"")</f>
        <v/>
      </c>
      <c r="BR7" s="18" t="str">
        <f t="shared" ref="BR7:BR54" si="69">IF(V7="x",$J7,"")</f>
        <v/>
      </c>
      <c r="BS7" s="18" t="str">
        <f t="shared" ref="BS7:BS54" si="70">IF(W7="x",$J7,"")</f>
        <v/>
      </c>
      <c r="BT7" s="18" t="str">
        <f t="shared" ref="BT7:BT54" si="71">IF(X7="x",$J7,"")</f>
        <v/>
      </c>
      <c r="BU7" s="18" t="str">
        <f t="shared" ref="BU7:BU54" si="72">IF(Y7="x",$J7,"")</f>
        <v/>
      </c>
      <c r="BV7" s="18" t="str">
        <f t="shared" ref="BV7:BV54" si="73">IF(Z7="x",$J7,"")</f>
        <v/>
      </c>
      <c r="BX7" s="184" t="s">
        <v>292</v>
      </c>
      <c r="BY7" s="185">
        <f t="shared" si="4"/>
        <v>0</v>
      </c>
      <c r="BZ7" s="185" t="str">
        <f t="shared" si="5"/>
        <v/>
      </c>
      <c r="CA7" s="185" t="str">
        <f t="shared" si="6"/>
        <v/>
      </c>
      <c r="CC7" s="18" t="str">
        <f t="shared" ref="CC7:CC54" si="74">IF(L7="x",$B7,"")</f>
        <v/>
      </c>
      <c r="CD7" s="18" t="str">
        <f t="shared" ref="CD7:CD54" si="75">IF(M7="x",$B7,"")</f>
        <v/>
      </c>
      <c r="CE7" s="18" t="str">
        <f t="shared" ref="CE7:CE54" si="76">IF(N7="x",$B7,"")</f>
        <v>Mitutoyo, 516-106-10, S/N. 1103008</v>
      </c>
      <c r="CF7" s="18" t="str">
        <f t="shared" ref="CF7:CF54" si="77">IF(O7="x",$B7,"")</f>
        <v/>
      </c>
      <c r="CG7" s="18" t="str">
        <f t="shared" ref="CG7:CG54" si="78">IF(P7="x",$B7,"")</f>
        <v/>
      </c>
      <c r="CH7" s="18" t="str">
        <f t="shared" ref="CH7:CH54" si="79">IF(Q7="x",$B7,"")</f>
        <v/>
      </c>
      <c r="CI7" s="18" t="str">
        <f t="shared" ref="CI7:CI54" si="80">IF(R7="x",$B7,"")</f>
        <v/>
      </c>
      <c r="CJ7" s="18" t="str">
        <f t="shared" ref="CJ7:CJ54" si="81">IF(S7="x",$B7,"")</f>
        <v/>
      </c>
      <c r="CK7" s="18" t="str">
        <f t="shared" ref="CK7:CK54" si="82">IF(T7="x",$B7,"")</f>
        <v/>
      </c>
      <c r="CL7" s="18" t="str">
        <f t="shared" ref="CL7:CL54" si="83">IF(U7="x",$B7,"")</f>
        <v/>
      </c>
      <c r="CM7" s="18" t="str">
        <f t="shared" ref="CM7:CM54" si="84">IF(V7="x",$B7,"")</f>
        <v/>
      </c>
      <c r="CN7" s="18" t="str">
        <f t="shared" ref="CN7:CN54" si="85">IF(W7="x",$B7,"")</f>
        <v/>
      </c>
      <c r="CO7" s="18" t="str">
        <f t="shared" ref="CO7:CO54" si="86">IF(X7="x",$B7,"")</f>
        <v/>
      </c>
      <c r="CP7" s="18" t="str">
        <f t="shared" ref="CP7:CP54" si="87">IF(Y7="x",$B7,"")</f>
        <v/>
      </c>
      <c r="CQ7" s="18" t="str">
        <f t="shared" ref="CQ7:CQ54" si="88">IF(Z7="x",$B7,"")</f>
        <v/>
      </c>
      <c r="CS7" s="181" t="s">
        <v>299</v>
      </c>
      <c r="CT7" s="185">
        <f t="shared" si="21"/>
        <v>0</v>
      </c>
      <c r="CU7" s="185" t="str">
        <f t="shared" si="22"/>
        <v/>
      </c>
      <c r="CV7" s="184" t="str">
        <f t="shared" si="23"/>
        <v/>
      </c>
    </row>
    <row r="8" spans="1:101" ht="13.2" x14ac:dyDescent="0.25">
      <c r="A8" s="166" t="s">
        <v>281</v>
      </c>
      <c r="B8" s="166" t="s">
        <v>296</v>
      </c>
      <c r="C8" s="287" t="s">
        <v>383</v>
      </c>
      <c r="D8" s="167">
        <v>0</v>
      </c>
      <c r="E8" s="168">
        <v>7.7</v>
      </c>
      <c r="F8" s="169">
        <v>-0.11</v>
      </c>
      <c r="G8" s="170">
        <f t="shared" si="28"/>
        <v>7.6998899999999999</v>
      </c>
      <c r="H8" s="167">
        <v>0.1</v>
      </c>
      <c r="I8" s="171">
        <v>45464</v>
      </c>
      <c r="J8" s="167" t="s">
        <v>276</v>
      </c>
      <c r="K8" s="248"/>
      <c r="L8" s="250"/>
      <c r="M8" s="250"/>
      <c r="N8" s="250"/>
      <c r="O8" s="250" t="s">
        <v>293</v>
      </c>
      <c r="P8" s="250"/>
      <c r="Q8" s="251"/>
      <c r="R8" s="251"/>
      <c r="S8" s="251"/>
      <c r="T8" s="251"/>
      <c r="U8" s="251"/>
      <c r="V8" s="250"/>
      <c r="W8" s="250"/>
      <c r="X8" s="250"/>
      <c r="Y8" s="250"/>
      <c r="Z8" s="250"/>
      <c r="AB8" s="18" t="str">
        <f t="shared" si="29"/>
        <v/>
      </c>
      <c r="AC8" s="18" t="str">
        <f t="shared" si="30"/>
        <v/>
      </c>
      <c r="AD8" s="18" t="str">
        <f t="shared" si="31"/>
        <v/>
      </c>
      <c r="AE8" s="18">
        <f t="shared" si="32"/>
        <v>7.6998899999999999</v>
      </c>
      <c r="AF8" s="18" t="str">
        <f t="shared" si="33"/>
        <v/>
      </c>
      <c r="AG8" s="18" t="str">
        <f t="shared" si="34"/>
        <v/>
      </c>
      <c r="AH8" s="18" t="str">
        <f t="shared" si="35"/>
        <v/>
      </c>
      <c r="AI8" s="18" t="str">
        <f t="shared" si="36"/>
        <v/>
      </c>
      <c r="AJ8" s="18" t="str">
        <f t="shared" si="37"/>
        <v/>
      </c>
      <c r="AK8" s="18" t="str">
        <f t="shared" si="38"/>
        <v/>
      </c>
      <c r="AL8" s="18" t="str">
        <f t="shared" si="39"/>
        <v/>
      </c>
      <c r="AM8" s="18" t="str">
        <f t="shared" si="40"/>
        <v/>
      </c>
      <c r="AN8" s="18" t="str">
        <f t="shared" si="41"/>
        <v/>
      </c>
      <c r="AO8" s="18" t="str">
        <f t="shared" si="42"/>
        <v/>
      </c>
      <c r="AP8" s="18" t="str">
        <f t="shared" si="43"/>
        <v/>
      </c>
      <c r="AR8" s="18" t="str">
        <f t="shared" si="44"/>
        <v/>
      </c>
      <c r="AS8" s="18" t="str">
        <f t="shared" si="45"/>
        <v/>
      </c>
      <c r="AT8" s="18" t="str">
        <f t="shared" si="46"/>
        <v/>
      </c>
      <c r="AU8" s="18">
        <f t="shared" si="47"/>
        <v>0.1</v>
      </c>
      <c r="AV8" s="18" t="str">
        <f t="shared" si="48"/>
        <v/>
      </c>
      <c r="AW8" s="18" t="str">
        <f t="shared" si="49"/>
        <v/>
      </c>
      <c r="AX8" s="18" t="str">
        <f t="shared" si="50"/>
        <v/>
      </c>
      <c r="AY8" s="18" t="str">
        <f t="shared" si="51"/>
        <v/>
      </c>
      <c r="AZ8" s="18" t="str">
        <f t="shared" si="52"/>
        <v/>
      </c>
      <c r="BA8" s="18" t="str">
        <f t="shared" si="53"/>
        <v/>
      </c>
      <c r="BB8" s="18" t="str">
        <f t="shared" si="54"/>
        <v/>
      </c>
      <c r="BC8" s="18" t="str">
        <f t="shared" si="55"/>
        <v/>
      </c>
      <c r="BD8" s="18" t="str">
        <f t="shared" si="56"/>
        <v/>
      </c>
      <c r="BE8" s="18" t="str">
        <f t="shared" si="57"/>
        <v/>
      </c>
      <c r="BF8" s="18" t="str">
        <f t="shared" si="58"/>
        <v/>
      </c>
      <c r="BH8" s="18" t="str">
        <f t="shared" si="59"/>
        <v/>
      </c>
      <c r="BI8" s="18" t="str">
        <f t="shared" si="60"/>
        <v/>
      </c>
      <c r="BJ8" s="18" t="str">
        <f t="shared" si="61"/>
        <v/>
      </c>
      <c r="BK8" s="18" t="str">
        <f t="shared" si="62"/>
        <v>LK-066-IDN</v>
      </c>
      <c r="BL8" s="18" t="str">
        <f t="shared" si="63"/>
        <v/>
      </c>
      <c r="BM8" s="18" t="str">
        <f t="shared" si="64"/>
        <v/>
      </c>
      <c r="BN8" s="18" t="str">
        <f t="shared" si="65"/>
        <v/>
      </c>
      <c r="BO8" s="18" t="str">
        <f t="shared" si="66"/>
        <v/>
      </c>
      <c r="BP8" s="18" t="str">
        <f t="shared" si="67"/>
        <v/>
      </c>
      <c r="BQ8" s="18" t="str">
        <f t="shared" si="68"/>
        <v/>
      </c>
      <c r="BR8" s="18" t="str">
        <f t="shared" si="69"/>
        <v/>
      </c>
      <c r="BS8" s="18" t="str">
        <f t="shared" si="70"/>
        <v/>
      </c>
      <c r="BT8" s="18" t="str">
        <f t="shared" si="71"/>
        <v/>
      </c>
      <c r="BU8" s="18" t="str">
        <f t="shared" si="72"/>
        <v/>
      </c>
      <c r="BV8" s="18" t="str">
        <f t="shared" si="73"/>
        <v/>
      </c>
      <c r="BX8" s="184" t="s">
        <v>292</v>
      </c>
      <c r="BY8" s="185">
        <f t="shared" si="4"/>
        <v>0</v>
      </c>
      <c r="BZ8" s="185" t="str">
        <f t="shared" si="5"/>
        <v/>
      </c>
      <c r="CA8" s="185" t="str">
        <f t="shared" si="6"/>
        <v/>
      </c>
      <c r="CC8" s="18" t="str">
        <f t="shared" si="74"/>
        <v/>
      </c>
      <c r="CD8" s="18" t="str">
        <f t="shared" si="75"/>
        <v/>
      </c>
      <c r="CE8" s="18" t="str">
        <f t="shared" si="76"/>
        <v/>
      </c>
      <c r="CF8" s="18" t="str">
        <f t="shared" si="77"/>
        <v>Mitutoyo, 516-106-10, S/N. 1103008</v>
      </c>
      <c r="CG8" s="18" t="str">
        <f t="shared" si="78"/>
        <v/>
      </c>
      <c r="CH8" s="18" t="str">
        <f t="shared" si="79"/>
        <v/>
      </c>
      <c r="CI8" s="18" t="str">
        <f t="shared" si="80"/>
        <v/>
      </c>
      <c r="CJ8" s="18" t="str">
        <f t="shared" si="81"/>
        <v/>
      </c>
      <c r="CK8" s="18" t="str">
        <f t="shared" si="82"/>
        <v/>
      </c>
      <c r="CL8" s="18" t="str">
        <f t="shared" si="83"/>
        <v/>
      </c>
      <c r="CM8" s="18" t="str">
        <f t="shared" si="84"/>
        <v/>
      </c>
      <c r="CN8" s="18" t="str">
        <f t="shared" si="85"/>
        <v/>
      </c>
      <c r="CO8" s="18" t="str">
        <f t="shared" si="86"/>
        <v/>
      </c>
      <c r="CP8" s="18" t="str">
        <f t="shared" si="87"/>
        <v/>
      </c>
      <c r="CQ8" s="18" t="str">
        <f t="shared" si="88"/>
        <v/>
      </c>
      <c r="CS8" s="181" t="s">
        <v>300</v>
      </c>
      <c r="CT8" s="185">
        <f t="shared" si="21"/>
        <v>0</v>
      </c>
      <c r="CU8" s="185" t="str">
        <f t="shared" si="22"/>
        <v/>
      </c>
      <c r="CV8" s="184" t="str">
        <f t="shared" si="23"/>
        <v/>
      </c>
    </row>
    <row r="9" spans="1:101" ht="13.2" x14ac:dyDescent="0.25">
      <c r="A9" s="166" t="s">
        <v>281</v>
      </c>
      <c r="B9" s="166" t="s">
        <v>296</v>
      </c>
      <c r="C9" s="287" t="s">
        <v>383</v>
      </c>
      <c r="D9" s="167">
        <v>0</v>
      </c>
      <c r="E9" s="168">
        <v>10.3</v>
      </c>
      <c r="F9" s="169">
        <v>-7.0000000000000007E-2</v>
      </c>
      <c r="G9" s="170">
        <f t="shared" si="28"/>
        <v>10.299930000000002</v>
      </c>
      <c r="H9" s="167">
        <v>0.11</v>
      </c>
      <c r="I9" s="171">
        <v>45464</v>
      </c>
      <c r="J9" s="167" t="s">
        <v>276</v>
      </c>
      <c r="K9" s="248"/>
      <c r="L9" s="250"/>
      <c r="M9" s="250"/>
      <c r="N9" s="250"/>
      <c r="O9" s="250"/>
      <c r="P9" s="250" t="s">
        <v>293</v>
      </c>
      <c r="Q9" s="251"/>
      <c r="R9" s="251"/>
      <c r="S9" s="251"/>
      <c r="T9" s="251"/>
      <c r="U9" s="251"/>
      <c r="V9" s="250"/>
      <c r="W9" s="250"/>
      <c r="X9" s="250"/>
      <c r="Y9" s="250"/>
      <c r="Z9" s="250"/>
      <c r="AB9" s="18" t="str">
        <f t="shared" si="29"/>
        <v/>
      </c>
      <c r="AC9" s="18" t="str">
        <f t="shared" si="30"/>
        <v/>
      </c>
      <c r="AD9" s="18" t="str">
        <f t="shared" si="31"/>
        <v/>
      </c>
      <c r="AE9" s="18" t="str">
        <f t="shared" si="32"/>
        <v/>
      </c>
      <c r="AF9" s="18">
        <f t="shared" si="33"/>
        <v>10.299930000000002</v>
      </c>
      <c r="AG9" s="18" t="str">
        <f t="shared" si="34"/>
        <v/>
      </c>
      <c r="AH9" s="18" t="str">
        <f t="shared" si="35"/>
        <v/>
      </c>
      <c r="AI9" s="18" t="str">
        <f t="shared" si="36"/>
        <v/>
      </c>
      <c r="AJ9" s="18" t="str">
        <f t="shared" si="37"/>
        <v/>
      </c>
      <c r="AK9" s="18" t="str">
        <f t="shared" si="38"/>
        <v/>
      </c>
      <c r="AL9" s="18" t="str">
        <f t="shared" si="39"/>
        <v/>
      </c>
      <c r="AM9" s="18" t="str">
        <f t="shared" si="40"/>
        <v/>
      </c>
      <c r="AN9" s="18" t="str">
        <f t="shared" si="41"/>
        <v/>
      </c>
      <c r="AO9" s="18" t="str">
        <f t="shared" si="42"/>
        <v/>
      </c>
      <c r="AP9" s="18" t="str">
        <f t="shared" si="43"/>
        <v/>
      </c>
      <c r="AR9" s="18" t="str">
        <f t="shared" si="44"/>
        <v/>
      </c>
      <c r="AS9" s="18" t="str">
        <f t="shared" si="45"/>
        <v/>
      </c>
      <c r="AT9" s="18" t="str">
        <f t="shared" si="46"/>
        <v/>
      </c>
      <c r="AU9" s="18" t="str">
        <f t="shared" si="47"/>
        <v/>
      </c>
      <c r="AV9" s="18">
        <f t="shared" si="48"/>
        <v>0.11</v>
      </c>
      <c r="AW9" s="18" t="str">
        <f t="shared" si="49"/>
        <v/>
      </c>
      <c r="AX9" s="18" t="str">
        <f t="shared" si="50"/>
        <v/>
      </c>
      <c r="AY9" s="18" t="str">
        <f t="shared" si="51"/>
        <v/>
      </c>
      <c r="AZ9" s="18" t="str">
        <f t="shared" si="52"/>
        <v/>
      </c>
      <c r="BA9" s="18" t="str">
        <f t="shared" si="53"/>
        <v/>
      </c>
      <c r="BB9" s="18" t="str">
        <f t="shared" si="54"/>
        <v/>
      </c>
      <c r="BC9" s="18" t="str">
        <f t="shared" si="55"/>
        <v/>
      </c>
      <c r="BD9" s="18" t="str">
        <f t="shared" si="56"/>
        <v/>
      </c>
      <c r="BE9" s="18" t="str">
        <f t="shared" si="57"/>
        <v/>
      </c>
      <c r="BF9" s="18" t="str">
        <f t="shared" si="58"/>
        <v/>
      </c>
      <c r="BH9" s="18" t="str">
        <f t="shared" si="59"/>
        <v/>
      </c>
      <c r="BI9" s="18" t="str">
        <f t="shared" si="60"/>
        <v/>
      </c>
      <c r="BJ9" s="18" t="str">
        <f t="shared" si="61"/>
        <v/>
      </c>
      <c r="BK9" s="18" t="str">
        <f t="shared" si="62"/>
        <v/>
      </c>
      <c r="BL9" s="18" t="str">
        <f t="shared" si="63"/>
        <v>LK-066-IDN</v>
      </c>
      <c r="BM9" s="18" t="str">
        <f t="shared" si="64"/>
        <v/>
      </c>
      <c r="BN9" s="18" t="str">
        <f t="shared" si="65"/>
        <v/>
      </c>
      <c r="BO9" s="18" t="str">
        <f t="shared" si="66"/>
        <v/>
      </c>
      <c r="BP9" s="18" t="str">
        <f t="shared" si="67"/>
        <v/>
      </c>
      <c r="BQ9" s="18" t="str">
        <f t="shared" si="68"/>
        <v/>
      </c>
      <c r="BR9" s="18" t="str">
        <f t="shared" si="69"/>
        <v/>
      </c>
      <c r="BS9" s="18" t="str">
        <f t="shared" si="70"/>
        <v/>
      </c>
      <c r="BT9" s="18" t="str">
        <f t="shared" si="71"/>
        <v/>
      </c>
      <c r="BU9" s="18" t="str">
        <f t="shared" si="72"/>
        <v/>
      </c>
      <c r="BV9" s="18" t="str">
        <f t="shared" si="73"/>
        <v/>
      </c>
      <c r="BX9" s="184" t="s">
        <v>292</v>
      </c>
      <c r="BY9" s="185">
        <f t="shared" si="4"/>
        <v>0</v>
      </c>
      <c r="BZ9" s="185" t="str">
        <f t="shared" si="5"/>
        <v/>
      </c>
      <c r="CA9" s="185" t="str">
        <f t="shared" si="6"/>
        <v/>
      </c>
      <c r="CC9" s="18" t="str">
        <f t="shared" si="74"/>
        <v/>
      </c>
      <c r="CD9" s="18" t="str">
        <f t="shared" si="75"/>
        <v/>
      </c>
      <c r="CE9" s="18" t="str">
        <f t="shared" si="76"/>
        <v/>
      </c>
      <c r="CF9" s="18" t="str">
        <f t="shared" si="77"/>
        <v/>
      </c>
      <c r="CG9" s="18" t="str">
        <f t="shared" si="78"/>
        <v>Mitutoyo, 516-106-10, S/N. 1103008</v>
      </c>
      <c r="CH9" s="18" t="str">
        <f t="shared" si="79"/>
        <v/>
      </c>
      <c r="CI9" s="18" t="str">
        <f t="shared" si="80"/>
        <v/>
      </c>
      <c r="CJ9" s="18" t="str">
        <f t="shared" si="81"/>
        <v/>
      </c>
      <c r="CK9" s="18" t="str">
        <f t="shared" si="82"/>
        <v/>
      </c>
      <c r="CL9" s="18" t="str">
        <f t="shared" si="83"/>
        <v/>
      </c>
      <c r="CM9" s="18" t="str">
        <f t="shared" si="84"/>
        <v/>
      </c>
      <c r="CN9" s="18" t="str">
        <f t="shared" si="85"/>
        <v/>
      </c>
      <c r="CO9" s="18" t="str">
        <f t="shared" si="86"/>
        <v/>
      </c>
      <c r="CP9" s="18" t="str">
        <f t="shared" si="87"/>
        <v/>
      </c>
      <c r="CQ9" s="18" t="str">
        <f t="shared" si="88"/>
        <v/>
      </c>
      <c r="CS9" s="184" t="s">
        <v>292</v>
      </c>
      <c r="CT9" s="185">
        <f>COUNTIF($CC$6:$CQ$54,CS9)</f>
        <v>0</v>
      </c>
      <c r="CU9" s="185" t="str">
        <f>IF(CT9&gt;0,CS9,"")</f>
        <v/>
      </c>
      <c r="CV9" s="184" t="str">
        <f t="shared" si="23"/>
        <v/>
      </c>
    </row>
    <row r="10" spans="1:101" ht="13.2" x14ac:dyDescent="0.25">
      <c r="A10" s="166" t="s">
        <v>281</v>
      </c>
      <c r="B10" s="166" t="s">
        <v>296</v>
      </c>
      <c r="C10" s="287" t="s">
        <v>383</v>
      </c>
      <c r="D10" s="167">
        <v>0</v>
      </c>
      <c r="E10" s="168">
        <v>12.9</v>
      </c>
      <c r="F10" s="169">
        <v>-0.08</v>
      </c>
      <c r="G10" s="170">
        <f t="shared" si="28"/>
        <v>12.89992</v>
      </c>
      <c r="H10" s="167">
        <v>0.11</v>
      </c>
      <c r="I10" s="171">
        <v>45464</v>
      </c>
      <c r="J10" s="167" t="s">
        <v>276</v>
      </c>
      <c r="K10" s="248"/>
      <c r="L10" s="250"/>
      <c r="M10" s="250"/>
      <c r="N10" s="250"/>
      <c r="O10" s="250"/>
      <c r="P10" s="250"/>
      <c r="Q10" s="251" t="s">
        <v>293</v>
      </c>
      <c r="R10" s="251"/>
      <c r="S10" s="251"/>
      <c r="T10" s="251"/>
      <c r="U10" s="251"/>
      <c r="V10" s="250"/>
      <c r="W10" s="250"/>
      <c r="X10" s="250"/>
      <c r="Y10" s="250"/>
      <c r="Z10" s="250"/>
      <c r="AB10" s="18" t="str">
        <f t="shared" si="29"/>
        <v/>
      </c>
      <c r="AC10" s="18" t="str">
        <f t="shared" si="30"/>
        <v/>
      </c>
      <c r="AD10" s="18" t="str">
        <f t="shared" si="31"/>
        <v/>
      </c>
      <c r="AE10" s="18" t="str">
        <f t="shared" si="32"/>
        <v/>
      </c>
      <c r="AF10" s="18" t="str">
        <f t="shared" si="33"/>
        <v/>
      </c>
      <c r="AG10" s="18">
        <f t="shared" si="34"/>
        <v>12.89992</v>
      </c>
      <c r="AH10" s="18" t="str">
        <f t="shared" si="35"/>
        <v/>
      </c>
      <c r="AI10" s="18" t="str">
        <f t="shared" si="36"/>
        <v/>
      </c>
      <c r="AJ10" s="18" t="str">
        <f t="shared" si="37"/>
        <v/>
      </c>
      <c r="AK10" s="18" t="str">
        <f t="shared" si="38"/>
        <v/>
      </c>
      <c r="AL10" s="18" t="str">
        <f t="shared" si="39"/>
        <v/>
      </c>
      <c r="AM10" s="18" t="str">
        <f t="shared" si="40"/>
        <v/>
      </c>
      <c r="AN10" s="18" t="str">
        <f t="shared" si="41"/>
        <v/>
      </c>
      <c r="AO10" s="18" t="str">
        <f t="shared" si="42"/>
        <v/>
      </c>
      <c r="AP10" s="18" t="str">
        <f t="shared" si="43"/>
        <v/>
      </c>
      <c r="AR10" s="18" t="str">
        <f t="shared" si="44"/>
        <v/>
      </c>
      <c r="AS10" s="18" t="str">
        <f t="shared" si="45"/>
        <v/>
      </c>
      <c r="AT10" s="18" t="str">
        <f t="shared" si="46"/>
        <v/>
      </c>
      <c r="AU10" s="18" t="str">
        <f t="shared" si="47"/>
        <v/>
      </c>
      <c r="AV10" s="18" t="str">
        <f t="shared" si="48"/>
        <v/>
      </c>
      <c r="AW10" s="18">
        <f t="shared" si="49"/>
        <v>0.11</v>
      </c>
      <c r="AX10" s="18" t="str">
        <f t="shared" si="50"/>
        <v/>
      </c>
      <c r="AY10" s="18" t="str">
        <f t="shared" si="51"/>
        <v/>
      </c>
      <c r="AZ10" s="18" t="str">
        <f t="shared" si="52"/>
        <v/>
      </c>
      <c r="BA10" s="18" t="str">
        <f t="shared" si="53"/>
        <v/>
      </c>
      <c r="BB10" s="18" t="str">
        <f t="shared" si="54"/>
        <v/>
      </c>
      <c r="BC10" s="18" t="str">
        <f t="shared" si="55"/>
        <v/>
      </c>
      <c r="BD10" s="18" t="str">
        <f t="shared" si="56"/>
        <v/>
      </c>
      <c r="BE10" s="18" t="str">
        <f t="shared" si="57"/>
        <v/>
      </c>
      <c r="BF10" s="18" t="str">
        <f t="shared" si="58"/>
        <v/>
      </c>
      <c r="BH10" s="18" t="str">
        <f t="shared" si="59"/>
        <v/>
      </c>
      <c r="BI10" s="18" t="str">
        <f t="shared" si="60"/>
        <v/>
      </c>
      <c r="BJ10" s="18" t="str">
        <f t="shared" si="61"/>
        <v/>
      </c>
      <c r="BK10" s="18" t="str">
        <f t="shared" si="62"/>
        <v/>
      </c>
      <c r="BL10" s="18" t="str">
        <f t="shared" si="63"/>
        <v/>
      </c>
      <c r="BM10" s="18" t="str">
        <f t="shared" si="64"/>
        <v>LK-066-IDN</v>
      </c>
      <c r="BN10" s="18" t="str">
        <f t="shared" si="65"/>
        <v/>
      </c>
      <c r="BO10" s="18" t="str">
        <f t="shared" si="66"/>
        <v/>
      </c>
      <c r="BP10" s="18" t="str">
        <f t="shared" si="67"/>
        <v/>
      </c>
      <c r="BQ10" s="18" t="str">
        <f t="shared" si="68"/>
        <v/>
      </c>
      <c r="BR10" s="18" t="str">
        <f t="shared" si="69"/>
        <v/>
      </c>
      <c r="BS10" s="18" t="str">
        <f t="shared" si="70"/>
        <v/>
      </c>
      <c r="BT10" s="18" t="str">
        <f t="shared" si="71"/>
        <v/>
      </c>
      <c r="BU10" s="18" t="str">
        <f t="shared" si="72"/>
        <v/>
      </c>
      <c r="BV10" s="18" t="str">
        <f t="shared" si="73"/>
        <v/>
      </c>
      <c r="BX10" s="184" t="s">
        <v>292</v>
      </c>
      <c r="BY10" s="185">
        <f t="shared" si="4"/>
        <v>0</v>
      </c>
      <c r="BZ10" s="185" t="str">
        <f>IF(BY10&gt;0,BX10,"")</f>
        <v/>
      </c>
      <c r="CA10" s="185" t="str">
        <f t="shared" si="6"/>
        <v/>
      </c>
      <c r="CC10" s="18" t="str">
        <f t="shared" si="74"/>
        <v/>
      </c>
      <c r="CD10" s="18" t="str">
        <f t="shared" si="75"/>
        <v/>
      </c>
      <c r="CE10" s="18" t="str">
        <f t="shared" si="76"/>
        <v/>
      </c>
      <c r="CF10" s="18" t="str">
        <f t="shared" si="77"/>
        <v/>
      </c>
      <c r="CG10" s="18" t="str">
        <f t="shared" si="78"/>
        <v/>
      </c>
      <c r="CH10" s="18" t="str">
        <f t="shared" si="79"/>
        <v>Mitutoyo, 516-106-10, S/N. 1103008</v>
      </c>
      <c r="CI10" s="18" t="str">
        <f t="shared" si="80"/>
        <v/>
      </c>
      <c r="CJ10" s="18" t="str">
        <f t="shared" si="81"/>
        <v/>
      </c>
      <c r="CK10" s="18" t="str">
        <f t="shared" si="82"/>
        <v/>
      </c>
      <c r="CL10" s="18" t="str">
        <f t="shared" si="83"/>
        <v/>
      </c>
      <c r="CM10" s="18" t="str">
        <f t="shared" si="84"/>
        <v/>
      </c>
      <c r="CN10" s="18" t="str">
        <f t="shared" si="85"/>
        <v/>
      </c>
      <c r="CO10" s="18" t="str">
        <f t="shared" si="86"/>
        <v/>
      </c>
      <c r="CP10" s="18" t="str">
        <f t="shared" si="87"/>
        <v/>
      </c>
      <c r="CQ10" s="18" t="str">
        <f t="shared" si="88"/>
        <v/>
      </c>
      <c r="CS10" s="184" t="s">
        <v>292</v>
      </c>
      <c r="CT10" s="185">
        <f t="shared" si="21"/>
        <v>0</v>
      </c>
      <c r="CU10" s="185" t="str">
        <f>IF(CT10&gt;0,CS10,"")</f>
        <v/>
      </c>
      <c r="CV10" s="184" t="str">
        <f t="shared" si="23"/>
        <v/>
      </c>
    </row>
    <row r="11" spans="1:101" ht="13.2" x14ac:dyDescent="0.25">
      <c r="A11" s="166" t="s">
        <v>281</v>
      </c>
      <c r="B11" s="166" t="s">
        <v>296</v>
      </c>
      <c r="C11" s="287" t="s">
        <v>383</v>
      </c>
      <c r="D11" s="167">
        <v>0</v>
      </c>
      <c r="E11" s="168">
        <v>15</v>
      </c>
      <c r="F11" s="169">
        <v>-0.03</v>
      </c>
      <c r="G11" s="170">
        <f t="shared" si="28"/>
        <v>14.999969999999999</v>
      </c>
      <c r="H11" s="167">
        <v>0.11</v>
      </c>
      <c r="I11" s="171">
        <v>45464</v>
      </c>
      <c r="J11" s="167" t="s">
        <v>276</v>
      </c>
      <c r="K11" s="248"/>
      <c r="L11" s="250"/>
      <c r="M11" s="250"/>
      <c r="N11" s="250"/>
      <c r="O11" s="250"/>
      <c r="P11" s="250"/>
      <c r="Q11" s="251"/>
      <c r="R11" s="251" t="s">
        <v>293</v>
      </c>
      <c r="S11" s="251"/>
      <c r="T11" s="251"/>
      <c r="U11" s="251"/>
      <c r="V11" s="250"/>
      <c r="W11" s="250"/>
      <c r="X11" s="250"/>
      <c r="Y11" s="250"/>
      <c r="Z11" s="250"/>
      <c r="AB11" s="18" t="str">
        <f t="shared" si="29"/>
        <v/>
      </c>
      <c r="AC11" s="18" t="str">
        <f t="shared" si="30"/>
        <v/>
      </c>
      <c r="AD11" s="18" t="str">
        <f t="shared" si="31"/>
        <v/>
      </c>
      <c r="AE11" s="18" t="str">
        <f t="shared" si="32"/>
        <v/>
      </c>
      <c r="AF11" s="18" t="str">
        <f t="shared" si="33"/>
        <v/>
      </c>
      <c r="AG11" s="18" t="str">
        <f t="shared" si="34"/>
        <v/>
      </c>
      <c r="AH11" s="18">
        <f t="shared" si="35"/>
        <v>14.999969999999999</v>
      </c>
      <c r="AI11" s="18" t="str">
        <f t="shared" si="36"/>
        <v/>
      </c>
      <c r="AJ11" s="18" t="str">
        <f t="shared" si="37"/>
        <v/>
      </c>
      <c r="AK11" s="18" t="str">
        <f t="shared" si="38"/>
        <v/>
      </c>
      <c r="AL11" s="18" t="str">
        <f t="shared" si="39"/>
        <v/>
      </c>
      <c r="AM11" s="18" t="str">
        <f t="shared" si="40"/>
        <v/>
      </c>
      <c r="AN11" s="18" t="str">
        <f t="shared" si="41"/>
        <v/>
      </c>
      <c r="AO11" s="18" t="str">
        <f t="shared" si="42"/>
        <v/>
      </c>
      <c r="AP11" s="18" t="str">
        <f t="shared" si="43"/>
        <v/>
      </c>
      <c r="AR11" s="18" t="str">
        <f t="shared" si="44"/>
        <v/>
      </c>
      <c r="AS11" s="18" t="str">
        <f t="shared" si="45"/>
        <v/>
      </c>
      <c r="AT11" s="18" t="str">
        <f t="shared" si="46"/>
        <v/>
      </c>
      <c r="AU11" s="18" t="str">
        <f t="shared" si="47"/>
        <v/>
      </c>
      <c r="AV11" s="18" t="str">
        <f t="shared" si="48"/>
        <v/>
      </c>
      <c r="AW11" s="18" t="str">
        <f t="shared" si="49"/>
        <v/>
      </c>
      <c r="AX11" s="18">
        <f t="shared" si="50"/>
        <v>0.11</v>
      </c>
      <c r="AY11" s="18" t="str">
        <f t="shared" si="51"/>
        <v/>
      </c>
      <c r="AZ11" s="18" t="str">
        <f t="shared" si="52"/>
        <v/>
      </c>
      <c r="BA11" s="18" t="str">
        <f t="shared" si="53"/>
        <v/>
      </c>
      <c r="BB11" s="18" t="str">
        <f t="shared" si="54"/>
        <v/>
      </c>
      <c r="BC11" s="18" t="str">
        <f t="shared" si="55"/>
        <v/>
      </c>
      <c r="BD11" s="18" t="str">
        <f t="shared" si="56"/>
        <v/>
      </c>
      <c r="BE11" s="18" t="str">
        <f t="shared" si="57"/>
        <v/>
      </c>
      <c r="BF11" s="18" t="str">
        <f t="shared" si="58"/>
        <v/>
      </c>
      <c r="BH11" s="18" t="str">
        <f t="shared" si="59"/>
        <v/>
      </c>
      <c r="BI11" s="18" t="str">
        <f t="shared" si="60"/>
        <v/>
      </c>
      <c r="BJ11" s="18" t="str">
        <f t="shared" si="61"/>
        <v/>
      </c>
      <c r="BK11" s="18" t="str">
        <f t="shared" si="62"/>
        <v/>
      </c>
      <c r="BL11" s="18" t="str">
        <f t="shared" si="63"/>
        <v/>
      </c>
      <c r="BM11" s="18" t="str">
        <f t="shared" si="64"/>
        <v/>
      </c>
      <c r="BN11" s="18" t="str">
        <f t="shared" si="65"/>
        <v>LK-066-IDN</v>
      </c>
      <c r="BO11" s="18" t="str">
        <f t="shared" si="66"/>
        <v/>
      </c>
      <c r="BP11" s="18" t="str">
        <f t="shared" si="67"/>
        <v/>
      </c>
      <c r="BQ11" s="18" t="str">
        <f t="shared" si="68"/>
        <v/>
      </c>
      <c r="BR11" s="18" t="str">
        <f t="shared" si="69"/>
        <v/>
      </c>
      <c r="BS11" s="18" t="str">
        <f t="shared" si="70"/>
        <v/>
      </c>
      <c r="BT11" s="18" t="str">
        <f t="shared" si="71"/>
        <v/>
      </c>
      <c r="BU11" s="18" t="str">
        <f t="shared" si="72"/>
        <v/>
      </c>
      <c r="BV11" s="18" t="str">
        <f t="shared" si="73"/>
        <v/>
      </c>
      <c r="BX11" s="184" t="s">
        <v>292</v>
      </c>
      <c r="BY11" s="185">
        <f t="shared" si="4"/>
        <v>0</v>
      </c>
      <c r="BZ11" s="185" t="str">
        <f>IF(BY11&gt;0,BX11,"")</f>
        <v/>
      </c>
      <c r="CA11" s="185" t="str">
        <f t="shared" si="6"/>
        <v/>
      </c>
      <c r="CC11" s="18" t="str">
        <f t="shared" si="74"/>
        <v/>
      </c>
      <c r="CD11" s="18" t="str">
        <f t="shared" si="75"/>
        <v/>
      </c>
      <c r="CE11" s="18" t="str">
        <f t="shared" si="76"/>
        <v/>
      </c>
      <c r="CF11" s="18" t="str">
        <f t="shared" si="77"/>
        <v/>
      </c>
      <c r="CG11" s="18" t="str">
        <f t="shared" si="78"/>
        <v/>
      </c>
      <c r="CH11" s="18" t="str">
        <f t="shared" si="79"/>
        <v/>
      </c>
      <c r="CI11" s="18" t="str">
        <f t="shared" si="80"/>
        <v>Mitutoyo, 516-106-10, S/N. 1103008</v>
      </c>
      <c r="CJ11" s="18" t="str">
        <f t="shared" si="81"/>
        <v/>
      </c>
      <c r="CK11" s="18" t="str">
        <f t="shared" si="82"/>
        <v/>
      </c>
      <c r="CL11" s="18" t="str">
        <f t="shared" si="83"/>
        <v/>
      </c>
      <c r="CM11" s="18" t="str">
        <f t="shared" si="84"/>
        <v/>
      </c>
      <c r="CN11" s="18" t="str">
        <f t="shared" si="85"/>
        <v/>
      </c>
      <c r="CO11" s="18" t="str">
        <f t="shared" si="86"/>
        <v/>
      </c>
      <c r="CP11" s="18" t="str">
        <f t="shared" si="87"/>
        <v/>
      </c>
      <c r="CQ11" s="18" t="str">
        <f t="shared" si="88"/>
        <v/>
      </c>
      <c r="CS11" s="184" t="s">
        <v>292</v>
      </c>
      <c r="CT11" s="185">
        <f t="shared" si="21"/>
        <v>0</v>
      </c>
      <c r="CU11" s="185" t="str">
        <f>IF(CT11&gt;0,CS11,"")</f>
        <v/>
      </c>
      <c r="CV11" s="184" t="str">
        <f t="shared" si="23"/>
        <v/>
      </c>
    </row>
    <row r="12" spans="1:101" ht="13.2" x14ac:dyDescent="0.25">
      <c r="A12" s="166" t="s">
        <v>281</v>
      </c>
      <c r="B12" s="166" t="s">
        <v>296</v>
      </c>
      <c r="C12" s="287" t="s">
        <v>383</v>
      </c>
      <c r="D12" s="167">
        <v>0</v>
      </c>
      <c r="E12" s="168">
        <v>17.600000000000001</v>
      </c>
      <c r="F12" s="169">
        <v>-0.08</v>
      </c>
      <c r="G12" s="170">
        <f t="shared" si="28"/>
        <v>17.599920000000001</v>
      </c>
      <c r="H12" s="167">
        <v>0.12</v>
      </c>
      <c r="I12" s="171">
        <v>45464</v>
      </c>
      <c r="J12" s="167" t="s">
        <v>276</v>
      </c>
      <c r="K12" s="248"/>
      <c r="L12" s="250"/>
      <c r="M12" s="250"/>
      <c r="N12" s="250"/>
      <c r="O12" s="250"/>
      <c r="P12" s="250"/>
      <c r="Q12" s="251"/>
      <c r="R12" s="251"/>
      <c r="S12" s="251" t="s">
        <v>293</v>
      </c>
      <c r="T12" s="251"/>
      <c r="U12" s="251"/>
      <c r="V12" s="250"/>
      <c r="W12" s="250"/>
      <c r="X12" s="250"/>
      <c r="Y12" s="250"/>
      <c r="Z12" s="250"/>
      <c r="AB12" s="18" t="str">
        <f t="shared" si="29"/>
        <v/>
      </c>
      <c r="AC12" s="18" t="str">
        <f t="shared" si="30"/>
        <v/>
      </c>
      <c r="AD12" s="18" t="str">
        <f t="shared" si="31"/>
        <v/>
      </c>
      <c r="AE12" s="18" t="str">
        <f t="shared" si="32"/>
        <v/>
      </c>
      <c r="AF12" s="18" t="str">
        <f t="shared" si="33"/>
        <v/>
      </c>
      <c r="AG12" s="18" t="str">
        <f t="shared" si="34"/>
        <v/>
      </c>
      <c r="AH12" s="18" t="str">
        <f t="shared" si="35"/>
        <v/>
      </c>
      <c r="AI12" s="18">
        <f t="shared" si="36"/>
        <v>17.599920000000001</v>
      </c>
      <c r="AJ12" s="18" t="str">
        <f t="shared" si="37"/>
        <v/>
      </c>
      <c r="AK12" s="18" t="str">
        <f t="shared" si="38"/>
        <v/>
      </c>
      <c r="AL12" s="18" t="str">
        <f t="shared" si="39"/>
        <v/>
      </c>
      <c r="AM12" s="18" t="str">
        <f t="shared" si="40"/>
        <v/>
      </c>
      <c r="AN12" s="18" t="str">
        <f t="shared" si="41"/>
        <v/>
      </c>
      <c r="AO12" s="18" t="str">
        <f t="shared" si="42"/>
        <v/>
      </c>
      <c r="AP12" s="18" t="str">
        <f t="shared" si="43"/>
        <v/>
      </c>
      <c r="AR12" s="18" t="str">
        <f t="shared" si="44"/>
        <v/>
      </c>
      <c r="AS12" s="18" t="str">
        <f t="shared" si="45"/>
        <v/>
      </c>
      <c r="AT12" s="18" t="str">
        <f t="shared" si="46"/>
        <v/>
      </c>
      <c r="AU12" s="18" t="str">
        <f t="shared" si="47"/>
        <v/>
      </c>
      <c r="AV12" s="18" t="str">
        <f t="shared" si="48"/>
        <v/>
      </c>
      <c r="AW12" s="18" t="str">
        <f t="shared" si="49"/>
        <v/>
      </c>
      <c r="AX12" s="18" t="str">
        <f t="shared" si="50"/>
        <v/>
      </c>
      <c r="AY12" s="18">
        <f t="shared" si="51"/>
        <v>0.12</v>
      </c>
      <c r="AZ12" s="18" t="str">
        <f t="shared" si="52"/>
        <v/>
      </c>
      <c r="BA12" s="18" t="str">
        <f t="shared" si="53"/>
        <v/>
      </c>
      <c r="BB12" s="18" t="str">
        <f t="shared" si="54"/>
        <v/>
      </c>
      <c r="BC12" s="18" t="str">
        <f t="shared" si="55"/>
        <v/>
      </c>
      <c r="BD12" s="18" t="str">
        <f t="shared" si="56"/>
        <v/>
      </c>
      <c r="BE12" s="18" t="str">
        <f t="shared" si="57"/>
        <v/>
      </c>
      <c r="BF12" s="18" t="str">
        <f t="shared" si="58"/>
        <v/>
      </c>
      <c r="BH12" s="18" t="str">
        <f t="shared" si="59"/>
        <v/>
      </c>
      <c r="BI12" s="18" t="str">
        <f t="shared" si="60"/>
        <v/>
      </c>
      <c r="BJ12" s="18" t="str">
        <f t="shared" si="61"/>
        <v/>
      </c>
      <c r="BK12" s="18" t="str">
        <f t="shared" si="62"/>
        <v/>
      </c>
      <c r="BL12" s="18" t="str">
        <f t="shared" si="63"/>
        <v/>
      </c>
      <c r="BM12" s="18" t="str">
        <f t="shared" si="64"/>
        <v/>
      </c>
      <c r="BN12" s="18" t="str">
        <f t="shared" si="65"/>
        <v/>
      </c>
      <c r="BO12" s="18" t="str">
        <f t="shared" si="66"/>
        <v>LK-066-IDN</v>
      </c>
      <c r="BP12" s="18" t="str">
        <f t="shared" si="67"/>
        <v/>
      </c>
      <c r="BQ12" s="18" t="str">
        <f t="shared" si="68"/>
        <v/>
      </c>
      <c r="BR12" s="18" t="str">
        <f t="shared" si="69"/>
        <v/>
      </c>
      <c r="BS12" s="18" t="str">
        <f t="shared" si="70"/>
        <v/>
      </c>
      <c r="BT12" s="18" t="str">
        <f t="shared" si="71"/>
        <v/>
      </c>
      <c r="BU12" s="18" t="str">
        <f t="shared" si="72"/>
        <v/>
      </c>
      <c r="BV12" s="18" t="str">
        <f t="shared" si="73"/>
        <v/>
      </c>
      <c r="BX12" s="186"/>
      <c r="BY12" s="187"/>
      <c r="BZ12" s="187"/>
      <c r="CA12" s="187"/>
      <c r="CC12" s="18" t="str">
        <f t="shared" si="74"/>
        <v/>
      </c>
      <c r="CD12" s="18" t="str">
        <f t="shared" si="75"/>
        <v/>
      </c>
      <c r="CE12" s="18" t="str">
        <f t="shared" si="76"/>
        <v/>
      </c>
      <c r="CF12" s="18" t="str">
        <f t="shared" si="77"/>
        <v/>
      </c>
      <c r="CG12" s="18" t="str">
        <f t="shared" si="78"/>
        <v/>
      </c>
      <c r="CH12" s="18" t="str">
        <f t="shared" si="79"/>
        <v/>
      </c>
      <c r="CI12" s="18" t="str">
        <f t="shared" si="80"/>
        <v/>
      </c>
      <c r="CJ12" s="18" t="str">
        <f t="shared" si="81"/>
        <v>Mitutoyo, 516-106-10, S/N. 1103008</v>
      </c>
      <c r="CK12" s="18" t="str">
        <f t="shared" si="82"/>
        <v/>
      </c>
      <c r="CL12" s="18" t="str">
        <f t="shared" si="83"/>
        <v/>
      </c>
      <c r="CM12" s="18" t="str">
        <f t="shared" si="84"/>
        <v/>
      </c>
      <c r="CN12" s="18" t="str">
        <f t="shared" si="85"/>
        <v/>
      </c>
      <c r="CO12" s="18" t="str">
        <f t="shared" si="86"/>
        <v/>
      </c>
      <c r="CP12" s="18" t="str">
        <f t="shared" si="87"/>
        <v/>
      </c>
      <c r="CQ12" s="18" t="str">
        <f t="shared" si="88"/>
        <v/>
      </c>
      <c r="CS12" s="186"/>
      <c r="CT12" s="187"/>
      <c r="CU12" s="187"/>
      <c r="CV12" s="187"/>
    </row>
    <row r="13" spans="1:101" ht="13.2" x14ac:dyDescent="0.25">
      <c r="A13" s="166" t="s">
        <v>281</v>
      </c>
      <c r="B13" s="166" t="s">
        <v>296</v>
      </c>
      <c r="C13" s="287" t="s">
        <v>383</v>
      </c>
      <c r="D13" s="167">
        <v>0</v>
      </c>
      <c r="E13" s="168">
        <v>20.2</v>
      </c>
      <c r="F13" s="169">
        <v>-0.09</v>
      </c>
      <c r="G13" s="170">
        <f t="shared" si="28"/>
        <v>20.199909999999999</v>
      </c>
      <c r="H13" s="167">
        <v>0.12</v>
      </c>
      <c r="I13" s="171">
        <v>45464</v>
      </c>
      <c r="J13" s="167" t="s">
        <v>276</v>
      </c>
      <c r="K13" s="248"/>
      <c r="L13" s="250"/>
      <c r="M13" s="250"/>
      <c r="N13" s="250"/>
      <c r="O13" s="250"/>
      <c r="P13" s="250"/>
      <c r="Q13" s="251"/>
      <c r="R13" s="251"/>
      <c r="S13" s="251"/>
      <c r="T13" s="251" t="s">
        <v>293</v>
      </c>
      <c r="U13" s="251"/>
      <c r="V13" s="250"/>
      <c r="W13" s="250"/>
      <c r="X13" s="250"/>
      <c r="Y13" s="250"/>
      <c r="Z13" s="250"/>
      <c r="AB13" s="18" t="str">
        <f t="shared" si="29"/>
        <v/>
      </c>
      <c r="AC13" s="18" t="str">
        <f t="shared" si="30"/>
        <v/>
      </c>
      <c r="AD13" s="18" t="str">
        <f t="shared" si="31"/>
        <v/>
      </c>
      <c r="AE13" s="18" t="str">
        <f t="shared" si="32"/>
        <v/>
      </c>
      <c r="AF13" s="18" t="str">
        <f t="shared" si="33"/>
        <v/>
      </c>
      <c r="AG13" s="18" t="str">
        <f t="shared" si="34"/>
        <v/>
      </c>
      <c r="AH13" s="18" t="str">
        <f t="shared" si="35"/>
        <v/>
      </c>
      <c r="AI13" s="18" t="str">
        <f t="shared" si="36"/>
        <v/>
      </c>
      <c r="AJ13" s="18">
        <f t="shared" si="37"/>
        <v>20.199909999999999</v>
      </c>
      <c r="AK13" s="18" t="str">
        <f t="shared" si="38"/>
        <v/>
      </c>
      <c r="AL13" s="18" t="str">
        <f t="shared" si="39"/>
        <v/>
      </c>
      <c r="AM13" s="18" t="str">
        <f t="shared" si="40"/>
        <v/>
      </c>
      <c r="AN13" s="18" t="str">
        <f t="shared" si="41"/>
        <v/>
      </c>
      <c r="AO13" s="18" t="str">
        <f t="shared" si="42"/>
        <v/>
      </c>
      <c r="AP13" s="18" t="str">
        <f t="shared" si="43"/>
        <v/>
      </c>
      <c r="AR13" s="18" t="str">
        <f t="shared" si="44"/>
        <v/>
      </c>
      <c r="AS13" s="18" t="str">
        <f t="shared" si="45"/>
        <v/>
      </c>
      <c r="AT13" s="18" t="str">
        <f t="shared" si="46"/>
        <v/>
      </c>
      <c r="AU13" s="18" t="str">
        <f t="shared" si="47"/>
        <v/>
      </c>
      <c r="AV13" s="18" t="str">
        <f t="shared" si="48"/>
        <v/>
      </c>
      <c r="AW13" s="18" t="str">
        <f t="shared" si="49"/>
        <v/>
      </c>
      <c r="AX13" s="18" t="str">
        <f t="shared" si="50"/>
        <v/>
      </c>
      <c r="AY13" s="18" t="str">
        <f t="shared" si="51"/>
        <v/>
      </c>
      <c r="AZ13" s="18">
        <f t="shared" si="52"/>
        <v>0.12</v>
      </c>
      <c r="BA13" s="18" t="str">
        <f t="shared" si="53"/>
        <v/>
      </c>
      <c r="BB13" s="18" t="str">
        <f t="shared" si="54"/>
        <v/>
      </c>
      <c r="BC13" s="18" t="str">
        <f t="shared" si="55"/>
        <v/>
      </c>
      <c r="BD13" s="18" t="str">
        <f t="shared" si="56"/>
        <v/>
      </c>
      <c r="BE13" s="18" t="str">
        <f t="shared" si="57"/>
        <v/>
      </c>
      <c r="BF13" s="18" t="str">
        <f t="shared" si="58"/>
        <v/>
      </c>
      <c r="BH13" s="18" t="str">
        <f t="shared" si="59"/>
        <v/>
      </c>
      <c r="BI13" s="18" t="str">
        <f t="shared" si="60"/>
        <v/>
      </c>
      <c r="BJ13" s="18" t="str">
        <f t="shared" si="61"/>
        <v/>
      </c>
      <c r="BK13" s="18" t="str">
        <f t="shared" si="62"/>
        <v/>
      </c>
      <c r="BL13" s="18" t="str">
        <f t="shared" si="63"/>
        <v/>
      </c>
      <c r="BM13" s="18" t="str">
        <f t="shared" si="64"/>
        <v/>
      </c>
      <c r="BN13" s="18" t="str">
        <f t="shared" si="65"/>
        <v/>
      </c>
      <c r="BO13" s="18" t="str">
        <f t="shared" si="66"/>
        <v/>
      </c>
      <c r="BP13" s="18" t="str">
        <f t="shared" si="67"/>
        <v>LK-066-IDN</v>
      </c>
      <c r="BQ13" s="18" t="str">
        <f t="shared" si="68"/>
        <v/>
      </c>
      <c r="BR13" s="18" t="str">
        <f t="shared" si="69"/>
        <v/>
      </c>
      <c r="BS13" s="18" t="str">
        <f t="shared" si="70"/>
        <v/>
      </c>
      <c r="BT13" s="18" t="str">
        <f t="shared" si="71"/>
        <v/>
      </c>
      <c r="BU13" s="18" t="str">
        <f t="shared" si="72"/>
        <v/>
      </c>
      <c r="BV13" s="18" t="str">
        <f t="shared" si="73"/>
        <v/>
      </c>
      <c r="BX13" s="186"/>
      <c r="BY13" s="187"/>
      <c r="BZ13" s="184" t="str">
        <f>CA4&amp;CA5&amp;CA6&amp;CA7&amp;CA8&amp;CA9&amp;CA10&amp;CA11</f>
        <v xml:space="preserve">LK-066-IDN, </v>
      </c>
      <c r="CA13" s="187"/>
      <c r="CC13" s="18" t="str">
        <f t="shared" si="74"/>
        <v/>
      </c>
      <c r="CD13" s="18" t="str">
        <f t="shared" si="75"/>
        <v/>
      </c>
      <c r="CE13" s="18" t="str">
        <f t="shared" si="76"/>
        <v/>
      </c>
      <c r="CF13" s="18" t="str">
        <f t="shared" si="77"/>
        <v/>
      </c>
      <c r="CG13" s="18" t="str">
        <f t="shared" si="78"/>
        <v/>
      </c>
      <c r="CH13" s="18" t="str">
        <f t="shared" si="79"/>
        <v/>
      </c>
      <c r="CI13" s="18" t="str">
        <f t="shared" si="80"/>
        <v/>
      </c>
      <c r="CJ13" s="18" t="str">
        <f t="shared" si="81"/>
        <v/>
      </c>
      <c r="CK13" s="18" t="str">
        <f t="shared" si="82"/>
        <v>Mitutoyo, 516-106-10, S/N. 1103008</v>
      </c>
      <c r="CL13" s="18" t="str">
        <f t="shared" si="83"/>
        <v/>
      </c>
      <c r="CM13" s="18" t="str">
        <f t="shared" si="84"/>
        <v/>
      </c>
      <c r="CN13" s="18" t="str">
        <f t="shared" si="85"/>
        <v/>
      </c>
      <c r="CO13" s="18" t="str">
        <f t="shared" si="86"/>
        <v/>
      </c>
      <c r="CP13" s="18" t="str">
        <f t="shared" si="87"/>
        <v/>
      </c>
      <c r="CQ13" s="18" t="str">
        <f t="shared" si="88"/>
        <v/>
      </c>
      <c r="CS13" s="186"/>
      <c r="CT13" s="187"/>
      <c r="CU13" s="184" t="str">
        <f>CV4&amp;CV5&amp;CV6&amp;CV7&amp;CV8&amp;CV9&amp;CV10&amp;CV11</f>
        <v xml:space="preserve">Mitutoyo, 516-106-10, S/N. 1103008; </v>
      </c>
      <c r="CV13" s="187"/>
    </row>
    <row r="14" spans="1:101" ht="13.2" x14ac:dyDescent="0.25">
      <c r="A14" s="166" t="s">
        <v>281</v>
      </c>
      <c r="B14" s="166" t="s">
        <v>296</v>
      </c>
      <c r="C14" s="287" t="s">
        <v>383</v>
      </c>
      <c r="D14" s="167">
        <v>0</v>
      </c>
      <c r="E14" s="168">
        <v>22.8</v>
      </c>
      <c r="F14" s="169">
        <v>-0.11</v>
      </c>
      <c r="G14" s="170">
        <f t="shared" si="28"/>
        <v>22.799890000000001</v>
      </c>
      <c r="H14" s="167">
        <v>0.12</v>
      </c>
      <c r="I14" s="171">
        <v>45464</v>
      </c>
      <c r="J14" s="167" t="s">
        <v>276</v>
      </c>
      <c r="K14" s="248"/>
      <c r="L14" s="250"/>
      <c r="M14" s="250"/>
      <c r="N14" s="250"/>
      <c r="O14" s="250"/>
      <c r="P14" s="250"/>
      <c r="Q14" s="251"/>
      <c r="R14" s="251"/>
      <c r="S14" s="251"/>
      <c r="T14" s="251"/>
      <c r="U14" s="251" t="s">
        <v>293</v>
      </c>
      <c r="V14" s="250"/>
      <c r="W14" s="250"/>
      <c r="X14" s="250"/>
      <c r="Y14" s="250"/>
      <c r="Z14" s="250"/>
      <c r="AB14" s="18" t="str">
        <f t="shared" si="29"/>
        <v/>
      </c>
      <c r="AC14" s="18" t="str">
        <f t="shared" si="30"/>
        <v/>
      </c>
      <c r="AD14" s="18" t="str">
        <f t="shared" si="31"/>
        <v/>
      </c>
      <c r="AE14" s="18" t="str">
        <f t="shared" si="32"/>
        <v/>
      </c>
      <c r="AF14" s="18" t="str">
        <f t="shared" si="33"/>
        <v/>
      </c>
      <c r="AG14" s="18" t="str">
        <f t="shared" si="34"/>
        <v/>
      </c>
      <c r="AH14" s="18" t="str">
        <f t="shared" si="35"/>
        <v/>
      </c>
      <c r="AI14" s="18" t="str">
        <f t="shared" si="36"/>
        <v/>
      </c>
      <c r="AJ14" s="18" t="str">
        <f t="shared" si="37"/>
        <v/>
      </c>
      <c r="AK14" s="18">
        <f t="shared" si="38"/>
        <v>22.799890000000001</v>
      </c>
      <c r="AL14" s="18" t="str">
        <f t="shared" si="39"/>
        <v/>
      </c>
      <c r="AM14" s="18" t="str">
        <f t="shared" si="40"/>
        <v/>
      </c>
      <c r="AN14" s="18" t="str">
        <f t="shared" si="41"/>
        <v/>
      </c>
      <c r="AO14" s="18" t="str">
        <f t="shared" si="42"/>
        <v/>
      </c>
      <c r="AP14" s="18" t="str">
        <f t="shared" si="43"/>
        <v/>
      </c>
      <c r="AR14" s="18" t="str">
        <f t="shared" si="44"/>
        <v/>
      </c>
      <c r="AS14" s="18" t="str">
        <f t="shared" si="45"/>
        <v/>
      </c>
      <c r="AT14" s="18" t="str">
        <f t="shared" si="46"/>
        <v/>
      </c>
      <c r="AU14" s="18" t="str">
        <f t="shared" si="47"/>
        <v/>
      </c>
      <c r="AV14" s="18" t="str">
        <f t="shared" si="48"/>
        <v/>
      </c>
      <c r="AW14" s="18" t="str">
        <f t="shared" si="49"/>
        <v/>
      </c>
      <c r="AX14" s="18" t="str">
        <f t="shared" si="50"/>
        <v/>
      </c>
      <c r="AY14" s="18" t="str">
        <f t="shared" si="51"/>
        <v/>
      </c>
      <c r="AZ14" s="18" t="str">
        <f t="shared" si="52"/>
        <v/>
      </c>
      <c r="BA14" s="18">
        <f t="shared" si="53"/>
        <v>0.12</v>
      </c>
      <c r="BB14" s="18" t="str">
        <f t="shared" si="54"/>
        <v/>
      </c>
      <c r="BC14" s="18" t="str">
        <f t="shared" si="55"/>
        <v/>
      </c>
      <c r="BD14" s="18" t="str">
        <f t="shared" si="56"/>
        <v/>
      </c>
      <c r="BE14" s="18" t="str">
        <f t="shared" si="57"/>
        <v/>
      </c>
      <c r="BF14" s="18" t="str">
        <f t="shared" si="58"/>
        <v/>
      </c>
      <c r="BH14" s="18" t="str">
        <f t="shared" si="59"/>
        <v/>
      </c>
      <c r="BI14" s="18" t="str">
        <f t="shared" si="60"/>
        <v/>
      </c>
      <c r="BJ14" s="18" t="str">
        <f t="shared" si="61"/>
        <v/>
      </c>
      <c r="BK14" s="18" t="str">
        <f t="shared" si="62"/>
        <v/>
      </c>
      <c r="BL14" s="18" t="str">
        <f t="shared" si="63"/>
        <v/>
      </c>
      <c r="BM14" s="18" t="str">
        <f t="shared" si="64"/>
        <v/>
      </c>
      <c r="BN14" s="18" t="str">
        <f t="shared" si="65"/>
        <v/>
      </c>
      <c r="BO14" s="18" t="str">
        <f t="shared" si="66"/>
        <v/>
      </c>
      <c r="BP14" s="18" t="str">
        <f t="shared" si="67"/>
        <v/>
      </c>
      <c r="BQ14" s="18" t="str">
        <f t="shared" si="68"/>
        <v>LK-066-IDN</v>
      </c>
      <c r="BR14" s="18" t="str">
        <f t="shared" si="69"/>
        <v/>
      </c>
      <c r="BS14" s="18" t="str">
        <f t="shared" si="70"/>
        <v/>
      </c>
      <c r="BT14" s="18" t="str">
        <f t="shared" si="71"/>
        <v/>
      </c>
      <c r="BU14" s="18" t="str">
        <f t="shared" si="72"/>
        <v/>
      </c>
      <c r="BV14" s="18" t="str">
        <f t="shared" si="73"/>
        <v/>
      </c>
      <c r="BX14" s="186"/>
      <c r="BY14" s="187"/>
      <c r="BZ14" s="184" t="str">
        <f>TEXT(BZ13,"")</f>
        <v xml:space="preserve">LK-066-IDN, </v>
      </c>
      <c r="CA14" s="187"/>
      <c r="CC14" s="18" t="str">
        <f t="shared" si="74"/>
        <v/>
      </c>
      <c r="CD14" s="18" t="str">
        <f t="shared" si="75"/>
        <v/>
      </c>
      <c r="CE14" s="18" t="str">
        <f t="shared" si="76"/>
        <v/>
      </c>
      <c r="CF14" s="18" t="str">
        <f t="shared" si="77"/>
        <v/>
      </c>
      <c r="CG14" s="18" t="str">
        <f t="shared" si="78"/>
        <v/>
      </c>
      <c r="CH14" s="18" t="str">
        <f t="shared" si="79"/>
        <v/>
      </c>
      <c r="CI14" s="18" t="str">
        <f t="shared" si="80"/>
        <v/>
      </c>
      <c r="CJ14" s="18" t="str">
        <f t="shared" si="81"/>
        <v/>
      </c>
      <c r="CK14" s="18" t="str">
        <f t="shared" si="82"/>
        <v/>
      </c>
      <c r="CL14" s="18" t="str">
        <f t="shared" si="83"/>
        <v>Mitutoyo, 516-106-10, S/N. 1103008</v>
      </c>
      <c r="CM14" s="18" t="str">
        <f t="shared" si="84"/>
        <v/>
      </c>
      <c r="CN14" s="18" t="str">
        <f t="shared" si="85"/>
        <v/>
      </c>
      <c r="CO14" s="18" t="str">
        <f t="shared" si="86"/>
        <v/>
      </c>
      <c r="CP14" s="18" t="str">
        <f t="shared" si="87"/>
        <v/>
      </c>
      <c r="CQ14" s="18" t="str">
        <f t="shared" si="88"/>
        <v/>
      </c>
      <c r="CS14" s="186"/>
      <c r="CT14" s="187"/>
      <c r="CU14" s="184" t="str">
        <f>TEXT(CU13,"")</f>
        <v xml:space="preserve">Mitutoyo, 516-106-10, S/N. 1103008; </v>
      </c>
      <c r="CV14" s="187"/>
    </row>
    <row r="15" spans="1:101" thickBot="1" x14ac:dyDescent="0.3">
      <c r="A15" s="166" t="s">
        <v>281</v>
      </c>
      <c r="B15" s="166" t="s">
        <v>296</v>
      </c>
      <c r="C15" s="287" t="s">
        <v>383</v>
      </c>
      <c r="D15" s="167">
        <v>0</v>
      </c>
      <c r="E15" s="168">
        <v>25</v>
      </c>
      <c r="F15" s="169">
        <v>0.08</v>
      </c>
      <c r="G15" s="170">
        <f t="shared" si="28"/>
        <v>25.000080000000001</v>
      </c>
      <c r="H15" s="167">
        <v>0.14000000000000001</v>
      </c>
      <c r="I15" s="171">
        <v>45464</v>
      </c>
      <c r="J15" s="167" t="s">
        <v>276</v>
      </c>
      <c r="K15" s="248"/>
      <c r="L15" s="252"/>
      <c r="M15" s="252"/>
      <c r="N15" s="252"/>
      <c r="O15" s="252"/>
      <c r="P15" s="252"/>
      <c r="Q15" s="253"/>
      <c r="R15" s="253"/>
      <c r="S15" s="253"/>
      <c r="T15" s="253"/>
      <c r="U15" s="253"/>
      <c r="V15" s="252" t="s">
        <v>293</v>
      </c>
      <c r="W15" s="252"/>
      <c r="X15" s="252"/>
      <c r="Y15" s="252"/>
      <c r="Z15" s="252"/>
      <c r="AB15" s="18" t="str">
        <f t="shared" si="29"/>
        <v/>
      </c>
      <c r="AC15" s="18" t="str">
        <f t="shared" si="30"/>
        <v/>
      </c>
      <c r="AD15" s="18" t="str">
        <f t="shared" si="31"/>
        <v/>
      </c>
      <c r="AE15" s="18" t="str">
        <f t="shared" si="32"/>
        <v/>
      </c>
      <c r="AF15" s="18" t="str">
        <f t="shared" si="33"/>
        <v/>
      </c>
      <c r="AG15" s="18" t="str">
        <f t="shared" si="34"/>
        <v/>
      </c>
      <c r="AH15" s="18" t="str">
        <f t="shared" si="35"/>
        <v/>
      </c>
      <c r="AI15" s="18" t="str">
        <f t="shared" si="36"/>
        <v/>
      </c>
      <c r="AJ15" s="18" t="str">
        <f t="shared" si="37"/>
        <v/>
      </c>
      <c r="AK15" s="18" t="str">
        <f t="shared" si="38"/>
        <v/>
      </c>
      <c r="AL15" s="18">
        <f t="shared" si="39"/>
        <v>25.000080000000001</v>
      </c>
      <c r="AM15" s="18" t="str">
        <f t="shared" si="40"/>
        <v/>
      </c>
      <c r="AN15" s="18" t="str">
        <f t="shared" si="41"/>
        <v/>
      </c>
      <c r="AO15" s="18" t="str">
        <f t="shared" si="42"/>
        <v/>
      </c>
      <c r="AP15" s="18" t="str">
        <f t="shared" si="43"/>
        <v/>
      </c>
      <c r="AR15" s="18" t="str">
        <f t="shared" si="44"/>
        <v/>
      </c>
      <c r="AS15" s="18" t="str">
        <f t="shared" si="45"/>
        <v/>
      </c>
      <c r="AT15" s="18" t="str">
        <f t="shared" si="46"/>
        <v/>
      </c>
      <c r="AU15" s="18" t="str">
        <f t="shared" si="47"/>
        <v/>
      </c>
      <c r="AV15" s="18" t="str">
        <f t="shared" si="48"/>
        <v/>
      </c>
      <c r="AW15" s="18" t="str">
        <f t="shared" si="49"/>
        <v/>
      </c>
      <c r="AX15" s="18" t="str">
        <f t="shared" si="50"/>
        <v/>
      </c>
      <c r="AY15" s="18" t="str">
        <f t="shared" si="51"/>
        <v/>
      </c>
      <c r="AZ15" s="18" t="str">
        <f t="shared" si="52"/>
        <v/>
      </c>
      <c r="BA15" s="18" t="str">
        <f t="shared" si="53"/>
        <v/>
      </c>
      <c r="BB15" s="18">
        <f t="shared" si="54"/>
        <v>0.14000000000000001</v>
      </c>
      <c r="BC15" s="18" t="str">
        <f t="shared" si="55"/>
        <v/>
      </c>
      <c r="BD15" s="18" t="str">
        <f t="shared" si="56"/>
        <v/>
      </c>
      <c r="BE15" s="18" t="str">
        <f t="shared" si="57"/>
        <v/>
      </c>
      <c r="BF15" s="18" t="str">
        <f t="shared" si="58"/>
        <v/>
      </c>
      <c r="BH15" s="18" t="str">
        <f t="shared" si="59"/>
        <v/>
      </c>
      <c r="BI15" s="18" t="str">
        <f t="shared" si="60"/>
        <v/>
      </c>
      <c r="BJ15" s="18" t="str">
        <f t="shared" si="61"/>
        <v/>
      </c>
      <c r="BK15" s="18" t="str">
        <f t="shared" si="62"/>
        <v/>
      </c>
      <c r="BL15" s="18" t="str">
        <f t="shared" si="63"/>
        <v/>
      </c>
      <c r="BM15" s="18" t="str">
        <f t="shared" si="64"/>
        <v/>
      </c>
      <c r="BN15" s="18" t="str">
        <f t="shared" si="65"/>
        <v/>
      </c>
      <c r="BO15" s="18" t="str">
        <f t="shared" si="66"/>
        <v/>
      </c>
      <c r="BP15" s="18" t="str">
        <f t="shared" si="67"/>
        <v/>
      </c>
      <c r="BQ15" s="18" t="str">
        <f t="shared" si="68"/>
        <v/>
      </c>
      <c r="BR15" s="18" t="str">
        <f t="shared" si="69"/>
        <v>LK-066-IDN</v>
      </c>
      <c r="BS15" s="18" t="str">
        <f t="shared" si="70"/>
        <v/>
      </c>
      <c r="BT15" s="18" t="str">
        <f t="shared" si="71"/>
        <v/>
      </c>
      <c r="BU15" s="18" t="str">
        <f t="shared" si="72"/>
        <v/>
      </c>
      <c r="BV15" s="18" t="str">
        <f t="shared" si="73"/>
        <v/>
      </c>
      <c r="BX15" s="188"/>
      <c r="BY15" s="189"/>
      <c r="BZ15" s="184" t="str">
        <f>LEFT(BZ14,LEN(BZ14)-2)</f>
        <v>LK-066-IDN</v>
      </c>
      <c r="CA15" s="189"/>
      <c r="CC15" s="18" t="str">
        <f t="shared" si="74"/>
        <v/>
      </c>
      <c r="CD15" s="18" t="str">
        <f t="shared" si="75"/>
        <v/>
      </c>
      <c r="CE15" s="18" t="str">
        <f t="shared" si="76"/>
        <v/>
      </c>
      <c r="CF15" s="18" t="str">
        <f t="shared" si="77"/>
        <v/>
      </c>
      <c r="CG15" s="18" t="str">
        <f t="shared" si="78"/>
        <v/>
      </c>
      <c r="CH15" s="18" t="str">
        <f t="shared" si="79"/>
        <v/>
      </c>
      <c r="CI15" s="18" t="str">
        <f t="shared" si="80"/>
        <v/>
      </c>
      <c r="CJ15" s="18" t="str">
        <f t="shared" si="81"/>
        <v/>
      </c>
      <c r="CK15" s="18" t="str">
        <f t="shared" si="82"/>
        <v/>
      </c>
      <c r="CL15" s="18" t="str">
        <f t="shared" si="83"/>
        <v/>
      </c>
      <c r="CM15" s="18" t="str">
        <f t="shared" si="84"/>
        <v>Mitutoyo, 516-106-10, S/N. 1103008</v>
      </c>
      <c r="CN15" s="18" t="str">
        <f t="shared" si="85"/>
        <v/>
      </c>
      <c r="CO15" s="18" t="str">
        <f t="shared" si="86"/>
        <v/>
      </c>
      <c r="CP15" s="18" t="str">
        <f t="shared" si="87"/>
        <v/>
      </c>
      <c r="CQ15" s="18" t="str">
        <f t="shared" si="88"/>
        <v/>
      </c>
      <c r="CS15" s="188"/>
      <c r="CT15" s="189"/>
      <c r="CU15" s="184" t="str">
        <f>LEFT(CU14,LEN(CU14)-2)</f>
        <v>Mitutoyo, 516-106-10, S/N. 1103008</v>
      </c>
      <c r="CV15" s="189"/>
    </row>
    <row r="16" spans="1:101" ht="14.4" thickTop="1" x14ac:dyDescent="0.3">
      <c r="A16" s="161" t="s">
        <v>282</v>
      </c>
      <c r="B16" s="191" t="s">
        <v>297</v>
      </c>
      <c r="C16" s="191"/>
      <c r="D16" s="162">
        <v>0</v>
      </c>
      <c r="E16" s="163">
        <v>25</v>
      </c>
      <c r="F16" s="164">
        <v>-0.05</v>
      </c>
      <c r="G16" s="165">
        <f t="shared" si="28"/>
        <v>24.999949999999998</v>
      </c>
      <c r="H16" s="162">
        <v>0.12</v>
      </c>
      <c r="I16" s="277" t="s">
        <v>368</v>
      </c>
      <c r="J16" s="162" t="s">
        <v>276</v>
      </c>
      <c r="K16" s="248"/>
      <c r="L16" s="254"/>
      <c r="M16" s="254"/>
      <c r="N16" s="254"/>
      <c r="O16" s="254"/>
      <c r="P16" s="254"/>
      <c r="Q16" s="255"/>
      <c r="R16" s="255"/>
      <c r="S16" s="255"/>
      <c r="T16" s="255"/>
      <c r="U16" s="255"/>
      <c r="V16" s="254"/>
      <c r="W16" s="254"/>
      <c r="X16" s="254"/>
      <c r="Y16" s="254"/>
      <c r="Z16" s="254"/>
      <c r="AB16" s="18" t="str">
        <f t="shared" si="29"/>
        <v/>
      </c>
      <c r="AC16" s="18" t="str">
        <f t="shared" si="30"/>
        <v/>
      </c>
      <c r="AD16" s="18" t="str">
        <f t="shared" si="31"/>
        <v/>
      </c>
      <c r="AE16" s="18" t="str">
        <f t="shared" si="32"/>
        <v/>
      </c>
      <c r="AF16" s="18" t="str">
        <f t="shared" si="33"/>
        <v/>
      </c>
      <c r="AG16" s="18" t="str">
        <f t="shared" si="34"/>
        <v/>
      </c>
      <c r="AH16" s="18" t="str">
        <f t="shared" si="35"/>
        <v/>
      </c>
      <c r="AI16" s="18" t="str">
        <f t="shared" si="36"/>
        <v/>
      </c>
      <c r="AJ16" s="18" t="str">
        <f t="shared" si="37"/>
        <v/>
      </c>
      <c r="AK16" s="18" t="str">
        <f t="shared" si="38"/>
        <v/>
      </c>
      <c r="AL16" s="18" t="str">
        <f t="shared" si="39"/>
        <v/>
      </c>
      <c r="AM16" s="18" t="str">
        <f t="shared" si="40"/>
        <v/>
      </c>
      <c r="AN16" s="18" t="str">
        <f t="shared" si="41"/>
        <v/>
      </c>
      <c r="AO16" s="18" t="str">
        <f t="shared" si="42"/>
        <v/>
      </c>
      <c r="AP16" s="18" t="str">
        <f t="shared" si="43"/>
        <v/>
      </c>
      <c r="AR16" s="18" t="str">
        <f t="shared" si="44"/>
        <v/>
      </c>
      <c r="AS16" s="18" t="str">
        <f t="shared" si="45"/>
        <v/>
      </c>
      <c r="AT16" s="18" t="str">
        <f t="shared" si="46"/>
        <v/>
      </c>
      <c r="AU16" s="18" t="str">
        <f t="shared" si="47"/>
        <v/>
      </c>
      <c r="AV16" s="18" t="str">
        <f t="shared" si="48"/>
        <v/>
      </c>
      <c r="AW16" s="18" t="str">
        <f t="shared" si="49"/>
        <v/>
      </c>
      <c r="AX16" s="18" t="str">
        <f t="shared" si="50"/>
        <v/>
      </c>
      <c r="AY16" s="18" t="str">
        <f t="shared" si="51"/>
        <v/>
      </c>
      <c r="AZ16" s="18" t="str">
        <f t="shared" si="52"/>
        <v/>
      </c>
      <c r="BA16" s="18" t="str">
        <f t="shared" si="53"/>
        <v/>
      </c>
      <c r="BB16" s="18" t="str">
        <f t="shared" si="54"/>
        <v/>
      </c>
      <c r="BC16" s="18" t="str">
        <f t="shared" si="55"/>
        <v/>
      </c>
      <c r="BD16" s="18" t="str">
        <f t="shared" si="56"/>
        <v/>
      </c>
      <c r="BE16" s="18" t="str">
        <f t="shared" si="57"/>
        <v/>
      </c>
      <c r="BF16" s="18" t="str">
        <f t="shared" si="58"/>
        <v/>
      </c>
      <c r="BH16" s="18" t="str">
        <f t="shared" si="59"/>
        <v/>
      </c>
      <c r="BI16" s="18" t="str">
        <f t="shared" si="60"/>
        <v/>
      </c>
      <c r="BJ16" s="18" t="str">
        <f t="shared" si="61"/>
        <v/>
      </c>
      <c r="BK16" s="18" t="str">
        <f t="shared" si="62"/>
        <v/>
      </c>
      <c r="BL16" s="18" t="str">
        <f t="shared" si="63"/>
        <v/>
      </c>
      <c r="BM16" s="18" t="str">
        <f t="shared" si="64"/>
        <v/>
      </c>
      <c r="BN16" s="18" t="str">
        <f t="shared" si="65"/>
        <v/>
      </c>
      <c r="BO16" s="18" t="str">
        <f t="shared" si="66"/>
        <v/>
      </c>
      <c r="BP16" s="18" t="str">
        <f t="shared" si="67"/>
        <v/>
      </c>
      <c r="BQ16" s="18" t="str">
        <f t="shared" si="68"/>
        <v/>
      </c>
      <c r="BR16" s="18" t="str">
        <f t="shared" si="69"/>
        <v/>
      </c>
      <c r="BS16" s="18" t="str">
        <f t="shared" si="70"/>
        <v/>
      </c>
      <c r="BT16" s="18" t="str">
        <f t="shared" si="71"/>
        <v/>
      </c>
      <c r="BU16" s="18" t="str">
        <f t="shared" si="72"/>
        <v/>
      </c>
      <c r="BV16" s="18" t="str">
        <f t="shared" si="73"/>
        <v/>
      </c>
      <c r="BX16" s="186"/>
      <c r="BY16" s="187"/>
      <c r="BZ16" s="190" t="str">
        <f>BZ15&amp;"."</f>
        <v>LK-066-IDN.</v>
      </c>
      <c r="CA16" s="187"/>
      <c r="CC16" s="18" t="str">
        <f t="shared" si="74"/>
        <v/>
      </c>
      <c r="CD16" s="18" t="str">
        <f t="shared" si="75"/>
        <v/>
      </c>
      <c r="CE16" s="18" t="str">
        <f t="shared" si="76"/>
        <v/>
      </c>
      <c r="CF16" s="18" t="str">
        <f t="shared" si="77"/>
        <v/>
      </c>
      <c r="CG16" s="18" t="str">
        <f t="shared" si="78"/>
        <v/>
      </c>
      <c r="CH16" s="18" t="str">
        <f t="shared" si="79"/>
        <v/>
      </c>
      <c r="CI16" s="18" t="str">
        <f t="shared" si="80"/>
        <v/>
      </c>
      <c r="CJ16" s="18" t="str">
        <f t="shared" si="81"/>
        <v/>
      </c>
      <c r="CK16" s="18" t="str">
        <f t="shared" si="82"/>
        <v/>
      </c>
      <c r="CL16" s="18" t="str">
        <f t="shared" si="83"/>
        <v/>
      </c>
      <c r="CM16" s="18" t="str">
        <f t="shared" si="84"/>
        <v/>
      </c>
      <c r="CN16" s="18" t="str">
        <f t="shared" si="85"/>
        <v/>
      </c>
      <c r="CO16" s="18" t="str">
        <f t="shared" si="86"/>
        <v/>
      </c>
      <c r="CP16" s="18" t="str">
        <f t="shared" si="87"/>
        <v/>
      </c>
      <c r="CQ16" s="18" t="str">
        <f t="shared" si="88"/>
        <v/>
      </c>
      <c r="CS16" s="186"/>
      <c r="CT16" s="187"/>
      <c r="CU16" s="190" t="str">
        <f>CU15&amp;"."</f>
        <v>Mitutoyo, 516-106-10, S/N. 1103008.</v>
      </c>
      <c r="CV16" s="187"/>
    </row>
    <row r="17" spans="1:95" x14ac:dyDescent="0.3">
      <c r="A17" s="161" t="s">
        <v>282</v>
      </c>
      <c r="B17" s="191" t="s">
        <v>297</v>
      </c>
      <c r="C17" s="191"/>
      <c r="D17" s="162">
        <v>0</v>
      </c>
      <c r="E17" s="163">
        <v>50</v>
      </c>
      <c r="F17" s="164">
        <v>0.09</v>
      </c>
      <c r="G17" s="165">
        <f t="shared" si="28"/>
        <v>50.00009</v>
      </c>
      <c r="H17" s="162">
        <v>0.16</v>
      </c>
      <c r="I17" s="277" t="s">
        <v>368</v>
      </c>
      <c r="J17" s="162" t="s">
        <v>276</v>
      </c>
      <c r="K17" s="248"/>
      <c r="L17" s="250"/>
      <c r="M17" s="250"/>
      <c r="N17" s="250"/>
      <c r="O17" s="250"/>
      <c r="P17" s="250"/>
      <c r="Q17" s="251"/>
      <c r="R17" s="251"/>
      <c r="S17" s="251"/>
      <c r="T17" s="251"/>
      <c r="U17" s="251"/>
      <c r="V17" s="250"/>
      <c r="W17" s="250"/>
      <c r="X17" s="250"/>
      <c r="Y17" s="250"/>
      <c r="Z17" s="250"/>
      <c r="AB17" s="18" t="str">
        <f t="shared" si="29"/>
        <v/>
      </c>
      <c r="AC17" s="18" t="str">
        <f t="shared" si="30"/>
        <v/>
      </c>
      <c r="AD17" s="18" t="str">
        <f t="shared" si="31"/>
        <v/>
      </c>
      <c r="AE17" s="18" t="str">
        <f t="shared" si="32"/>
        <v/>
      </c>
      <c r="AF17" s="18" t="str">
        <f t="shared" si="33"/>
        <v/>
      </c>
      <c r="AG17" s="18" t="str">
        <f t="shared" si="34"/>
        <v/>
      </c>
      <c r="AH17" s="18" t="str">
        <f t="shared" si="35"/>
        <v/>
      </c>
      <c r="AI17" s="18" t="str">
        <f t="shared" si="36"/>
        <v/>
      </c>
      <c r="AJ17" s="18" t="str">
        <f t="shared" si="37"/>
        <v/>
      </c>
      <c r="AK17" s="18" t="str">
        <f t="shared" si="38"/>
        <v/>
      </c>
      <c r="AL17" s="18" t="str">
        <f t="shared" si="39"/>
        <v/>
      </c>
      <c r="AM17" s="18" t="str">
        <f t="shared" si="40"/>
        <v/>
      </c>
      <c r="AN17" s="18" t="str">
        <f t="shared" si="41"/>
        <v/>
      </c>
      <c r="AO17" s="18" t="str">
        <f t="shared" si="42"/>
        <v/>
      </c>
      <c r="AP17" s="18" t="str">
        <f t="shared" si="43"/>
        <v/>
      </c>
      <c r="AR17" s="18" t="str">
        <f t="shared" si="44"/>
        <v/>
      </c>
      <c r="AS17" s="18" t="str">
        <f t="shared" si="45"/>
        <v/>
      </c>
      <c r="AT17" s="18" t="str">
        <f t="shared" si="46"/>
        <v/>
      </c>
      <c r="AU17" s="18" t="str">
        <f t="shared" si="47"/>
        <v/>
      </c>
      <c r="AV17" s="18" t="str">
        <f t="shared" si="48"/>
        <v/>
      </c>
      <c r="AW17" s="18" t="str">
        <f t="shared" si="49"/>
        <v/>
      </c>
      <c r="AX17" s="18" t="str">
        <f t="shared" si="50"/>
        <v/>
      </c>
      <c r="AY17" s="18" t="str">
        <f t="shared" si="51"/>
        <v/>
      </c>
      <c r="AZ17" s="18" t="str">
        <f t="shared" si="52"/>
        <v/>
      </c>
      <c r="BA17" s="18" t="str">
        <f t="shared" si="53"/>
        <v/>
      </c>
      <c r="BB17" s="18" t="str">
        <f t="shared" si="54"/>
        <v/>
      </c>
      <c r="BC17" s="18" t="str">
        <f t="shared" si="55"/>
        <v/>
      </c>
      <c r="BD17" s="18" t="str">
        <f t="shared" si="56"/>
        <v/>
      </c>
      <c r="BE17" s="18" t="str">
        <f t="shared" si="57"/>
        <v/>
      </c>
      <c r="BF17" s="18" t="str">
        <f t="shared" si="58"/>
        <v/>
      </c>
      <c r="BH17" s="18" t="str">
        <f t="shared" si="59"/>
        <v/>
      </c>
      <c r="BI17" s="18" t="str">
        <f t="shared" si="60"/>
        <v/>
      </c>
      <c r="BJ17" s="18" t="str">
        <f t="shared" si="61"/>
        <v/>
      </c>
      <c r="BK17" s="18" t="str">
        <f t="shared" si="62"/>
        <v/>
      </c>
      <c r="BL17" s="18" t="str">
        <f t="shared" si="63"/>
        <v/>
      </c>
      <c r="BM17" s="18" t="str">
        <f t="shared" si="64"/>
        <v/>
      </c>
      <c r="BN17" s="18" t="str">
        <f t="shared" si="65"/>
        <v/>
      </c>
      <c r="BO17" s="18" t="str">
        <f t="shared" si="66"/>
        <v/>
      </c>
      <c r="BP17" s="18" t="str">
        <f t="shared" si="67"/>
        <v/>
      </c>
      <c r="BQ17" s="18" t="str">
        <f t="shared" si="68"/>
        <v/>
      </c>
      <c r="BR17" s="18" t="str">
        <f t="shared" si="69"/>
        <v/>
      </c>
      <c r="BS17" s="18" t="str">
        <f t="shared" si="70"/>
        <v/>
      </c>
      <c r="BT17" s="18" t="str">
        <f t="shared" si="71"/>
        <v/>
      </c>
      <c r="BU17" s="18" t="str">
        <f t="shared" si="72"/>
        <v/>
      </c>
      <c r="BV17" s="18" t="str">
        <f t="shared" si="73"/>
        <v/>
      </c>
      <c r="CC17" s="18" t="str">
        <f t="shared" si="74"/>
        <v/>
      </c>
      <c r="CD17" s="18" t="str">
        <f t="shared" si="75"/>
        <v/>
      </c>
      <c r="CE17" s="18" t="str">
        <f t="shared" si="76"/>
        <v/>
      </c>
      <c r="CF17" s="18" t="str">
        <f t="shared" si="77"/>
        <v/>
      </c>
      <c r="CG17" s="18" t="str">
        <f t="shared" si="78"/>
        <v/>
      </c>
      <c r="CH17" s="18" t="str">
        <f t="shared" si="79"/>
        <v/>
      </c>
      <c r="CI17" s="18" t="str">
        <f t="shared" si="80"/>
        <v/>
      </c>
      <c r="CJ17" s="18" t="str">
        <f t="shared" si="81"/>
        <v/>
      </c>
      <c r="CK17" s="18" t="str">
        <f t="shared" si="82"/>
        <v/>
      </c>
      <c r="CL17" s="18" t="str">
        <f t="shared" si="83"/>
        <v/>
      </c>
      <c r="CM17" s="18" t="str">
        <f t="shared" si="84"/>
        <v/>
      </c>
      <c r="CN17" s="18" t="str">
        <f t="shared" si="85"/>
        <v/>
      </c>
      <c r="CO17" s="18" t="str">
        <f t="shared" si="86"/>
        <v/>
      </c>
      <c r="CP17" s="18" t="str">
        <f t="shared" si="87"/>
        <v/>
      </c>
      <c r="CQ17" s="18" t="str">
        <f t="shared" si="88"/>
        <v/>
      </c>
    </row>
    <row r="18" spans="1:95" x14ac:dyDescent="0.3">
      <c r="A18" s="161" t="s">
        <v>282</v>
      </c>
      <c r="B18" s="191" t="s">
        <v>297</v>
      </c>
      <c r="C18" s="191"/>
      <c r="D18" s="162">
        <v>0</v>
      </c>
      <c r="E18" s="163">
        <v>75</v>
      </c>
      <c r="F18" s="164">
        <v>0.09</v>
      </c>
      <c r="G18" s="165">
        <f t="shared" si="28"/>
        <v>75.00009</v>
      </c>
      <c r="H18" s="162">
        <v>0.18</v>
      </c>
      <c r="I18" s="277" t="s">
        <v>368</v>
      </c>
      <c r="J18" s="162" t="s">
        <v>276</v>
      </c>
      <c r="K18" s="248"/>
      <c r="L18" s="250"/>
      <c r="M18" s="250"/>
      <c r="N18" s="250"/>
      <c r="O18" s="250"/>
      <c r="P18" s="250"/>
      <c r="Q18" s="251"/>
      <c r="R18" s="251"/>
      <c r="S18" s="251"/>
      <c r="T18" s="251"/>
      <c r="U18" s="251"/>
      <c r="V18" s="250"/>
      <c r="W18" s="250"/>
      <c r="X18" s="250"/>
      <c r="Y18" s="250"/>
      <c r="Z18" s="250"/>
      <c r="AB18" s="18" t="str">
        <f t="shared" si="29"/>
        <v/>
      </c>
      <c r="AC18" s="18" t="str">
        <f t="shared" si="30"/>
        <v/>
      </c>
      <c r="AD18" s="18" t="str">
        <f t="shared" si="31"/>
        <v/>
      </c>
      <c r="AE18" s="18" t="str">
        <f t="shared" si="32"/>
        <v/>
      </c>
      <c r="AF18" s="18" t="str">
        <f t="shared" si="33"/>
        <v/>
      </c>
      <c r="AG18" s="18" t="str">
        <f t="shared" si="34"/>
        <v/>
      </c>
      <c r="AH18" s="18" t="str">
        <f t="shared" si="35"/>
        <v/>
      </c>
      <c r="AI18" s="18" t="str">
        <f t="shared" si="36"/>
        <v/>
      </c>
      <c r="AJ18" s="18" t="str">
        <f t="shared" si="37"/>
        <v/>
      </c>
      <c r="AK18" s="18" t="str">
        <f t="shared" si="38"/>
        <v/>
      </c>
      <c r="AL18" s="18" t="str">
        <f t="shared" si="39"/>
        <v/>
      </c>
      <c r="AM18" s="18" t="str">
        <f t="shared" si="40"/>
        <v/>
      </c>
      <c r="AN18" s="18" t="str">
        <f t="shared" si="41"/>
        <v/>
      </c>
      <c r="AO18" s="18" t="str">
        <f t="shared" si="42"/>
        <v/>
      </c>
      <c r="AP18" s="18" t="str">
        <f t="shared" si="43"/>
        <v/>
      </c>
      <c r="AR18" s="18" t="str">
        <f t="shared" si="44"/>
        <v/>
      </c>
      <c r="AS18" s="18" t="str">
        <f t="shared" si="45"/>
        <v/>
      </c>
      <c r="AT18" s="18" t="str">
        <f t="shared" si="46"/>
        <v/>
      </c>
      <c r="AU18" s="18" t="str">
        <f t="shared" si="47"/>
        <v/>
      </c>
      <c r="AV18" s="18" t="str">
        <f t="shared" si="48"/>
        <v/>
      </c>
      <c r="AW18" s="18" t="str">
        <f t="shared" si="49"/>
        <v/>
      </c>
      <c r="AX18" s="18" t="str">
        <f t="shared" si="50"/>
        <v/>
      </c>
      <c r="AY18" s="18" t="str">
        <f t="shared" si="51"/>
        <v/>
      </c>
      <c r="AZ18" s="18" t="str">
        <f t="shared" si="52"/>
        <v/>
      </c>
      <c r="BA18" s="18" t="str">
        <f t="shared" si="53"/>
        <v/>
      </c>
      <c r="BB18" s="18" t="str">
        <f t="shared" si="54"/>
        <v/>
      </c>
      <c r="BC18" s="18" t="str">
        <f t="shared" si="55"/>
        <v/>
      </c>
      <c r="BD18" s="18" t="str">
        <f t="shared" si="56"/>
        <v/>
      </c>
      <c r="BE18" s="18" t="str">
        <f t="shared" si="57"/>
        <v/>
      </c>
      <c r="BF18" s="18" t="str">
        <f t="shared" si="58"/>
        <v/>
      </c>
      <c r="BH18" s="18" t="str">
        <f t="shared" si="59"/>
        <v/>
      </c>
      <c r="BI18" s="18" t="str">
        <f t="shared" si="60"/>
        <v/>
      </c>
      <c r="BJ18" s="18" t="str">
        <f t="shared" si="61"/>
        <v/>
      </c>
      <c r="BK18" s="18" t="str">
        <f t="shared" si="62"/>
        <v/>
      </c>
      <c r="BL18" s="18" t="str">
        <f t="shared" si="63"/>
        <v/>
      </c>
      <c r="BM18" s="18" t="str">
        <f t="shared" si="64"/>
        <v/>
      </c>
      <c r="BN18" s="18" t="str">
        <f t="shared" si="65"/>
        <v/>
      </c>
      <c r="BO18" s="18" t="str">
        <f t="shared" si="66"/>
        <v/>
      </c>
      <c r="BP18" s="18" t="str">
        <f t="shared" si="67"/>
        <v/>
      </c>
      <c r="BQ18" s="18" t="str">
        <f t="shared" si="68"/>
        <v/>
      </c>
      <c r="BR18" s="18" t="str">
        <f t="shared" si="69"/>
        <v/>
      </c>
      <c r="BS18" s="18" t="str">
        <f t="shared" si="70"/>
        <v/>
      </c>
      <c r="BT18" s="18" t="str">
        <f t="shared" si="71"/>
        <v/>
      </c>
      <c r="BU18" s="18" t="str">
        <f t="shared" si="72"/>
        <v/>
      </c>
      <c r="BV18" s="18" t="str">
        <f t="shared" si="73"/>
        <v/>
      </c>
      <c r="CC18" s="18" t="str">
        <f t="shared" si="74"/>
        <v/>
      </c>
      <c r="CD18" s="18" t="str">
        <f t="shared" si="75"/>
        <v/>
      </c>
      <c r="CE18" s="18" t="str">
        <f t="shared" si="76"/>
        <v/>
      </c>
      <c r="CF18" s="18" t="str">
        <f t="shared" si="77"/>
        <v/>
      </c>
      <c r="CG18" s="18" t="str">
        <f t="shared" si="78"/>
        <v/>
      </c>
      <c r="CH18" s="18" t="str">
        <f t="shared" si="79"/>
        <v/>
      </c>
      <c r="CI18" s="18" t="str">
        <f t="shared" si="80"/>
        <v/>
      </c>
      <c r="CJ18" s="18" t="str">
        <f t="shared" si="81"/>
        <v/>
      </c>
      <c r="CK18" s="18" t="str">
        <f t="shared" si="82"/>
        <v/>
      </c>
      <c r="CL18" s="18" t="str">
        <f t="shared" si="83"/>
        <v/>
      </c>
      <c r="CM18" s="18" t="str">
        <f t="shared" si="84"/>
        <v/>
      </c>
      <c r="CN18" s="18" t="str">
        <f t="shared" si="85"/>
        <v/>
      </c>
      <c r="CO18" s="18" t="str">
        <f t="shared" si="86"/>
        <v/>
      </c>
      <c r="CP18" s="18" t="str">
        <f t="shared" si="87"/>
        <v/>
      </c>
      <c r="CQ18" s="18" t="str">
        <f t="shared" si="88"/>
        <v/>
      </c>
    </row>
    <row r="19" spans="1:95" ht="14.4" thickBot="1" x14ac:dyDescent="0.35">
      <c r="A19" s="161" t="s">
        <v>282</v>
      </c>
      <c r="B19" s="191" t="s">
        <v>297</v>
      </c>
      <c r="C19" s="191"/>
      <c r="D19" s="162">
        <v>0</v>
      </c>
      <c r="E19" s="163">
        <v>100</v>
      </c>
      <c r="F19" s="164">
        <v>0.02</v>
      </c>
      <c r="G19" s="165">
        <f t="shared" si="28"/>
        <v>100.00002000000001</v>
      </c>
      <c r="H19" s="164">
        <v>0.2</v>
      </c>
      <c r="I19" s="277" t="s">
        <v>368</v>
      </c>
      <c r="J19" s="162" t="s">
        <v>276</v>
      </c>
      <c r="K19" s="248"/>
      <c r="L19" s="252"/>
      <c r="M19" s="252"/>
      <c r="N19" s="252"/>
      <c r="O19" s="252"/>
      <c r="P19" s="252"/>
      <c r="Q19" s="253"/>
      <c r="R19" s="253"/>
      <c r="S19" s="253"/>
      <c r="T19" s="253"/>
      <c r="U19" s="253"/>
      <c r="V19" s="252"/>
      <c r="W19" s="252"/>
      <c r="X19" s="252"/>
      <c r="Y19" s="252"/>
      <c r="Z19" s="252"/>
      <c r="AB19" s="18" t="str">
        <f t="shared" si="29"/>
        <v/>
      </c>
      <c r="AC19" s="18" t="str">
        <f t="shared" si="30"/>
        <v/>
      </c>
      <c r="AD19" s="18" t="str">
        <f t="shared" si="31"/>
        <v/>
      </c>
      <c r="AE19" s="18" t="str">
        <f t="shared" si="32"/>
        <v/>
      </c>
      <c r="AF19" s="18" t="str">
        <f t="shared" si="33"/>
        <v/>
      </c>
      <c r="AG19" s="18" t="str">
        <f t="shared" si="34"/>
        <v/>
      </c>
      <c r="AH19" s="18" t="str">
        <f t="shared" si="35"/>
        <v/>
      </c>
      <c r="AI19" s="18" t="str">
        <f t="shared" si="36"/>
        <v/>
      </c>
      <c r="AJ19" s="18" t="str">
        <f t="shared" si="37"/>
        <v/>
      </c>
      <c r="AK19" s="18" t="str">
        <f t="shared" si="38"/>
        <v/>
      </c>
      <c r="AL19" s="18" t="str">
        <f t="shared" si="39"/>
        <v/>
      </c>
      <c r="AM19" s="18" t="str">
        <f t="shared" si="40"/>
        <v/>
      </c>
      <c r="AN19" s="18" t="str">
        <f t="shared" si="41"/>
        <v/>
      </c>
      <c r="AO19" s="18" t="str">
        <f t="shared" si="42"/>
        <v/>
      </c>
      <c r="AP19" s="18" t="str">
        <f t="shared" si="43"/>
        <v/>
      </c>
      <c r="AR19" s="18" t="str">
        <f t="shared" si="44"/>
        <v/>
      </c>
      <c r="AS19" s="18" t="str">
        <f t="shared" si="45"/>
        <v/>
      </c>
      <c r="AT19" s="18" t="str">
        <f t="shared" si="46"/>
        <v/>
      </c>
      <c r="AU19" s="18" t="str">
        <f t="shared" si="47"/>
        <v/>
      </c>
      <c r="AV19" s="18" t="str">
        <f t="shared" si="48"/>
        <v/>
      </c>
      <c r="AW19" s="18" t="str">
        <f t="shared" si="49"/>
        <v/>
      </c>
      <c r="AX19" s="18" t="str">
        <f t="shared" si="50"/>
        <v/>
      </c>
      <c r="AY19" s="18" t="str">
        <f t="shared" si="51"/>
        <v/>
      </c>
      <c r="AZ19" s="18" t="str">
        <f t="shared" si="52"/>
        <v/>
      </c>
      <c r="BA19" s="18" t="str">
        <f t="shared" si="53"/>
        <v/>
      </c>
      <c r="BB19" s="18" t="str">
        <f t="shared" si="54"/>
        <v/>
      </c>
      <c r="BC19" s="18" t="str">
        <f t="shared" si="55"/>
        <v/>
      </c>
      <c r="BD19" s="18" t="str">
        <f t="shared" si="56"/>
        <v/>
      </c>
      <c r="BE19" s="18" t="str">
        <f t="shared" si="57"/>
        <v/>
      </c>
      <c r="BF19" s="18" t="str">
        <f t="shared" si="58"/>
        <v/>
      </c>
      <c r="BH19" s="18" t="str">
        <f t="shared" si="59"/>
        <v/>
      </c>
      <c r="BI19" s="18" t="str">
        <f t="shared" si="60"/>
        <v/>
      </c>
      <c r="BJ19" s="18" t="str">
        <f t="shared" si="61"/>
        <v/>
      </c>
      <c r="BK19" s="18" t="str">
        <f t="shared" si="62"/>
        <v/>
      </c>
      <c r="BL19" s="18" t="str">
        <f t="shared" si="63"/>
        <v/>
      </c>
      <c r="BM19" s="18" t="str">
        <f t="shared" si="64"/>
        <v/>
      </c>
      <c r="BN19" s="18" t="str">
        <f t="shared" si="65"/>
        <v/>
      </c>
      <c r="BO19" s="18" t="str">
        <f t="shared" si="66"/>
        <v/>
      </c>
      <c r="BP19" s="18" t="str">
        <f t="shared" si="67"/>
        <v/>
      </c>
      <c r="BQ19" s="18" t="str">
        <f t="shared" si="68"/>
        <v/>
      </c>
      <c r="BR19" s="18" t="str">
        <f t="shared" si="69"/>
        <v/>
      </c>
      <c r="BS19" s="18" t="str">
        <f t="shared" si="70"/>
        <v/>
      </c>
      <c r="BT19" s="18" t="str">
        <f t="shared" si="71"/>
        <v/>
      </c>
      <c r="BU19" s="18" t="str">
        <f t="shared" si="72"/>
        <v/>
      </c>
      <c r="BV19" s="18" t="str">
        <f t="shared" si="73"/>
        <v/>
      </c>
      <c r="CC19" s="18" t="str">
        <f t="shared" si="74"/>
        <v/>
      </c>
      <c r="CD19" s="18" t="str">
        <f t="shared" si="75"/>
        <v/>
      </c>
      <c r="CE19" s="18" t="str">
        <f t="shared" si="76"/>
        <v/>
      </c>
      <c r="CF19" s="18" t="str">
        <f t="shared" si="77"/>
        <v/>
      </c>
      <c r="CG19" s="18" t="str">
        <f t="shared" si="78"/>
        <v/>
      </c>
      <c r="CH19" s="18" t="str">
        <f t="shared" si="79"/>
        <v/>
      </c>
      <c r="CI19" s="18" t="str">
        <f t="shared" si="80"/>
        <v/>
      </c>
      <c r="CJ19" s="18" t="str">
        <f t="shared" si="81"/>
        <v/>
      </c>
      <c r="CK19" s="18" t="str">
        <f t="shared" si="82"/>
        <v/>
      </c>
      <c r="CL19" s="18" t="str">
        <f t="shared" si="83"/>
        <v/>
      </c>
      <c r="CM19" s="18" t="str">
        <f t="shared" si="84"/>
        <v/>
      </c>
      <c r="CN19" s="18" t="str">
        <f t="shared" si="85"/>
        <v/>
      </c>
      <c r="CO19" s="18" t="str">
        <f t="shared" si="86"/>
        <v/>
      </c>
      <c r="CP19" s="18" t="str">
        <f t="shared" si="87"/>
        <v/>
      </c>
      <c r="CQ19" s="18" t="str">
        <f t="shared" si="88"/>
        <v/>
      </c>
    </row>
    <row r="20" spans="1:95" ht="14.4" thickTop="1" x14ac:dyDescent="0.3">
      <c r="A20" s="175" t="s">
        <v>284</v>
      </c>
      <c r="B20" s="181" t="s">
        <v>298</v>
      </c>
      <c r="C20" s="181" t="str">
        <f t="shared" ref="C20:C22" si="89">"Gauge Block, "&amp;B20</f>
        <v>Gauge Block, Mitutoyo, S/N. 110424</v>
      </c>
      <c r="D20" s="176">
        <v>0</v>
      </c>
      <c r="E20" s="177">
        <v>150</v>
      </c>
      <c r="F20" s="178">
        <v>-0.16</v>
      </c>
      <c r="G20" s="179">
        <f t="shared" si="28"/>
        <v>149.99984000000001</v>
      </c>
      <c r="H20" s="178">
        <f>SQRT((0.31^2)+(0.0015^2*E20^2))</f>
        <v>0.38304699450589608</v>
      </c>
      <c r="I20" s="180">
        <v>45828</v>
      </c>
      <c r="J20" s="181" t="s">
        <v>283</v>
      </c>
      <c r="K20" s="248"/>
      <c r="L20" s="254"/>
      <c r="M20" s="254"/>
      <c r="N20" s="254"/>
      <c r="O20" s="254"/>
      <c r="P20" s="254"/>
      <c r="Q20" s="255"/>
      <c r="R20" s="255"/>
      <c r="S20" s="255"/>
      <c r="T20" s="255"/>
      <c r="U20" s="255"/>
      <c r="V20" s="254"/>
      <c r="W20" s="254"/>
      <c r="X20" s="254"/>
      <c r="Y20" s="254"/>
      <c r="Z20" s="254"/>
      <c r="AB20" s="18" t="str">
        <f t="shared" si="29"/>
        <v/>
      </c>
      <c r="AC20" s="18" t="str">
        <f t="shared" si="30"/>
        <v/>
      </c>
      <c r="AD20" s="18" t="str">
        <f t="shared" si="31"/>
        <v/>
      </c>
      <c r="AE20" s="18" t="str">
        <f t="shared" si="32"/>
        <v/>
      </c>
      <c r="AF20" s="18" t="str">
        <f t="shared" si="33"/>
        <v/>
      </c>
      <c r="AG20" s="18" t="str">
        <f t="shared" si="34"/>
        <v/>
      </c>
      <c r="AH20" s="18" t="str">
        <f t="shared" si="35"/>
        <v/>
      </c>
      <c r="AI20" s="18" t="str">
        <f t="shared" si="36"/>
        <v/>
      </c>
      <c r="AJ20" s="18" t="str">
        <f t="shared" si="37"/>
        <v/>
      </c>
      <c r="AK20" s="18" t="str">
        <f t="shared" si="38"/>
        <v/>
      </c>
      <c r="AL20" s="18" t="str">
        <f t="shared" si="39"/>
        <v/>
      </c>
      <c r="AM20" s="18" t="str">
        <f t="shared" si="40"/>
        <v/>
      </c>
      <c r="AN20" s="18" t="str">
        <f t="shared" si="41"/>
        <v/>
      </c>
      <c r="AO20" s="18" t="str">
        <f t="shared" si="42"/>
        <v/>
      </c>
      <c r="AP20" s="18" t="str">
        <f t="shared" si="43"/>
        <v/>
      </c>
      <c r="AR20" s="18" t="str">
        <f t="shared" si="44"/>
        <v/>
      </c>
      <c r="AS20" s="18" t="str">
        <f t="shared" si="45"/>
        <v/>
      </c>
      <c r="AT20" s="18" t="str">
        <f t="shared" si="46"/>
        <v/>
      </c>
      <c r="AU20" s="18" t="str">
        <f t="shared" si="47"/>
        <v/>
      </c>
      <c r="AV20" s="18" t="str">
        <f t="shared" si="48"/>
        <v/>
      </c>
      <c r="AW20" s="18" t="str">
        <f t="shared" si="49"/>
        <v/>
      </c>
      <c r="AX20" s="18" t="str">
        <f t="shared" si="50"/>
        <v/>
      </c>
      <c r="AY20" s="18" t="str">
        <f t="shared" si="51"/>
        <v/>
      </c>
      <c r="AZ20" s="18" t="str">
        <f t="shared" si="52"/>
        <v/>
      </c>
      <c r="BA20" s="18" t="str">
        <f t="shared" si="53"/>
        <v/>
      </c>
      <c r="BB20" s="18" t="str">
        <f t="shared" si="54"/>
        <v/>
      </c>
      <c r="BC20" s="18" t="str">
        <f t="shared" si="55"/>
        <v/>
      </c>
      <c r="BD20" s="18" t="str">
        <f t="shared" si="56"/>
        <v/>
      </c>
      <c r="BE20" s="18" t="str">
        <f t="shared" si="57"/>
        <v/>
      </c>
      <c r="BF20" s="18" t="str">
        <f t="shared" si="58"/>
        <v/>
      </c>
      <c r="BH20" s="18" t="str">
        <f t="shared" si="59"/>
        <v/>
      </c>
      <c r="BI20" s="18" t="str">
        <f t="shared" si="60"/>
        <v/>
      </c>
      <c r="BJ20" s="18" t="str">
        <f t="shared" si="61"/>
        <v/>
      </c>
      <c r="BK20" s="18" t="str">
        <f t="shared" si="62"/>
        <v/>
      </c>
      <c r="BL20" s="18" t="str">
        <f t="shared" si="63"/>
        <v/>
      </c>
      <c r="BM20" s="18" t="str">
        <f t="shared" si="64"/>
        <v/>
      </c>
      <c r="BN20" s="18" t="str">
        <f t="shared" si="65"/>
        <v/>
      </c>
      <c r="BO20" s="18" t="str">
        <f t="shared" si="66"/>
        <v/>
      </c>
      <c r="BP20" s="18" t="str">
        <f t="shared" si="67"/>
        <v/>
      </c>
      <c r="BQ20" s="18" t="str">
        <f t="shared" si="68"/>
        <v/>
      </c>
      <c r="BR20" s="18" t="str">
        <f t="shared" si="69"/>
        <v/>
      </c>
      <c r="BS20" s="18" t="str">
        <f t="shared" si="70"/>
        <v/>
      </c>
      <c r="BT20" s="18" t="str">
        <f t="shared" si="71"/>
        <v/>
      </c>
      <c r="BU20" s="18" t="str">
        <f t="shared" si="72"/>
        <v/>
      </c>
      <c r="BV20" s="18" t="str">
        <f t="shared" si="73"/>
        <v/>
      </c>
      <c r="CC20" s="18" t="str">
        <f t="shared" si="74"/>
        <v/>
      </c>
      <c r="CD20" s="18" t="str">
        <f t="shared" si="75"/>
        <v/>
      </c>
      <c r="CE20" s="18" t="str">
        <f t="shared" si="76"/>
        <v/>
      </c>
      <c r="CF20" s="18" t="str">
        <f t="shared" si="77"/>
        <v/>
      </c>
      <c r="CG20" s="18" t="str">
        <f t="shared" si="78"/>
        <v/>
      </c>
      <c r="CH20" s="18" t="str">
        <f t="shared" si="79"/>
        <v/>
      </c>
      <c r="CI20" s="18" t="str">
        <f t="shared" si="80"/>
        <v/>
      </c>
      <c r="CJ20" s="18" t="str">
        <f t="shared" si="81"/>
        <v/>
      </c>
      <c r="CK20" s="18" t="str">
        <f t="shared" si="82"/>
        <v/>
      </c>
      <c r="CL20" s="18" t="str">
        <f t="shared" si="83"/>
        <v/>
      </c>
      <c r="CM20" s="18" t="str">
        <f t="shared" si="84"/>
        <v/>
      </c>
      <c r="CN20" s="18" t="str">
        <f t="shared" si="85"/>
        <v/>
      </c>
      <c r="CO20" s="18" t="str">
        <f t="shared" si="86"/>
        <v/>
      </c>
      <c r="CP20" s="18" t="str">
        <f t="shared" si="87"/>
        <v/>
      </c>
      <c r="CQ20" s="18" t="str">
        <f t="shared" si="88"/>
        <v/>
      </c>
    </row>
    <row r="21" spans="1:95" x14ac:dyDescent="0.3">
      <c r="A21" s="175" t="s">
        <v>284</v>
      </c>
      <c r="B21" s="181" t="s">
        <v>299</v>
      </c>
      <c r="C21" s="181" t="str">
        <f t="shared" si="89"/>
        <v>Gauge Block, Mitutoyo, S/N. 190035</v>
      </c>
      <c r="D21" s="176">
        <v>0</v>
      </c>
      <c r="E21" s="177">
        <v>300</v>
      </c>
      <c r="F21" s="178">
        <v>0.33</v>
      </c>
      <c r="G21" s="179">
        <f>E21+F21/1000</f>
        <v>300.00033000000002</v>
      </c>
      <c r="H21" s="178">
        <v>0.2</v>
      </c>
      <c r="I21" s="180">
        <v>45555</v>
      </c>
      <c r="J21" s="176" t="s">
        <v>390</v>
      </c>
      <c r="K21" s="248"/>
      <c r="L21" s="250"/>
      <c r="M21" s="250"/>
      <c r="N21" s="250"/>
      <c r="O21" s="250"/>
      <c r="P21" s="250"/>
      <c r="Q21" s="251"/>
      <c r="R21" s="251"/>
      <c r="S21" s="251"/>
      <c r="T21" s="251"/>
      <c r="U21" s="251"/>
      <c r="V21" s="250"/>
      <c r="W21" s="250"/>
      <c r="X21" s="250"/>
      <c r="Y21" s="250"/>
      <c r="Z21" s="250"/>
      <c r="AB21" s="18" t="str">
        <f t="shared" si="29"/>
        <v/>
      </c>
      <c r="AC21" s="18" t="str">
        <f t="shared" si="30"/>
        <v/>
      </c>
      <c r="AD21" s="18" t="str">
        <f t="shared" si="31"/>
        <v/>
      </c>
      <c r="AE21" s="18" t="str">
        <f t="shared" si="32"/>
        <v/>
      </c>
      <c r="AF21" s="18" t="str">
        <f t="shared" si="33"/>
        <v/>
      </c>
      <c r="AG21" s="18" t="str">
        <f t="shared" si="34"/>
        <v/>
      </c>
      <c r="AH21" s="18" t="str">
        <f t="shared" si="35"/>
        <v/>
      </c>
      <c r="AI21" s="18" t="str">
        <f t="shared" si="36"/>
        <v/>
      </c>
      <c r="AJ21" s="18" t="str">
        <f t="shared" si="37"/>
        <v/>
      </c>
      <c r="AK21" s="18" t="str">
        <f t="shared" si="38"/>
        <v/>
      </c>
      <c r="AL21" s="18" t="str">
        <f t="shared" si="39"/>
        <v/>
      </c>
      <c r="AM21" s="18" t="str">
        <f t="shared" si="40"/>
        <v/>
      </c>
      <c r="AN21" s="18" t="str">
        <f t="shared" si="41"/>
        <v/>
      </c>
      <c r="AO21" s="18" t="str">
        <f t="shared" si="42"/>
        <v/>
      </c>
      <c r="AP21" s="18" t="str">
        <f t="shared" si="43"/>
        <v/>
      </c>
      <c r="AR21" s="18" t="str">
        <f t="shared" si="44"/>
        <v/>
      </c>
      <c r="AS21" s="18" t="str">
        <f t="shared" si="45"/>
        <v/>
      </c>
      <c r="AT21" s="18" t="str">
        <f t="shared" si="46"/>
        <v/>
      </c>
      <c r="AU21" s="18" t="str">
        <f t="shared" si="47"/>
        <v/>
      </c>
      <c r="AV21" s="18" t="str">
        <f t="shared" si="48"/>
        <v/>
      </c>
      <c r="AW21" s="18" t="str">
        <f t="shared" si="49"/>
        <v/>
      </c>
      <c r="AX21" s="18" t="str">
        <f t="shared" si="50"/>
        <v/>
      </c>
      <c r="AY21" s="18" t="str">
        <f t="shared" si="51"/>
        <v/>
      </c>
      <c r="AZ21" s="18" t="str">
        <f t="shared" si="52"/>
        <v/>
      </c>
      <c r="BA21" s="18" t="str">
        <f t="shared" si="53"/>
        <v/>
      </c>
      <c r="BB21" s="18" t="str">
        <f t="shared" si="54"/>
        <v/>
      </c>
      <c r="BC21" s="18" t="str">
        <f t="shared" si="55"/>
        <v/>
      </c>
      <c r="BD21" s="18" t="str">
        <f t="shared" si="56"/>
        <v/>
      </c>
      <c r="BE21" s="18" t="str">
        <f t="shared" si="57"/>
        <v/>
      </c>
      <c r="BF21" s="18" t="str">
        <f t="shared" si="58"/>
        <v/>
      </c>
      <c r="BH21" s="18" t="str">
        <f t="shared" si="59"/>
        <v/>
      </c>
      <c r="BI21" s="18" t="str">
        <f t="shared" si="60"/>
        <v/>
      </c>
      <c r="BJ21" s="18" t="str">
        <f t="shared" si="61"/>
        <v/>
      </c>
      <c r="BK21" s="18" t="str">
        <f t="shared" si="62"/>
        <v/>
      </c>
      <c r="BL21" s="18" t="str">
        <f t="shared" si="63"/>
        <v/>
      </c>
      <c r="BM21" s="18" t="str">
        <f t="shared" si="64"/>
        <v/>
      </c>
      <c r="BN21" s="18" t="str">
        <f t="shared" si="65"/>
        <v/>
      </c>
      <c r="BO21" s="18" t="str">
        <f t="shared" si="66"/>
        <v/>
      </c>
      <c r="BP21" s="18" t="str">
        <f t="shared" si="67"/>
        <v/>
      </c>
      <c r="BQ21" s="18" t="str">
        <f t="shared" si="68"/>
        <v/>
      </c>
      <c r="BR21" s="18" t="str">
        <f t="shared" si="69"/>
        <v/>
      </c>
      <c r="BS21" s="18" t="str">
        <f t="shared" si="70"/>
        <v/>
      </c>
      <c r="BT21" s="18" t="str">
        <f t="shared" si="71"/>
        <v/>
      </c>
      <c r="BU21" s="18" t="str">
        <f t="shared" si="72"/>
        <v/>
      </c>
      <c r="BV21" s="18" t="str">
        <f t="shared" si="73"/>
        <v/>
      </c>
      <c r="CC21" s="18" t="str">
        <f t="shared" si="74"/>
        <v/>
      </c>
      <c r="CD21" s="18" t="str">
        <f t="shared" si="75"/>
        <v/>
      </c>
      <c r="CE21" s="18" t="str">
        <f t="shared" si="76"/>
        <v/>
      </c>
      <c r="CF21" s="18" t="str">
        <f t="shared" si="77"/>
        <v/>
      </c>
      <c r="CG21" s="18" t="str">
        <f t="shared" si="78"/>
        <v/>
      </c>
      <c r="CH21" s="18" t="str">
        <f t="shared" si="79"/>
        <v/>
      </c>
      <c r="CI21" s="18" t="str">
        <f t="shared" si="80"/>
        <v/>
      </c>
      <c r="CJ21" s="18" t="str">
        <f t="shared" si="81"/>
        <v/>
      </c>
      <c r="CK21" s="18" t="str">
        <f t="shared" si="82"/>
        <v/>
      </c>
      <c r="CL21" s="18" t="str">
        <f t="shared" si="83"/>
        <v/>
      </c>
      <c r="CM21" s="18" t="str">
        <f t="shared" si="84"/>
        <v/>
      </c>
      <c r="CN21" s="18" t="str">
        <f t="shared" si="85"/>
        <v/>
      </c>
      <c r="CO21" s="18" t="str">
        <f t="shared" si="86"/>
        <v/>
      </c>
      <c r="CP21" s="18" t="str">
        <f t="shared" si="87"/>
        <v/>
      </c>
      <c r="CQ21" s="18" t="str">
        <f t="shared" si="88"/>
        <v/>
      </c>
    </row>
    <row r="22" spans="1:95" ht="14.4" thickBot="1" x14ac:dyDescent="0.35">
      <c r="A22" s="175" t="s">
        <v>284</v>
      </c>
      <c r="B22" s="181" t="s">
        <v>300</v>
      </c>
      <c r="C22" s="181" t="str">
        <f t="shared" si="89"/>
        <v>Gauge Block, Mitutoyo, S/N. 110072</v>
      </c>
      <c r="D22" s="176">
        <v>0</v>
      </c>
      <c r="E22" s="177">
        <v>300</v>
      </c>
      <c r="F22" s="178">
        <v>-0.1</v>
      </c>
      <c r="G22" s="179">
        <f t="shared" si="28"/>
        <v>299.99990000000003</v>
      </c>
      <c r="H22" s="178">
        <f>SQRT((0.31^2)+(0.0015^2*E22^2))</f>
        <v>0.54644304369257002</v>
      </c>
      <c r="I22" s="180">
        <v>45832</v>
      </c>
      <c r="J22" s="181" t="s">
        <v>283</v>
      </c>
      <c r="K22" s="248"/>
      <c r="L22" s="252"/>
      <c r="M22" s="252"/>
      <c r="N22" s="252"/>
      <c r="O22" s="252"/>
      <c r="P22" s="252"/>
      <c r="Q22" s="253"/>
      <c r="R22" s="253"/>
      <c r="S22" s="253"/>
      <c r="T22" s="253"/>
      <c r="U22" s="253"/>
      <c r="V22" s="252"/>
      <c r="W22" s="252"/>
      <c r="X22" s="252"/>
      <c r="Y22" s="252"/>
      <c r="Z22" s="252"/>
      <c r="AB22" s="18" t="str">
        <f t="shared" si="29"/>
        <v/>
      </c>
      <c r="AC22" s="18" t="str">
        <f t="shared" si="30"/>
        <v/>
      </c>
      <c r="AD22" s="18" t="str">
        <f t="shared" si="31"/>
        <v/>
      </c>
      <c r="AE22" s="18" t="str">
        <f t="shared" si="32"/>
        <v/>
      </c>
      <c r="AF22" s="18" t="str">
        <f t="shared" si="33"/>
        <v/>
      </c>
      <c r="AG22" s="18" t="str">
        <f t="shared" si="34"/>
        <v/>
      </c>
      <c r="AH22" s="18" t="str">
        <f t="shared" si="35"/>
        <v/>
      </c>
      <c r="AI22" s="18" t="str">
        <f t="shared" si="36"/>
        <v/>
      </c>
      <c r="AJ22" s="18" t="str">
        <f t="shared" si="37"/>
        <v/>
      </c>
      <c r="AK22" s="18" t="str">
        <f t="shared" si="38"/>
        <v/>
      </c>
      <c r="AL22" s="18" t="str">
        <f t="shared" si="39"/>
        <v/>
      </c>
      <c r="AM22" s="18" t="str">
        <f t="shared" si="40"/>
        <v/>
      </c>
      <c r="AN22" s="18" t="str">
        <f t="shared" si="41"/>
        <v/>
      </c>
      <c r="AO22" s="18" t="str">
        <f t="shared" si="42"/>
        <v/>
      </c>
      <c r="AP22" s="18" t="str">
        <f t="shared" si="43"/>
        <v/>
      </c>
      <c r="AR22" s="18" t="str">
        <f t="shared" si="44"/>
        <v/>
      </c>
      <c r="AS22" s="18" t="str">
        <f t="shared" si="45"/>
        <v/>
      </c>
      <c r="AT22" s="18" t="str">
        <f t="shared" si="46"/>
        <v/>
      </c>
      <c r="AU22" s="18" t="str">
        <f t="shared" si="47"/>
        <v/>
      </c>
      <c r="AV22" s="18" t="str">
        <f t="shared" si="48"/>
        <v/>
      </c>
      <c r="AW22" s="18" t="str">
        <f t="shared" si="49"/>
        <v/>
      </c>
      <c r="AX22" s="18" t="str">
        <f t="shared" si="50"/>
        <v/>
      </c>
      <c r="AY22" s="18" t="str">
        <f t="shared" si="51"/>
        <v/>
      </c>
      <c r="AZ22" s="18" t="str">
        <f t="shared" si="52"/>
        <v/>
      </c>
      <c r="BA22" s="18" t="str">
        <f t="shared" si="53"/>
        <v/>
      </c>
      <c r="BB22" s="18" t="str">
        <f t="shared" si="54"/>
        <v/>
      </c>
      <c r="BC22" s="18" t="str">
        <f t="shared" si="55"/>
        <v/>
      </c>
      <c r="BD22" s="18" t="str">
        <f t="shared" si="56"/>
        <v/>
      </c>
      <c r="BE22" s="18" t="str">
        <f t="shared" si="57"/>
        <v/>
      </c>
      <c r="BF22" s="18" t="str">
        <f t="shared" si="58"/>
        <v/>
      </c>
      <c r="BH22" s="18" t="str">
        <f t="shared" si="59"/>
        <v/>
      </c>
      <c r="BI22" s="18" t="str">
        <f t="shared" si="60"/>
        <v/>
      </c>
      <c r="BJ22" s="18" t="str">
        <f t="shared" si="61"/>
        <v/>
      </c>
      <c r="BK22" s="18" t="str">
        <f t="shared" si="62"/>
        <v/>
      </c>
      <c r="BL22" s="18" t="str">
        <f t="shared" si="63"/>
        <v/>
      </c>
      <c r="BM22" s="18" t="str">
        <f t="shared" si="64"/>
        <v/>
      </c>
      <c r="BN22" s="18" t="str">
        <f t="shared" si="65"/>
        <v/>
      </c>
      <c r="BO22" s="18" t="str">
        <f t="shared" si="66"/>
        <v/>
      </c>
      <c r="BP22" s="18" t="str">
        <f t="shared" si="67"/>
        <v/>
      </c>
      <c r="BQ22" s="18" t="str">
        <f t="shared" si="68"/>
        <v/>
      </c>
      <c r="BR22" s="18" t="str">
        <f t="shared" si="69"/>
        <v/>
      </c>
      <c r="BS22" s="18" t="str">
        <f t="shared" si="70"/>
        <v/>
      </c>
      <c r="BT22" s="18" t="str">
        <f t="shared" si="71"/>
        <v/>
      </c>
      <c r="BU22" s="18" t="str">
        <f t="shared" si="72"/>
        <v/>
      </c>
      <c r="BV22" s="18" t="str">
        <f t="shared" si="73"/>
        <v/>
      </c>
      <c r="CC22" s="18" t="str">
        <f t="shared" si="74"/>
        <v/>
      </c>
      <c r="CD22" s="18" t="str">
        <f t="shared" si="75"/>
        <v/>
      </c>
      <c r="CE22" s="18" t="str">
        <f t="shared" si="76"/>
        <v/>
      </c>
      <c r="CF22" s="18" t="str">
        <f t="shared" si="77"/>
        <v/>
      </c>
      <c r="CG22" s="18" t="str">
        <f t="shared" si="78"/>
        <v/>
      </c>
      <c r="CH22" s="18" t="str">
        <f t="shared" si="79"/>
        <v/>
      </c>
      <c r="CI22" s="18" t="str">
        <f t="shared" si="80"/>
        <v/>
      </c>
      <c r="CJ22" s="18" t="str">
        <f t="shared" si="81"/>
        <v/>
      </c>
      <c r="CK22" s="18" t="str">
        <f t="shared" si="82"/>
        <v/>
      </c>
      <c r="CL22" s="18" t="str">
        <f t="shared" si="83"/>
        <v/>
      </c>
      <c r="CM22" s="18" t="str">
        <f t="shared" si="84"/>
        <v/>
      </c>
      <c r="CN22" s="18" t="str">
        <f t="shared" si="85"/>
        <v/>
      </c>
      <c r="CO22" s="18" t="str">
        <f t="shared" si="86"/>
        <v/>
      </c>
      <c r="CP22" s="18" t="str">
        <f t="shared" si="87"/>
        <v/>
      </c>
      <c r="CQ22" s="18" t="str">
        <f t="shared" si="88"/>
        <v/>
      </c>
    </row>
    <row r="23" spans="1:95" ht="14.4" thickTop="1" x14ac:dyDescent="0.3">
      <c r="A23" s="161" t="s">
        <v>282</v>
      </c>
      <c r="B23" s="191" t="s">
        <v>297</v>
      </c>
      <c r="C23" s="286" t="s">
        <v>382</v>
      </c>
      <c r="D23" s="162">
        <v>0</v>
      </c>
      <c r="E23" s="172">
        <v>0.5</v>
      </c>
      <c r="F23" s="162">
        <v>0.06</v>
      </c>
      <c r="G23" s="165">
        <f t="shared" ref="G23:G49" si="90">E23+F23/1000</f>
        <v>0.50005999999999995</v>
      </c>
      <c r="H23" s="162">
        <v>0.12</v>
      </c>
      <c r="I23" s="277" t="s">
        <v>368</v>
      </c>
      <c r="J23" s="162" t="s">
        <v>276</v>
      </c>
      <c r="K23" s="248"/>
      <c r="L23" s="254"/>
      <c r="M23" s="254"/>
      <c r="N23" s="254"/>
      <c r="O23" s="254"/>
      <c r="P23" s="254"/>
      <c r="Q23" s="255"/>
      <c r="R23" s="255"/>
      <c r="S23" s="255"/>
      <c r="T23" s="255"/>
      <c r="U23" s="255"/>
      <c r="V23" s="254"/>
      <c r="W23" s="254"/>
      <c r="X23" s="254"/>
      <c r="Y23" s="254"/>
      <c r="Z23" s="254"/>
      <c r="AB23" s="18" t="str">
        <f t="shared" si="29"/>
        <v/>
      </c>
      <c r="AC23" s="18" t="str">
        <f t="shared" si="30"/>
        <v/>
      </c>
      <c r="AD23" s="18" t="str">
        <f t="shared" si="31"/>
        <v/>
      </c>
      <c r="AE23" s="18" t="str">
        <f t="shared" si="32"/>
        <v/>
      </c>
      <c r="AF23" s="18" t="str">
        <f t="shared" si="33"/>
        <v/>
      </c>
      <c r="AG23" s="18" t="str">
        <f t="shared" si="34"/>
        <v/>
      </c>
      <c r="AH23" s="18" t="str">
        <f t="shared" si="35"/>
        <v/>
      </c>
      <c r="AI23" s="18" t="str">
        <f t="shared" si="36"/>
        <v/>
      </c>
      <c r="AJ23" s="18" t="str">
        <f t="shared" si="37"/>
        <v/>
      </c>
      <c r="AK23" s="18" t="str">
        <f t="shared" si="38"/>
        <v/>
      </c>
      <c r="AL23" s="18" t="str">
        <f t="shared" si="39"/>
        <v/>
      </c>
      <c r="AM23" s="18" t="str">
        <f t="shared" si="40"/>
        <v/>
      </c>
      <c r="AN23" s="18" t="str">
        <f t="shared" si="41"/>
        <v/>
      </c>
      <c r="AO23" s="18" t="str">
        <f t="shared" si="42"/>
        <v/>
      </c>
      <c r="AP23" s="18" t="str">
        <f t="shared" si="43"/>
        <v/>
      </c>
      <c r="AR23" s="18" t="str">
        <f t="shared" si="44"/>
        <v/>
      </c>
      <c r="AS23" s="18" t="str">
        <f t="shared" si="45"/>
        <v/>
      </c>
      <c r="AT23" s="18" t="str">
        <f t="shared" si="46"/>
        <v/>
      </c>
      <c r="AU23" s="18" t="str">
        <f t="shared" si="47"/>
        <v/>
      </c>
      <c r="AV23" s="18" t="str">
        <f t="shared" si="48"/>
        <v/>
      </c>
      <c r="AW23" s="18" t="str">
        <f t="shared" si="49"/>
        <v/>
      </c>
      <c r="AX23" s="18" t="str">
        <f t="shared" si="50"/>
        <v/>
      </c>
      <c r="AY23" s="18" t="str">
        <f t="shared" si="51"/>
        <v/>
      </c>
      <c r="AZ23" s="18" t="str">
        <f t="shared" si="52"/>
        <v/>
      </c>
      <c r="BA23" s="18" t="str">
        <f t="shared" si="53"/>
        <v/>
      </c>
      <c r="BB23" s="18" t="str">
        <f t="shared" si="54"/>
        <v/>
      </c>
      <c r="BC23" s="18" t="str">
        <f t="shared" si="55"/>
        <v/>
      </c>
      <c r="BD23" s="18" t="str">
        <f t="shared" si="56"/>
        <v/>
      </c>
      <c r="BE23" s="18" t="str">
        <f t="shared" si="57"/>
        <v/>
      </c>
      <c r="BF23" s="18" t="str">
        <f t="shared" si="58"/>
        <v/>
      </c>
      <c r="BH23" s="18" t="str">
        <f t="shared" si="59"/>
        <v/>
      </c>
      <c r="BI23" s="18" t="str">
        <f t="shared" si="60"/>
        <v/>
      </c>
      <c r="BJ23" s="18" t="str">
        <f t="shared" si="61"/>
        <v/>
      </c>
      <c r="BK23" s="18" t="str">
        <f t="shared" si="62"/>
        <v/>
      </c>
      <c r="BL23" s="18" t="str">
        <f t="shared" si="63"/>
        <v/>
      </c>
      <c r="BM23" s="18" t="str">
        <f t="shared" si="64"/>
        <v/>
      </c>
      <c r="BN23" s="18" t="str">
        <f t="shared" si="65"/>
        <v/>
      </c>
      <c r="BO23" s="18" t="str">
        <f t="shared" si="66"/>
        <v/>
      </c>
      <c r="BP23" s="18" t="str">
        <f t="shared" si="67"/>
        <v/>
      </c>
      <c r="BQ23" s="18" t="str">
        <f t="shared" si="68"/>
        <v/>
      </c>
      <c r="BR23" s="18" t="str">
        <f t="shared" si="69"/>
        <v/>
      </c>
      <c r="BS23" s="18" t="str">
        <f t="shared" si="70"/>
        <v/>
      </c>
      <c r="BT23" s="18" t="str">
        <f t="shared" si="71"/>
        <v/>
      </c>
      <c r="BU23" s="18" t="str">
        <f t="shared" si="72"/>
        <v/>
      </c>
      <c r="BV23" s="18" t="str">
        <f t="shared" si="73"/>
        <v/>
      </c>
      <c r="CC23" s="18" t="str">
        <f t="shared" si="74"/>
        <v/>
      </c>
      <c r="CD23" s="18" t="str">
        <f t="shared" si="75"/>
        <v/>
      </c>
      <c r="CE23" s="18" t="str">
        <f t="shared" si="76"/>
        <v/>
      </c>
      <c r="CF23" s="18" t="str">
        <f t="shared" si="77"/>
        <v/>
      </c>
      <c r="CG23" s="18" t="str">
        <f t="shared" si="78"/>
        <v/>
      </c>
      <c r="CH23" s="18" t="str">
        <f t="shared" si="79"/>
        <v/>
      </c>
      <c r="CI23" s="18" t="str">
        <f t="shared" si="80"/>
        <v/>
      </c>
      <c r="CJ23" s="18" t="str">
        <f t="shared" si="81"/>
        <v/>
      </c>
      <c r="CK23" s="18" t="str">
        <f t="shared" si="82"/>
        <v/>
      </c>
      <c r="CL23" s="18" t="str">
        <f t="shared" si="83"/>
        <v/>
      </c>
      <c r="CM23" s="18" t="str">
        <f t="shared" si="84"/>
        <v/>
      </c>
      <c r="CN23" s="18" t="str">
        <f t="shared" si="85"/>
        <v/>
      </c>
      <c r="CO23" s="18" t="str">
        <f t="shared" si="86"/>
        <v/>
      </c>
      <c r="CP23" s="18" t="str">
        <f t="shared" si="87"/>
        <v/>
      </c>
      <c r="CQ23" s="18" t="str">
        <f t="shared" si="88"/>
        <v/>
      </c>
    </row>
    <row r="24" spans="1:95" x14ac:dyDescent="0.3">
      <c r="A24" s="161" t="s">
        <v>282</v>
      </c>
      <c r="B24" s="191" t="s">
        <v>297</v>
      </c>
      <c r="C24" s="286" t="s">
        <v>382</v>
      </c>
      <c r="D24" s="162">
        <v>0</v>
      </c>
      <c r="E24" s="172">
        <v>1</v>
      </c>
      <c r="F24" s="162">
        <v>0.09</v>
      </c>
      <c r="G24" s="165">
        <f t="shared" si="90"/>
        <v>1.0000899999999999</v>
      </c>
      <c r="H24" s="162">
        <v>0.13</v>
      </c>
      <c r="I24" s="277" t="s">
        <v>368</v>
      </c>
      <c r="J24" s="162" t="s">
        <v>276</v>
      </c>
      <c r="K24" s="248"/>
      <c r="L24" s="250"/>
      <c r="M24" s="250"/>
      <c r="N24" s="250"/>
      <c r="O24" s="250"/>
      <c r="P24" s="250"/>
      <c r="Q24" s="251"/>
      <c r="R24" s="251"/>
      <c r="S24" s="251"/>
      <c r="T24" s="251"/>
      <c r="U24" s="251"/>
      <c r="V24" s="250"/>
      <c r="W24" s="250"/>
      <c r="X24" s="250"/>
      <c r="Y24" s="250"/>
      <c r="Z24" s="250"/>
      <c r="AB24" s="18" t="str">
        <f t="shared" si="29"/>
        <v/>
      </c>
      <c r="AC24" s="18" t="str">
        <f t="shared" si="30"/>
        <v/>
      </c>
      <c r="AD24" s="18" t="str">
        <f t="shared" si="31"/>
        <v/>
      </c>
      <c r="AE24" s="18" t="str">
        <f t="shared" si="32"/>
        <v/>
      </c>
      <c r="AF24" s="18" t="str">
        <f t="shared" si="33"/>
        <v/>
      </c>
      <c r="AG24" s="18" t="str">
        <f t="shared" si="34"/>
        <v/>
      </c>
      <c r="AH24" s="18" t="str">
        <f t="shared" si="35"/>
        <v/>
      </c>
      <c r="AI24" s="18" t="str">
        <f t="shared" si="36"/>
        <v/>
      </c>
      <c r="AJ24" s="18" t="str">
        <f t="shared" si="37"/>
        <v/>
      </c>
      <c r="AK24" s="18" t="str">
        <f t="shared" si="38"/>
        <v/>
      </c>
      <c r="AL24" s="18" t="str">
        <f t="shared" si="39"/>
        <v/>
      </c>
      <c r="AM24" s="18" t="str">
        <f t="shared" si="40"/>
        <v/>
      </c>
      <c r="AN24" s="18" t="str">
        <f t="shared" si="41"/>
        <v/>
      </c>
      <c r="AO24" s="18" t="str">
        <f t="shared" si="42"/>
        <v/>
      </c>
      <c r="AP24" s="18" t="str">
        <f t="shared" si="43"/>
        <v/>
      </c>
      <c r="AR24" s="18" t="str">
        <f t="shared" si="44"/>
        <v/>
      </c>
      <c r="AS24" s="18" t="str">
        <f t="shared" si="45"/>
        <v/>
      </c>
      <c r="AT24" s="18" t="str">
        <f t="shared" si="46"/>
        <v/>
      </c>
      <c r="AU24" s="18" t="str">
        <f t="shared" si="47"/>
        <v/>
      </c>
      <c r="AV24" s="18" t="str">
        <f t="shared" si="48"/>
        <v/>
      </c>
      <c r="AW24" s="18" t="str">
        <f t="shared" si="49"/>
        <v/>
      </c>
      <c r="AX24" s="18" t="str">
        <f t="shared" si="50"/>
        <v/>
      </c>
      <c r="AY24" s="18" t="str">
        <f t="shared" si="51"/>
        <v/>
      </c>
      <c r="AZ24" s="18" t="str">
        <f t="shared" si="52"/>
        <v/>
      </c>
      <c r="BA24" s="18" t="str">
        <f t="shared" si="53"/>
        <v/>
      </c>
      <c r="BB24" s="18" t="str">
        <f t="shared" si="54"/>
        <v/>
      </c>
      <c r="BC24" s="18" t="str">
        <f t="shared" si="55"/>
        <v/>
      </c>
      <c r="BD24" s="18" t="str">
        <f t="shared" si="56"/>
        <v/>
      </c>
      <c r="BE24" s="18" t="str">
        <f t="shared" si="57"/>
        <v/>
      </c>
      <c r="BF24" s="18" t="str">
        <f t="shared" si="58"/>
        <v/>
      </c>
      <c r="BH24" s="18" t="str">
        <f t="shared" si="59"/>
        <v/>
      </c>
      <c r="BI24" s="18" t="str">
        <f t="shared" si="60"/>
        <v/>
      </c>
      <c r="BJ24" s="18" t="str">
        <f t="shared" si="61"/>
        <v/>
      </c>
      <c r="BK24" s="18" t="str">
        <f t="shared" si="62"/>
        <v/>
      </c>
      <c r="BL24" s="18" t="str">
        <f t="shared" si="63"/>
        <v/>
      </c>
      <c r="BM24" s="18" t="str">
        <f t="shared" si="64"/>
        <v/>
      </c>
      <c r="BN24" s="18" t="str">
        <f t="shared" si="65"/>
        <v/>
      </c>
      <c r="BO24" s="18" t="str">
        <f t="shared" si="66"/>
        <v/>
      </c>
      <c r="BP24" s="18" t="str">
        <f t="shared" si="67"/>
        <v/>
      </c>
      <c r="BQ24" s="18" t="str">
        <f t="shared" si="68"/>
        <v/>
      </c>
      <c r="BR24" s="18" t="str">
        <f t="shared" si="69"/>
        <v/>
      </c>
      <c r="BS24" s="18" t="str">
        <f t="shared" si="70"/>
        <v/>
      </c>
      <c r="BT24" s="18" t="str">
        <f t="shared" si="71"/>
        <v/>
      </c>
      <c r="BU24" s="18" t="str">
        <f t="shared" si="72"/>
        <v/>
      </c>
      <c r="BV24" s="18" t="str">
        <f t="shared" si="73"/>
        <v/>
      </c>
      <c r="CC24" s="18" t="str">
        <f t="shared" si="74"/>
        <v/>
      </c>
      <c r="CD24" s="18" t="str">
        <f t="shared" si="75"/>
        <v/>
      </c>
      <c r="CE24" s="18" t="str">
        <f t="shared" si="76"/>
        <v/>
      </c>
      <c r="CF24" s="18" t="str">
        <f t="shared" si="77"/>
        <v/>
      </c>
      <c r="CG24" s="18" t="str">
        <f t="shared" si="78"/>
        <v/>
      </c>
      <c r="CH24" s="18" t="str">
        <f t="shared" si="79"/>
        <v/>
      </c>
      <c r="CI24" s="18" t="str">
        <f t="shared" si="80"/>
        <v/>
      </c>
      <c r="CJ24" s="18" t="str">
        <f t="shared" si="81"/>
        <v/>
      </c>
      <c r="CK24" s="18" t="str">
        <f t="shared" si="82"/>
        <v/>
      </c>
      <c r="CL24" s="18" t="str">
        <f t="shared" si="83"/>
        <v/>
      </c>
      <c r="CM24" s="18" t="str">
        <f t="shared" si="84"/>
        <v/>
      </c>
      <c r="CN24" s="18" t="str">
        <f t="shared" si="85"/>
        <v/>
      </c>
      <c r="CO24" s="18" t="str">
        <f t="shared" si="86"/>
        <v/>
      </c>
      <c r="CP24" s="18" t="str">
        <f t="shared" si="87"/>
        <v/>
      </c>
      <c r="CQ24" s="18" t="str">
        <f t="shared" si="88"/>
        <v/>
      </c>
    </row>
    <row r="25" spans="1:95" x14ac:dyDescent="0.3">
      <c r="A25" s="161" t="s">
        <v>282</v>
      </c>
      <c r="B25" s="191" t="s">
        <v>297</v>
      </c>
      <c r="C25" s="286" t="s">
        <v>382</v>
      </c>
      <c r="D25" s="162">
        <v>0</v>
      </c>
      <c r="E25" s="172">
        <v>1.01</v>
      </c>
      <c r="F25" s="162">
        <v>0.09</v>
      </c>
      <c r="G25" s="165">
        <f t="shared" si="90"/>
        <v>1.0100899999999999</v>
      </c>
      <c r="H25" s="162">
        <v>0.13</v>
      </c>
      <c r="I25" s="277" t="s">
        <v>368</v>
      </c>
      <c r="J25" s="162" t="s">
        <v>276</v>
      </c>
      <c r="K25" s="248"/>
      <c r="L25" s="250"/>
      <c r="M25" s="250"/>
      <c r="N25" s="250"/>
      <c r="O25" s="250"/>
      <c r="P25" s="250"/>
      <c r="Q25" s="251"/>
      <c r="R25" s="251"/>
      <c r="S25" s="251"/>
      <c r="T25" s="251"/>
      <c r="U25" s="251"/>
      <c r="V25" s="250"/>
      <c r="W25" s="250"/>
      <c r="X25" s="250"/>
      <c r="Y25" s="250"/>
      <c r="Z25" s="250"/>
      <c r="AB25" s="18" t="str">
        <f t="shared" si="29"/>
        <v/>
      </c>
      <c r="AC25" s="18" t="str">
        <f t="shared" si="30"/>
        <v/>
      </c>
      <c r="AD25" s="18" t="str">
        <f t="shared" si="31"/>
        <v/>
      </c>
      <c r="AE25" s="18" t="str">
        <f t="shared" si="32"/>
        <v/>
      </c>
      <c r="AF25" s="18" t="str">
        <f t="shared" si="33"/>
        <v/>
      </c>
      <c r="AG25" s="18" t="str">
        <f t="shared" si="34"/>
        <v/>
      </c>
      <c r="AH25" s="18" t="str">
        <f t="shared" si="35"/>
        <v/>
      </c>
      <c r="AI25" s="18" t="str">
        <f t="shared" si="36"/>
        <v/>
      </c>
      <c r="AJ25" s="18" t="str">
        <f t="shared" si="37"/>
        <v/>
      </c>
      <c r="AK25" s="18" t="str">
        <f t="shared" si="38"/>
        <v/>
      </c>
      <c r="AL25" s="18" t="str">
        <f t="shared" si="39"/>
        <v/>
      </c>
      <c r="AM25" s="18" t="str">
        <f t="shared" si="40"/>
        <v/>
      </c>
      <c r="AN25" s="18" t="str">
        <f t="shared" si="41"/>
        <v/>
      </c>
      <c r="AO25" s="18" t="str">
        <f t="shared" si="42"/>
        <v/>
      </c>
      <c r="AP25" s="18" t="str">
        <f t="shared" si="43"/>
        <v/>
      </c>
      <c r="AR25" s="18" t="str">
        <f t="shared" si="44"/>
        <v/>
      </c>
      <c r="AS25" s="18" t="str">
        <f t="shared" si="45"/>
        <v/>
      </c>
      <c r="AT25" s="18" t="str">
        <f t="shared" si="46"/>
        <v/>
      </c>
      <c r="AU25" s="18" t="str">
        <f t="shared" si="47"/>
        <v/>
      </c>
      <c r="AV25" s="18" t="str">
        <f t="shared" si="48"/>
        <v/>
      </c>
      <c r="AW25" s="18" t="str">
        <f t="shared" si="49"/>
        <v/>
      </c>
      <c r="AX25" s="18" t="str">
        <f t="shared" si="50"/>
        <v/>
      </c>
      <c r="AY25" s="18" t="str">
        <f t="shared" si="51"/>
        <v/>
      </c>
      <c r="AZ25" s="18" t="str">
        <f t="shared" si="52"/>
        <v/>
      </c>
      <c r="BA25" s="18" t="str">
        <f t="shared" si="53"/>
        <v/>
      </c>
      <c r="BB25" s="18" t="str">
        <f t="shared" si="54"/>
        <v/>
      </c>
      <c r="BC25" s="18" t="str">
        <f t="shared" si="55"/>
        <v/>
      </c>
      <c r="BD25" s="18" t="str">
        <f t="shared" si="56"/>
        <v/>
      </c>
      <c r="BE25" s="18" t="str">
        <f t="shared" si="57"/>
        <v/>
      </c>
      <c r="BF25" s="18" t="str">
        <f t="shared" si="58"/>
        <v/>
      </c>
      <c r="BH25" s="18" t="str">
        <f t="shared" si="59"/>
        <v/>
      </c>
      <c r="BI25" s="18" t="str">
        <f t="shared" si="60"/>
        <v/>
      </c>
      <c r="BJ25" s="18" t="str">
        <f t="shared" si="61"/>
        <v/>
      </c>
      <c r="BK25" s="18" t="str">
        <f t="shared" si="62"/>
        <v/>
      </c>
      <c r="BL25" s="18" t="str">
        <f t="shared" si="63"/>
        <v/>
      </c>
      <c r="BM25" s="18" t="str">
        <f t="shared" si="64"/>
        <v/>
      </c>
      <c r="BN25" s="18" t="str">
        <f t="shared" si="65"/>
        <v/>
      </c>
      <c r="BO25" s="18" t="str">
        <f t="shared" si="66"/>
        <v/>
      </c>
      <c r="BP25" s="18" t="str">
        <f t="shared" si="67"/>
        <v/>
      </c>
      <c r="BQ25" s="18" t="str">
        <f t="shared" si="68"/>
        <v/>
      </c>
      <c r="BR25" s="18" t="str">
        <f t="shared" si="69"/>
        <v/>
      </c>
      <c r="BS25" s="18" t="str">
        <f t="shared" si="70"/>
        <v/>
      </c>
      <c r="BT25" s="18" t="str">
        <f t="shared" si="71"/>
        <v/>
      </c>
      <c r="BU25" s="18" t="str">
        <f t="shared" si="72"/>
        <v/>
      </c>
      <c r="BV25" s="18" t="str">
        <f t="shared" si="73"/>
        <v/>
      </c>
      <c r="CC25" s="18" t="str">
        <f t="shared" si="74"/>
        <v/>
      </c>
      <c r="CD25" s="18" t="str">
        <f t="shared" si="75"/>
        <v/>
      </c>
      <c r="CE25" s="18" t="str">
        <f t="shared" si="76"/>
        <v/>
      </c>
      <c r="CF25" s="18" t="str">
        <f t="shared" si="77"/>
        <v/>
      </c>
      <c r="CG25" s="18" t="str">
        <f t="shared" si="78"/>
        <v/>
      </c>
      <c r="CH25" s="18" t="str">
        <f t="shared" si="79"/>
        <v/>
      </c>
      <c r="CI25" s="18" t="str">
        <f t="shared" si="80"/>
        <v/>
      </c>
      <c r="CJ25" s="18" t="str">
        <f t="shared" si="81"/>
        <v/>
      </c>
      <c r="CK25" s="18" t="str">
        <f t="shared" si="82"/>
        <v/>
      </c>
      <c r="CL25" s="18" t="str">
        <f t="shared" si="83"/>
        <v/>
      </c>
      <c r="CM25" s="18" t="str">
        <f t="shared" si="84"/>
        <v/>
      </c>
      <c r="CN25" s="18" t="str">
        <f t="shared" si="85"/>
        <v/>
      </c>
      <c r="CO25" s="18" t="str">
        <f t="shared" si="86"/>
        <v/>
      </c>
      <c r="CP25" s="18" t="str">
        <f t="shared" si="87"/>
        <v/>
      </c>
      <c r="CQ25" s="18" t="str">
        <f t="shared" si="88"/>
        <v/>
      </c>
    </row>
    <row r="26" spans="1:95" x14ac:dyDescent="0.3">
      <c r="A26" s="161" t="s">
        <v>282</v>
      </c>
      <c r="B26" s="191" t="s">
        <v>297</v>
      </c>
      <c r="C26" s="286" t="s">
        <v>382</v>
      </c>
      <c r="D26" s="162">
        <v>0</v>
      </c>
      <c r="E26" s="172">
        <v>1.02</v>
      </c>
      <c r="F26" s="162">
        <v>0.1</v>
      </c>
      <c r="G26" s="165">
        <f t="shared" si="90"/>
        <v>1.0201</v>
      </c>
      <c r="H26" s="162">
        <v>0.13</v>
      </c>
      <c r="I26" s="277" t="s">
        <v>368</v>
      </c>
      <c r="J26" s="162" t="s">
        <v>276</v>
      </c>
      <c r="K26" s="248"/>
      <c r="L26" s="250"/>
      <c r="M26" s="250"/>
      <c r="N26" s="250"/>
      <c r="O26" s="250"/>
      <c r="P26" s="250"/>
      <c r="Q26" s="251"/>
      <c r="R26" s="251"/>
      <c r="S26" s="251"/>
      <c r="T26" s="251"/>
      <c r="U26" s="251"/>
      <c r="V26" s="250"/>
      <c r="W26" s="250"/>
      <c r="X26" s="250"/>
      <c r="Y26" s="250"/>
      <c r="Z26" s="250"/>
      <c r="AB26" s="18" t="str">
        <f t="shared" si="29"/>
        <v/>
      </c>
      <c r="AC26" s="18" t="str">
        <f t="shared" si="30"/>
        <v/>
      </c>
      <c r="AD26" s="18" t="str">
        <f t="shared" si="31"/>
        <v/>
      </c>
      <c r="AE26" s="18" t="str">
        <f t="shared" si="32"/>
        <v/>
      </c>
      <c r="AF26" s="18" t="str">
        <f t="shared" si="33"/>
        <v/>
      </c>
      <c r="AG26" s="18" t="str">
        <f t="shared" si="34"/>
        <v/>
      </c>
      <c r="AH26" s="18" t="str">
        <f t="shared" si="35"/>
        <v/>
      </c>
      <c r="AI26" s="18" t="str">
        <f t="shared" si="36"/>
        <v/>
      </c>
      <c r="AJ26" s="18" t="str">
        <f t="shared" si="37"/>
        <v/>
      </c>
      <c r="AK26" s="18" t="str">
        <f t="shared" si="38"/>
        <v/>
      </c>
      <c r="AL26" s="18" t="str">
        <f t="shared" si="39"/>
        <v/>
      </c>
      <c r="AM26" s="18" t="str">
        <f t="shared" si="40"/>
        <v/>
      </c>
      <c r="AN26" s="18" t="str">
        <f t="shared" si="41"/>
        <v/>
      </c>
      <c r="AO26" s="18" t="str">
        <f t="shared" si="42"/>
        <v/>
      </c>
      <c r="AP26" s="18" t="str">
        <f t="shared" si="43"/>
        <v/>
      </c>
      <c r="AR26" s="18" t="str">
        <f t="shared" si="44"/>
        <v/>
      </c>
      <c r="AS26" s="18" t="str">
        <f t="shared" si="45"/>
        <v/>
      </c>
      <c r="AT26" s="18" t="str">
        <f t="shared" si="46"/>
        <v/>
      </c>
      <c r="AU26" s="18" t="str">
        <f t="shared" si="47"/>
        <v/>
      </c>
      <c r="AV26" s="18" t="str">
        <f t="shared" si="48"/>
        <v/>
      </c>
      <c r="AW26" s="18" t="str">
        <f t="shared" si="49"/>
        <v/>
      </c>
      <c r="AX26" s="18" t="str">
        <f t="shared" si="50"/>
        <v/>
      </c>
      <c r="AY26" s="18" t="str">
        <f t="shared" si="51"/>
        <v/>
      </c>
      <c r="AZ26" s="18" t="str">
        <f t="shared" si="52"/>
        <v/>
      </c>
      <c r="BA26" s="18" t="str">
        <f t="shared" si="53"/>
        <v/>
      </c>
      <c r="BB26" s="18" t="str">
        <f t="shared" si="54"/>
        <v/>
      </c>
      <c r="BC26" s="18" t="str">
        <f t="shared" si="55"/>
        <v/>
      </c>
      <c r="BD26" s="18" t="str">
        <f t="shared" si="56"/>
        <v/>
      </c>
      <c r="BE26" s="18" t="str">
        <f t="shared" si="57"/>
        <v/>
      </c>
      <c r="BF26" s="18" t="str">
        <f t="shared" si="58"/>
        <v/>
      </c>
      <c r="BH26" s="18" t="str">
        <f t="shared" si="59"/>
        <v/>
      </c>
      <c r="BI26" s="18" t="str">
        <f t="shared" si="60"/>
        <v/>
      </c>
      <c r="BJ26" s="18" t="str">
        <f t="shared" si="61"/>
        <v/>
      </c>
      <c r="BK26" s="18" t="str">
        <f t="shared" si="62"/>
        <v/>
      </c>
      <c r="BL26" s="18" t="str">
        <f t="shared" si="63"/>
        <v/>
      </c>
      <c r="BM26" s="18" t="str">
        <f t="shared" si="64"/>
        <v/>
      </c>
      <c r="BN26" s="18" t="str">
        <f t="shared" si="65"/>
        <v/>
      </c>
      <c r="BO26" s="18" t="str">
        <f t="shared" si="66"/>
        <v/>
      </c>
      <c r="BP26" s="18" t="str">
        <f t="shared" si="67"/>
        <v/>
      </c>
      <c r="BQ26" s="18" t="str">
        <f t="shared" si="68"/>
        <v/>
      </c>
      <c r="BR26" s="18" t="str">
        <f t="shared" si="69"/>
        <v/>
      </c>
      <c r="BS26" s="18" t="str">
        <f t="shared" si="70"/>
        <v/>
      </c>
      <c r="BT26" s="18" t="str">
        <f t="shared" si="71"/>
        <v/>
      </c>
      <c r="BU26" s="18" t="str">
        <f t="shared" si="72"/>
        <v/>
      </c>
      <c r="BV26" s="18" t="str">
        <f t="shared" si="73"/>
        <v/>
      </c>
      <c r="CC26" s="18" t="str">
        <f t="shared" si="74"/>
        <v/>
      </c>
      <c r="CD26" s="18" t="str">
        <f t="shared" si="75"/>
        <v/>
      </c>
      <c r="CE26" s="18" t="str">
        <f t="shared" si="76"/>
        <v/>
      </c>
      <c r="CF26" s="18" t="str">
        <f t="shared" si="77"/>
        <v/>
      </c>
      <c r="CG26" s="18" t="str">
        <f t="shared" si="78"/>
        <v/>
      </c>
      <c r="CH26" s="18" t="str">
        <f t="shared" si="79"/>
        <v/>
      </c>
      <c r="CI26" s="18" t="str">
        <f t="shared" si="80"/>
        <v/>
      </c>
      <c r="CJ26" s="18" t="str">
        <f t="shared" si="81"/>
        <v/>
      </c>
      <c r="CK26" s="18" t="str">
        <f t="shared" si="82"/>
        <v/>
      </c>
      <c r="CL26" s="18" t="str">
        <f t="shared" si="83"/>
        <v/>
      </c>
      <c r="CM26" s="18" t="str">
        <f t="shared" si="84"/>
        <v/>
      </c>
      <c r="CN26" s="18" t="str">
        <f t="shared" si="85"/>
        <v/>
      </c>
      <c r="CO26" s="18" t="str">
        <f t="shared" si="86"/>
        <v/>
      </c>
      <c r="CP26" s="18" t="str">
        <f t="shared" si="87"/>
        <v/>
      </c>
      <c r="CQ26" s="18" t="str">
        <f t="shared" si="88"/>
        <v/>
      </c>
    </row>
    <row r="27" spans="1:95" x14ac:dyDescent="0.3">
      <c r="A27" s="161" t="s">
        <v>282</v>
      </c>
      <c r="B27" s="191" t="s">
        <v>297</v>
      </c>
      <c r="C27" s="286" t="s">
        <v>382</v>
      </c>
      <c r="D27" s="162">
        <v>0</v>
      </c>
      <c r="E27" s="172">
        <v>1.03</v>
      </c>
      <c r="F27" s="162">
        <v>7.0000000000000007E-2</v>
      </c>
      <c r="G27" s="165">
        <f t="shared" si="90"/>
        <v>1.03007</v>
      </c>
      <c r="H27" s="162">
        <v>0.13</v>
      </c>
      <c r="I27" s="277" t="s">
        <v>368</v>
      </c>
      <c r="J27" s="162" t="s">
        <v>276</v>
      </c>
      <c r="K27" s="248"/>
      <c r="L27" s="250"/>
      <c r="M27" s="250"/>
      <c r="N27" s="250"/>
      <c r="O27" s="250"/>
      <c r="P27" s="250"/>
      <c r="Q27" s="251"/>
      <c r="R27" s="251"/>
      <c r="S27" s="251"/>
      <c r="T27" s="251"/>
      <c r="U27" s="251"/>
      <c r="V27" s="250"/>
      <c r="W27" s="250"/>
      <c r="X27" s="250"/>
      <c r="Y27" s="250"/>
      <c r="Z27" s="250"/>
      <c r="AB27" s="18" t="str">
        <f t="shared" si="29"/>
        <v/>
      </c>
      <c r="AC27" s="18" t="str">
        <f t="shared" si="30"/>
        <v/>
      </c>
      <c r="AD27" s="18" t="str">
        <f t="shared" si="31"/>
        <v/>
      </c>
      <c r="AE27" s="18" t="str">
        <f t="shared" si="32"/>
        <v/>
      </c>
      <c r="AF27" s="18" t="str">
        <f t="shared" si="33"/>
        <v/>
      </c>
      <c r="AG27" s="18" t="str">
        <f t="shared" si="34"/>
        <v/>
      </c>
      <c r="AH27" s="18" t="str">
        <f t="shared" si="35"/>
        <v/>
      </c>
      <c r="AI27" s="18" t="str">
        <f t="shared" si="36"/>
        <v/>
      </c>
      <c r="AJ27" s="18" t="str">
        <f t="shared" si="37"/>
        <v/>
      </c>
      <c r="AK27" s="18" t="str">
        <f t="shared" si="38"/>
        <v/>
      </c>
      <c r="AL27" s="18" t="str">
        <f t="shared" si="39"/>
        <v/>
      </c>
      <c r="AM27" s="18" t="str">
        <f t="shared" si="40"/>
        <v/>
      </c>
      <c r="AN27" s="18" t="str">
        <f t="shared" si="41"/>
        <v/>
      </c>
      <c r="AO27" s="18" t="str">
        <f t="shared" si="42"/>
        <v/>
      </c>
      <c r="AP27" s="18" t="str">
        <f t="shared" si="43"/>
        <v/>
      </c>
      <c r="AR27" s="18" t="str">
        <f t="shared" si="44"/>
        <v/>
      </c>
      <c r="AS27" s="18" t="str">
        <f t="shared" si="45"/>
        <v/>
      </c>
      <c r="AT27" s="18" t="str">
        <f t="shared" si="46"/>
        <v/>
      </c>
      <c r="AU27" s="18" t="str">
        <f t="shared" si="47"/>
        <v/>
      </c>
      <c r="AV27" s="18" t="str">
        <f t="shared" si="48"/>
        <v/>
      </c>
      <c r="AW27" s="18" t="str">
        <f t="shared" si="49"/>
        <v/>
      </c>
      <c r="AX27" s="18" t="str">
        <f t="shared" si="50"/>
        <v/>
      </c>
      <c r="AY27" s="18" t="str">
        <f t="shared" si="51"/>
        <v/>
      </c>
      <c r="AZ27" s="18" t="str">
        <f t="shared" si="52"/>
        <v/>
      </c>
      <c r="BA27" s="18" t="str">
        <f t="shared" si="53"/>
        <v/>
      </c>
      <c r="BB27" s="18" t="str">
        <f t="shared" si="54"/>
        <v/>
      </c>
      <c r="BC27" s="18" t="str">
        <f t="shared" si="55"/>
        <v/>
      </c>
      <c r="BD27" s="18" t="str">
        <f t="shared" si="56"/>
        <v/>
      </c>
      <c r="BE27" s="18" t="str">
        <f t="shared" si="57"/>
        <v/>
      </c>
      <c r="BF27" s="18" t="str">
        <f t="shared" si="58"/>
        <v/>
      </c>
      <c r="BH27" s="18" t="str">
        <f t="shared" si="59"/>
        <v/>
      </c>
      <c r="BI27" s="18" t="str">
        <f t="shared" si="60"/>
        <v/>
      </c>
      <c r="BJ27" s="18" t="str">
        <f t="shared" si="61"/>
        <v/>
      </c>
      <c r="BK27" s="18" t="str">
        <f t="shared" si="62"/>
        <v/>
      </c>
      <c r="BL27" s="18" t="str">
        <f t="shared" si="63"/>
        <v/>
      </c>
      <c r="BM27" s="18" t="str">
        <f t="shared" si="64"/>
        <v/>
      </c>
      <c r="BN27" s="18" t="str">
        <f t="shared" si="65"/>
        <v/>
      </c>
      <c r="BO27" s="18" t="str">
        <f t="shared" si="66"/>
        <v/>
      </c>
      <c r="BP27" s="18" t="str">
        <f t="shared" si="67"/>
        <v/>
      </c>
      <c r="BQ27" s="18" t="str">
        <f t="shared" si="68"/>
        <v/>
      </c>
      <c r="BR27" s="18" t="str">
        <f t="shared" si="69"/>
        <v/>
      </c>
      <c r="BS27" s="18" t="str">
        <f t="shared" si="70"/>
        <v/>
      </c>
      <c r="BT27" s="18" t="str">
        <f t="shared" si="71"/>
        <v/>
      </c>
      <c r="BU27" s="18" t="str">
        <f t="shared" si="72"/>
        <v/>
      </c>
      <c r="BV27" s="18" t="str">
        <f t="shared" si="73"/>
        <v/>
      </c>
      <c r="CC27" s="18" t="str">
        <f t="shared" si="74"/>
        <v/>
      </c>
      <c r="CD27" s="18" t="str">
        <f t="shared" si="75"/>
        <v/>
      </c>
      <c r="CE27" s="18" t="str">
        <f t="shared" si="76"/>
        <v/>
      </c>
      <c r="CF27" s="18" t="str">
        <f t="shared" si="77"/>
        <v/>
      </c>
      <c r="CG27" s="18" t="str">
        <f t="shared" si="78"/>
        <v/>
      </c>
      <c r="CH27" s="18" t="str">
        <f t="shared" si="79"/>
        <v/>
      </c>
      <c r="CI27" s="18" t="str">
        <f t="shared" si="80"/>
        <v/>
      </c>
      <c r="CJ27" s="18" t="str">
        <f t="shared" si="81"/>
        <v/>
      </c>
      <c r="CK27" s="18" t="str">
        <f t="shared" si="82"/>
        <v/>
      </c>
      <c r="CL27" s="18" t="str">
        <f t="shared" si="83"/>
        <v/>
      </c>
      <c r="CM27" s="18" t="str">
        <f t="shared" si="84"/>
        <v/>
      </c>
      <c r="CN27" s="18" t="str">
        <f t="shared" si="85"/>
        <v/>
      </c>
      <c r="CO27" s="18" t="str">
        <f t="shared" si="86"/>
        <v/>
      </c>
      <c r="CP27" s="18" t="str">
        <f t="shared" si="87"/>
        <v/>
      </c>
      <c r="CQ27" s="18" t="str">
        <f t="shared" si="88"/>
        <v/>
      </c>
    </row>
    <row r="28" spans="1:95" x14ac:dyDescent="0.3">
      <c r="A28" s="161" t="s">
        <v>282</v>
      </c>
      <c r="B28" s="191" t="s">
        <v>297</v>
      </c>
      <c r="C28" s="286" t="s">
        <v>382</v>
      </c>
      <c r="D28" s="162">
        <v>0</v>
      </c>
      <c r="E28" s="172">
        <v>1.04</v>
      </c>
      <c r="F28" s="162">
        <v>7.0000000000000007E-2</v>
      </c>
      <c r="G28" s="165">
        <f t="shared" si="90"/>
        <v>1.0400700000000001</v>
      </c>
      <c r="H28" s="162">
        <v>0.13</v>
      </c>
      <c r="I28" s="277" t="s">
        <v>368</v>
      </c>
      <c r="J28" s="162" t="s">
        <v>276</v>
      </c>
      <c r="K28" s="248"/>
      <c r="L28" s="250"/>
      <c r="M28" s="250"/>
      <c r="N28" s="250"/>
      <c r="O28" s="250"/>
      <c r="P28" s="250"/>
      <c r="Q28" s="251"/>
      <c r="R28" s="251"/>
      <c r="S28" s="251"/>
      <c r="T28" s="251"/>
      <c r="U28" s="251"/>
      <c r="V28" s="250"/>
      <c r="W28" s="250"/>
      <c r="X28" s="250"/>
      <c r="Y28" s="250"/>
      <c r="Z28" s="250"/>
      <c r="AB28" s="18" t="str">
        <f t="shared" si="29"/>
        <v/>
      </c>
      <c r="AC28" s="18" t="str">
        <f t="shared" si="30"/>
        <v/>
      </c>
      <c r="AD28" s="18" t="str">
        <f t="shared" si="31"/>
        <v/>
      </c>
      <c r="AE28" s="18" t="str">
        <f t="shared" si="32"/>
        <v/>
      </c>
      <c r="AF28" s="18" t="str">
        <f t="shared" si="33"/>
        <v/>
      </c>
      <c r="AG28" s="18" t="str">
        <f t="shared" si="34"/>
        <v/>
      </c>
      <c r="AH28" s="18" t="str">
        <f t="shared" si="35"/>
        <v/>
      </c>
      <c r="AI28" s="18" t="str">
        <f t="shared" si="36"/>
        <v/>
      </c>
      <c r="AJ28" s="18" t="str">
        <f t="shared" si="37"/>
        <v/>
      </c>
      <c r="AK28" s="18" t="str">
        <f t="shared" si="38"/>
        <v/>
      </c>
      <c r="AL28" s="18" t="str">
        <f t="shared" si="39"/>
        <v/>
      </c>
      <c r="AM28" s="18" t="str">
        <f t="shared" si="40"/>
        <v/>
      </c>
      <c r="AN28" s="18" t="str">
        <f t="shared" si="41"/>
        <v/>
      </c>
      <c r="AO28" s="18" t="str">
        <f t="shared" si="42"/>
        <v/>
      </c>
      <c r="AP28" s="18" t="str">
        <f t="shared" si="43"/>
        <v/>
      </c>
      <c r="AR28" s="18" t="str">
        <f t="shared" si="44"/>
        <v/>
      </c>
      <c r="AS28" s="18" t="str">
        <f t="shared" si="45"/>
        <v/>
      </c>
      <c r="AT28" s="18" t="str">
        <f t="shared" si="46"/>
        <v/>
      </c>
      <c r="AU28" s="18" t="str">
        <f t="shared" si="47"/>
        <v/>
      </c>
      <c r="AV28" s="18" t="str">
        <f t="shared" si="48"/>
        <v/>
      </c>
      <c r="AW28" s="18" t="str">
        <f t="shared" si="49"/>
        <v/>
      </c>
      <c r="AX28" s="18" t="str">
        <f t="shared" si="50"/>
        <v/>
      </c>
      <c r="AY28" s="18" t="str">
        <f t="shared" si="51"/>
        <v/>
      </c>
      <c r="AZ28" s="18" t="str">
        <f t="shared" si="52"/>
        <v/>
      </c>
      <c r="BA28" s="18" t="str">
        <f t="shared" si="53"/>
        <v/>
      </c>
      <c r="BB28" s="18" t="str">
        <f t="shared" si="54"/>
        <v/>
      </c>
      <c r="BC28" s="18" t="str">
        <f t="shared" si="55"/>
        <v/>
      </c>
      <c r="BD28" s="18" t="str">
        <f t="shared" si="56"/>
        <v/>
      </c>
      <c r="BE28" s="18" t="str">
        <f t="shared" si="57"/>
        <v/>
      </c>
      <c r="BF28" s="18" t="str">
        <f t="shared" si="58"/>
        <v/>
      </c>
      <c r="BH28" s="18" t="str">
        <f t="shared" si="59"/>
        <v/>
      </c>
      <c r="BI28" s="18" t="str">
        <f t="shared" si="60"/>
        <v/>
      </c>
      <c r="BJ28" s="18" t="str">
        <f t="shared" si="61"/>
        <v/>
      </c>
      <c r="BK28" s="18" t="str">
        <f t="shared" si="62"/>
        <v/>
      </c>
      <c r="BL28" s="18" t="str">
        <f t="shared" si="63"/>
        <v/>
      </c>
      <c r="BM28" s="18" t="str">
        <f t="shared" si="64"/>
        <v/>
      </c>
      <c r="BN28" s="18" t="str">
        <f t="shared" si="65"/>
        <v/>
      </c>
      <c r="BO28" s="18" t="str">
        <f t="shared" si="66"/>
        <v/>
      </c>
      <c r="BP28" s="18" t="str">
        <f t="shared" si="67"/>
        <v/>
      </c>
      <c r="BQ28" s="18" t="str">
        <f t="shared" si="68"/>
        <v/>
      </c>
      <c r="BR28" s="18" t="str">
        <f t="shared" si="69"/>
        <v/>
      </c>
      <c r="BS28" s="18" t="str">
        <f t="shared" si="70"/>
        <v/>
      </c>
      <c r="BT28" s="18" t="str">
        <f t="shared" si="71"/>
        <v/>
      </c>
      <c r="BU28" s="18" t="str">
        <f t="shared" si="72"/>
        <v/>
      </c>
      <c r="BV28" s="18" t="str">
        <f t="shared" si="73"/>
        <v/>
      </c>
      <c r="CC28" s="18" t="str">
        <f t="shared" si="74"/>
        <v/>
      </c>
      <c r="CD28" s="18" t="str">
        <f t="shared" si="75"/>
        <v/>
      </c>
      <c r="CE28" s="18" t="str">
        <f t="shared" si="76"/>
        <v/>
      </c>
      <c r="CF28" s="18" t="str">
        <f t="shared" si="77"/>
        <v/>
      </c>
      <c r="CG28" s="18" t="str">
        <f t="shared" si="78"/>
        <v/>
      </c>
      <c r="CH28" s="18" t="str">
        <f t="shared" si="79"/>
        <v/>
      </c>
      <c r="CI28" s="18" t="str">
        <f t="shared" si="80"/>
        <v/>
      </c>
      <c r="CJ28" s="18" t="str">
        <f t="shared" si="81"/>
        <v/>
      </c>
      <c r="CK28" s="18" t="str">
        <f t="shared" si="82"/>
        <v/>
      </c>
      <c r="CL28" s="18" t="str">
        <f t="shared" si="83"/>
        <v/>
      </c>
      <c r="CM28" s="18" t="str">
        <f t="shared" si="84"/>
        <v/>
      </c>
      <c r="CN28" s="18" t="str">
        <f t="shared" si="85"/>
        <v/>
      </c>
      <c r="CO28" s="18" t="str">
        <f t="shared" si="86"/>
        <v/>
      </c>
      <c r="CP28" s="18" t="str">
        <f t="shared" si="87"/>
        <v/>
      </c>
      <c r="CQ28" s="18" t="str">
        <f t="shared" si="88"/>
        <v/>
      </c>
    </row>
    <row r="29" spans="1:95" x14ac:dyDescent="0.3">
      <c r="A29" s="161" t="s">
        <v>282</v>
      </c>
      <c r="B29" s="191" t="s">
        <v>297</v>
      </c>
      <c r="C29" s="286" t="s">
        <v>382</v>
      </c>
      <c r="D29" s="162">
        <v>0</v>
      </c>
      <c r="E29" s="172">
        <v>1.05</v>
      </c>
      <c r="F29" s="162">
        <v>7.0000000000000007E-2</v>
      </c>
      <c r="G29" s="165">
        <f t="shared" si="90"/>
        <v>1.0500700000000001</v>
      </c>
      <c r="H29" s="162">
        <v>0.13</v>
      </c>
      <c r="I29" s="277" t="s">
        <v>368</v>
      </c>
      <c r="J29" s="162" t="s">
        <v>276</v>
      </c>
      <c r="K29" s="248"/>
      <c r="L29" s="250"/>
      <c r="M29" s="250"/>
      <c r="N29" s="250"/>
      <c r="O29" s="250"/>
      <c r="P29" s="250"/>
      <c r="Q29" s="251"/>
      <c r="R29" s="251"/>
      <c r="S29" s="251"/>
      <c r="T29" s="251"/>
      <c r="U29" s="251"/>
      <c r="V29" s="250"/>
      <c r="W29" s="250"/>
      <c r="X29" s="250"/>
      <c r="Y29" s="250"/>
      <c r="Z29" s="250"/>
      <c r="AB29" s="18" t="str">
        <f t="shared" si="29"/>
        <v/>
      </c>
      <c r="AC29" s="18" t="str">
        <f t="shared" si="30"/>
        <v/>
      </c>
      <c r="AD29" s="18" t="str">
        <f t="shared" si="31"/>
        <v/>
      </c>
      <c r="AE29" s="18" t="str">
        <f t="shared" si="32"/>
        <v/>
      </c>
      <c r="AF29" s="18" t="str">
        <f t="shared" si="33"/>
        <v/>
      </c>
      <c r="AG29" s="18" t="str">
        <f t="shared" si="34"/>
        <v/>
      </c>
      <c r="AH29" s="18" t="str">
        <f t="shared" si="35"/>
        <v/>
      </c>
      <c r="AI29" s="18" t="str">
        <f t="shared" si="36"/>
        <v/>
      </c>
      <c r="AJ29" s="18" t="str">
        <f t="shared" si="37"/>
        <v/>
      </c>
      <c r="AK29" s="18" t="str">
        <f t="shared" si="38"/>
        <v/>
      </c>
      <c r="AL29" s="18" t="str">
        <f t="shared" si="39"/>
        <v/>
      </c>
      <c r="AM29" s="18" t="str">
        <f t="shared" si="40"/>
        <v/>
      </c>
      <c r="AN29" s="18" t="str">
        <f t="shared" si="41"/>
        <v/>
      </c>
      <c r="AO29" s="18" t="str">
        <f t="shared" si="42"/>
        <v/>
      </c>
      <c r="AP29" s="18" t="str">
        <f t="shared" si="43"/>
        <v/>
      </c>
      <c r="AR29" s="18" t="str">
        <f t="shared" si="44"/>
        <v/>
      </c>
      <c r="AS29" s="18" t="str">
        <f t="shared" si="45"/>
        <v/>
      </c>
      <c r="AT29" s="18" t="str">
        <f t="shared" si="46"/>
        <v/>
      </c>
      <c r="AU29" s="18" t="str">
        <f t="shared" si="47"/>
        <v/>
      </c>
      <c r="AV29" s="18" t="str">
        <f t="shared" si="48"/>
        <v/>
      </c>
      <c r="AW29" s="18" t="str">
        <f t="shared" si="49"/>
        <v/>
      </c>
      <c r="AX29" s="18" t="str">
        <f t="shared" si="50"/>
        <v/>
      </c>
      <c r="AY29" s="18" t="str">
        <f t="shared" si="51"/>
        <v/>
      </c>
      <c r="AZ29" s="18" t="str">
        <f t="shared" si="52"/>
        <v/>
      </c>
      <c r="BA29" s="18" t="str">
        <f t="shared" si="53"/>
        <v/>
      </c>
      <c r="BB29" s="18" t="str">
        <f t="shared" si="54"/>
        <v/>
      </c>
      <c r="BC29" s="18" t="str">
        <f t="shared" si="55"/>
        <v/>
      </c>
      <c r="BD29" s="18" t="str">
        <f t="shared" si="56"/>
        <v/>
      </c>
      <c r="BE29" s="18" t="str">
        <f t="shared" si="57"/>
        <v/>
      </c>
      <c r="BF29" s="18" t="str">
        <f t="shared" si="58"/>
        <v/>
      </c>
      <c r="BH29" s="18" t="str">
        <f t="shared" si="59"/>
        <v/>
      </c>
      <c r="BI29" s="18" t="str">
        <f t="shared" si="60"/>
        <v/>
      </c>
      <c r="BJ29" s="18" t="str">
        <f t="shared" si="61"/>
        <v/>
      </c>
      <c r="BK29" s="18" t="str">
        <f t="shared" si="62"/>
        <v/>
      </c>
      <c r="BL29" s="18" t="str">
        <f t="shared" si="63"/>
        <v/>
      </c>
      <c r="BM29" s="18" t="str">
        <f t="shared" si="64"/>
        <v/>
      </c>
      <c r="BN29" s="18" t="str">
        <f t="shared" si="65"/>
        <v/>
      </c>
      <c r="BO29" s="18" t="str">
        <f t="shared" si="66"/>
        <v/>
      </c>
      <c r="BP29" s="18" t="str">
        <f t="shared" si="67"/>
        <v/>
      </c>
      <c r="BQ29" s="18" t="str">
        <f t="shared" si="68"/>
        <v/>
      </c>
      <c r="BR29" s="18" t="str">
        <f t="shared" si="69"/>
        <v/>
      </c>
      <c r="BS29" s="18" t="str">
        <f t="shared" si="70"/>
        <v/>
      </c>
      <c r="BT29" s="18" t="str">
        <f t="shared" si="71"/>
        <v/>
      </c>
      <c r="BU29" s="18" t="str">
        <f t="shared" si="72"/>
        <v/>
      </c>
      <c r="BV29" s="18" t="str">
        <f t="shared" si="73"/>
        <v/>
      </c>
      <c r="CC29" s="18" t="str">
        <f t="shared" si="74"/>
        <v/>
      </c>
      <c r="CD29" s="18" t="str">
        <f t="shared" si="75"/>
        <v/>
      </c>
      <c r="CE29" s="18" t="str">
        <f t="shared" si="76"/>
        <v/>
      </c>
      <c r="CF29" s="18" t="str">
        <f t="shared" si="77"/>
        <v/>
      </c>
      <c r="CG29" s="18" t="str">
        <f t="shared" si="78"/>
        <v/>
      </c>
      <c r="CH29" s="18" t="str">
        <f t="shared" si="79"/>
        <v/>
      </c>
      <c r="CI29" s="18" t="str">
        <f t="shared" si="80"/>
        <v/>
      </c>
      <c r="CJ29" s="18" t="str">
        <f t="shared" si="81"/>
        <v/>
      </c>
      <c r="CK29" s="18" t="str">
        <f t="shared" si="82"/>
        <v/>
      </c>
      <c r="CL29" s="18" t="str">
        <f t="shared" si="83"/>
        <v/>
      </c>
      <c r="CM29" s="18" t="str">
        <f t="shared" si="84"/>
        <v/>
      </c>
      <c r="CN29" s="18" t="str">
        <f t="shared" si="85"/>
        <v/>
      </c>
      <c r="CO29" s="18" t="str">
        <f t="shared" si="86"/>
        <v/>
      </c>
      <c r="CP29" s="18" t="str">
        <f t="shared" si="87"/>
        <v/>
      </c>
      <c r="CQ29" s="18" t="str">
        <f t="shared" si="88"/>
        <v/>
      </c>
    </row>
    <row r="30" spans="1:95" x14ac:dyDescent="0.3">
      <c r="A30" s="161" t="s">
        <v>282</v>
      </c>
      <c r="B30" s="191" t="s">
        <v>297</v>
      </c>
      <c r="C30" s="286" t="s">
        <v>382</v>
      </c>
      <c r="D30" s="162">
        <v>0</v>
      </c>
      <c r="E30" s="172">
        <v>1.06</v>
      </c>
      <c r="F30" s="162">
        <v>0.09</v>
      </c>
      <c r="G30" s="165">
        <f t="shared" si="90"/>
        <v>1.06009</v>
      </c>
      <c r="H30" s="162">
        <v>0.13</v>
      </c>
      <c r="I30" s="277" t="s">
        <v>368</v>
      </c>
      <c r="J30" s="162" t="s">
        <v>276</v>
      </c>
      <c r="K30" s="248"/>
      <c r="L30" s="250"/>
      <c r="M30" s="250"/>
      <c r="N30" s="250"/>
      <c r="O30" s="250"/>
      <c r="P30" s="250"/>
      <c r="Q30" s="251"/>
      <c r="R30" s="251"/>
      <c r="S30" s="251"/>
      <c r="T30" s="251"/>
      <c r="U30" s="251"/>
      <c r="V30" s="250"/>
      <c r="W30" s="250"/>
      <c r="X30" s="250"/>
      <c r="Y30" s="250"/>
      <c r="Z30" s="250"/>
      <c r="AB30" s="18" t="str">
        <f t="shared" si="29"/>
        <v/>
      </c>
      <c r="AC30" s="18" t="str">
        <f t="shared" si="30"/>
        <v/>
      </c>
      <c r="AD30" s="18" t="str">
        <f t="shared" si="31"/>
        <v/>
      </c>
      <c r="AE30" s="18" t="str">
        <f t="shared" si="32"/>
        <v/>
      </c>
      <c r="AF30" s="18" t="str">
        <f t="shared" si="33"/>
        <v/>
      </c>
      <c r="AG30" s="18" t="str">
        <f t="shared" si="34"/>
        <v/>
      </c>
      <c r="AH30" s="18" t="str">
        <f t="shared" si="35"/>
        <v/>
      </c>
      <c r="AI30" s="18" t="str">
        <f t="shared" si="36"/>
        <v/>
      </c>
      <c r="AJ30" s="18" t="str">
        <f t="shared" si="37"/>
        <v/>
      </c>
      <c r="AK30" s="18" t="str">
        <f t="shared" si="38"/>
        <v/>
      </c>
      <c r="AL30" s="18" t="str">
        <f t="shared" si="39"/>
        <v/>
      </c>
      <c r="AM30" s="18" t="str">
        <f t="shared" si="40"/>
        <v/>
      </c>
      <c r="AN30" s="18" t="str">
        <f t="shared" si="41"/>
        <v/>
      </c>
      <c r="AO30" s="18" t="str">
        <f t="shared" si="42"/>
        <v/>
      </c>
      <c r="AP30" s="18" t="str">
        <f t="shared" si="43"/>
        <v/>
      </c>
      <c r="AR30" s="18" t="str">
        <f t="shared" si="44"/>
        <v/>
      </c>
      <c r="AS30" s="18" t="str">
        <f t="shared" si="45"/>
        <v/>
      </c>
      <c r="AT30" s="18" t="str">
        <f t="shared" si="46"/>
        <v/>
      </c>
      <c r="AU30" s="18" t="str">
        <f t="shared" si="47"/>
        <v/>
      </c>
      <c r="AV30" s="18" t="str">
        <f t="shared" si="48"/>
        <v/>
      </c>
      <c r="AW30" s="18" t="str">
        <f t="shared" si="49"/>
        <v/>
      </c>
      <c r="AX30" s="18" t="str">
        <f t="shared" si="50"/>
        <v/>
      </c>
      <c r="AY30" s="18" t="str">
        <f t="shared" si="51"/>
        <v/>
      </c>
      <c r="AZ30" s="18" t="str">
        <f t="shared" si="52"/>
        <v/>
      </c>
      <c r="BA30" s="18" t="str">
        <f t="shared" si="53"/>
        <v/>
      </c>
      <c r="BB30" s="18" t="str">
        <f t="shared" si="54"/>
        <v/>
      </c>
      <c r="BC30" s="18" t="str">
        <f t="shared" si="55"/>
        <v/>
      </c>
      <c r="BD30" s="18" t="str">
        <f t="shared" si="56"/>
        <v/>
      </c>
      <c r="BE30" s="18" t="str">
        <f t="shared" si="57"/>
        <v/>
      </c>
      <c r="BF30" s="18" t="str">
        <f t="shared" si="58"/>
        <v/>
      </c>
      <c r="BH30" s="18" t="str">
        <f t="shared" si="59"/>
        <v/>
      </c>
      <c r="BI30" s="18" t="str">
        <f t="shared" si="60"/>
        <v/>
      </c>
      <c r="BJ30" s="18" t="str">
        <f t="shared" si="61"/>
        <v/>
      </c>
      <c r="BK30" s="18" t="str">
        <f t="shared" si="62"/>
        <v/>
      </c>
      <c r="BL30" s="18" t="str">
        <f t="shared" si="63"/>
        <v/>
      </c>
      <c r="BM30" s="18" t="str">
        <f t="shared" si="64"/>
        <v/>
      </c>
      <c r="BN30" s="18" t="str">
        <f t="shared" si="65"/>
        <v/>
      </c>
      <c r="BO30" s="18" t="str">
        <f t="shared" si="66"/>
        <v/>
      </c>
      <c r="BP30" s="18" t="str">
        <f t="shared" si="67"/>
        <v/>
      </c>
      <c r="BQ30" s="18" t="str">
        <f t="shared" si="68"/>
        <v/>
      </c>
      <c r="BR30" s="18" t="str">
        <f t="shared" si="69"/>
        <v/>
      </c>
      <c r="BS30" s="18" t="str">
        <f t="shared" si="70"/>
        <v/>
      </c>
      <c r="BT30" s="18" t="str">
        <f t="shared" si="71"/>
        <v/>
      </c>
      <c r="BU30" s="18" t="str">
        <f t="shared" si="72"/>
        <v/>
      </c>
      <c r="BV30" s="18" t="str">
        <f t="shared" si="73"/>
        <v/>
      </c>
      <c r="CC30" s="18" t="str">
        <f t="shared" si="74"/>
        <v/>
      </c>
      <c r="CD30" s="18" t="str">
        <f t="shared" si="75"/>
        <v/>
      </c>
      <c r="CE30" s="18" t="str">
        <f t="shared" si="76"/>
        <v/>
      </c>
      <c r="CF30" s="18" t="str">
        <f t="shared" si="77"/>
        <v/>
      </c>
      <c r="CG30" s="18" t="str">
        <f t="shared" si="78"/>
        <v/>
      </c>
      <c r="CH30" s="18" t="str">
        <f t="shared" si="79"/>
        <v/>
      </c>
      <c r="CI30" s="18" t="str">
        <f t="shared" si="80"/>
        <v/>
      </c>
      <c r="CJ30" s="18" t="str">
        <f t="shared" si="81"/>
        <v/>
      </c>
      <c r="CK30" s="18" t="str">
        <f t="shared" si="82"/>
        <v/>
      </c>
      <c r="CL30" s="18" t="str">
        <f t="shared" si="83"/>
        <v/>
      </c>
      <c r="CM30" s="18" t="str">
        <f t="shared" si="84"/>
        <v/>
      </c>
      <c r="CN30" s="18" t="str">
        <f t="shared" si="85"/>
        <v/>
      </c>
      <c r="CO30" s="18" t="str">
        <f t="shared" si="86"/>
        <v/>
      </c>
      <c r="CP30" s="18" t="str">
        <f t="shared" si="87"/>
        <v/>
      </c>
      <c r="CQ30" s="18" t="str">
        <f t="shared" si="88"/>
        <v/>
      </c>
    </row>
    <row r="31" spans="1:95" x14ac:dyDescent="0.3">
      <c r="A31" s="161" t="s">
        <v>282</v>
      </c>
      <c r="B31" s="191" t="s">
        <v>297</v>
      </c>
      <c r="C31" s="286" t="s">
        <v>382</v>
      </c>
      <c r="D31" s="162">
        <v>0</v>
      </c>
      <c r="E31" s="172">
        <v>1.07</v>
      </c>
      <c r="F31" s="162">
        <v>0.09</v>
      </c>
      <c r="G31" s="165">
        <f t="shared" si="90"/>
        <v>1.07009</v>
      </c>
      <c r="H31" s="162">
        <v>0.13</v>
      </c>
      <c r="I31" s="277" t="s">
        <v>368</v>
      </c>
      <c r="J31" s="162" t="s">
        <v>276</v>
      </c>
      <c r="K31" s="248"/>
      <c r="L31" s="250"/>
      <c r="M31" s="250"/>
      <c r="N31" s="250"/>
      <c r="O31" s="250"/>
      <c r="P31" s="250"/>
      <c r="Q31" s="251"/>
      <c r="R31" s="251"/>
      <c r="S31" s="251"/>
      <c r="T31" s="251"/>
      <c r="U31" s="251"/>
      <c r="V31" s="250"/>
      <c r="W31" s="250"/>
      <c r="X31" s="250"/>
      <c r="Y31" s="250"/>
      <c r="Z31" s="250"/>
      <c r="AB31" s="18" t="str">
        <f t="shared" si="29"/>
        <v/>
      </c>
      <c r="AC31" s="18" t="str">
        <f t="shared" si="30"/>
        <v/>
      </c>
      <c r="AD31" s="18" t="str">
        <f t="shared" si="31"/>
        <v/>
      </c>
      <c r="AE31" s="18" t="str">
        <f t="shared" si="32"/>
        <v/>
      </c>
      <c r="AF31" s="18" t="str">
        <f t="shared" si="33"/>
        <v/>
      </c>
      <c r="AG31" s="18" t="str">
        <f t="shared" si="34"/>
        <v/>
      </c>
      <c r="AH31" s="18" t="str">
        <f t="shared" si="35"/>
        <v/>
      </c>
      <c r="AI31" s="18" t="str">
        <f t="shared" si="36"/>
        <v/>
      </c>
      <c r="AJ31" s="18" t="str">
        <f t="shared" si="37"/>
        <v/>
      </c>
      <c r="AK31" s="18" t="str">
        <f t="shared" si="38"/>
        <v/>
      </c>
      <c r="AL31" s="18" t="str">
        <f t="shared" si="39"/>
        <v/>
      </c>
      <c r="AM31" s="18" t="str">
        <f t="shared" si="40"/>
        <v/>
      </c>
      <c r="AN31" s="18" t="str">
        <f t="shared" si="41"/>
        <v/>
      </c>
      <c r="AO31" s="18" t="str">
        <f t="shared" si="42"/>
        <v/>
      </c>
      <c r="AP31" s="18" t="str">
        <f t="shared" si="43"/>
        <v/>
      </c>
      <c r="AR31" s="18" t="str">
        <f t="shared" si="44"/>
        <v/>
      </c>
      <c r="AS31" s="18" t="str">
        <f t="shared" si="45"/>
        <v/>
      </c>
      <c r="AT31" s="18" t="str">
        <f t="shared" si="46"/>
        <v/>
      </c>
      <c r="AU31" s="18" t="str">
        <f t="shared" si="47"/>
        <v/>
      </c>
      <c r="AV31" s="18" t="str">
        <f t="shared" si="48"/>
        <v/>
      </c>
      <c r="AW31" s="18" t="str">
        <f t="shared" si="49"/>
        <v/>
      </c>
      <c r="AX31" s="18" t="str">
        <f t="shared" si="50"/>
        <v/>
      </c>
      <c r="AY31" s="18" t="str">
        <f t="shared" si="51"/>
        <v/>
      </c>
      <c r="AZ31" s="18" t="str">
        <f t="shared" si="52"/>
        <v/>
      </c>
      <c r="BA31" s="18" t="str">
        <f t="shared" si="53"/>
        <v/>
      </c>
      <c r="BB31" s="18" t="str">
        <f t="shared" si="54"/>
        <v/>
      </c>
      <c r="BC31" s="18" t="str">
        <f t="shared" si="55"/>
        <v/>
      </c>
      <c r="BD31" s="18" t="str">
        <f t="shared" si="56"/>
        <v/>
      </c>
      <c r="BE31" s="18" t="str">
        <f t="shared" si="57"/>
        <v/>
      </c>
      <c r="BF31" s="18" t="str">
        <f t="shared" si="58"/>
        <v/>
      </c>
      <c r="BH31" s="18" t="str">
        <f t="shared" si="59"/>
        <v/>
      </c>
      <c r="BI31" s="18" t="str">
        <f t="shared" si="60"/>
        <v/>
      </c>
      <c r="BJ31" s="18" t="str">
        <f t="shared" si="61"/>
        <v/>
      </c>
      <c r="BK31" s="18" t="str">
        <f t="shared" si="62"/>
        <v/>
      </c>
      <c r="BL31" s="18" t="str">
        <f t="shared" si="63"/>
        <v/>
      </c>
      <c r="BM31" s="18" t="str">
        <f t="shared" si="64"/>
        <v/>
      </c>
      <c r="BN31" s="18" t="str">
        <f t="shared" si="65"/>
        <v/>
      </c>
      <c r="BO31" s="18" t="str">
        <f t="shared" si="66"/>
        <v/>
      </c>
      <c r="BP31" s="18" t="str">
        <f t="shared" si="67"/>
        <v/>
      </c>
      <c r="BQ31" s="18" t="str">
        <f t="shared" si="68"/>
        <v/>
      </c>
      <c r="BR31" s="18" t="str">
        <f t="shared" si="69"/>
        <v/>
      </c>
      <c r="BS31" s="18" t="str">
        <f t="shared" si="70"/>
        <v/>
      </c>
      <c r="BT31" s="18" t="str">
        <f t="shared" si="71"/>
        <v/>
      </c>
      <c r="BU31" s="18" t="str">
        <f t="shared" si="72"/>
        <v/>
      </c>
      <c r="BV31" s="18" t="str">
        <f t="shared" si="73"/>
        <v/>
      </c>
      <c r="CC31" s="18" t="str">
        <f t="shared" si="74"/>
        <v/>
      </c>
      <c r="CD31" s="18" t="str">
        <f t="shared" si="75"/>
        <v/>
      </c>
      <c r="CE31" s="18" t="str">
        <f t="shared" si="76"/>
        <v/>
      </c>
      <c r="CF31" s="18" t="str">
        <f t="shared" si="77"/>
        <v/>
      </c>
      <c r="CG31" s="18" t="str">
        <f t="shared" si="78"/>
        <v/>
      </c>
      <c r="CH31" s="18" t="str">
        <f t="shared" si="79"/>
        <v/>
      </c>
      <c r="CI31" s="18" t="str">
        <f t="shared" si="80"/>
        <v/>
      </c>
      <c r="CJ31" s="18" t="str">
        <f t="shared" si="81"/>
        <v/>
      </c>
      <c r="CK31" s="18" t="str">
        <f t="shared" si="82"/>
        <v/>
      </c>
      <c r="CL31" s="18" t="str">
        <f t="shared" si="83"/>
        <v/>
      </c>
      <c r="CM31" s="18" t="str">
        <f t="shared" si="84"/>
        <v/>
      </c>
      <c r="CN31" s="18" t="str">
        <f t="shared" si="85"/>
        <v/>
      </c>
      <c r="CO31" s="18" t="str">
        <f t="shared" si="86"/>
        <v/>
      </c>
      <c r="CP31" s="18" t="str">
        <f t="shared" si="87"/>
        <v/>
      </c>
      <c r="CQ31" s="18" t="str">
        <f t="shared" si="88"/>
        <v/>
      </c>
    </row>
    <row r="32" spans="1:95" x14ac:dyDescent="0.3">
      <c r="A32" s="161" t="s">
        <v>282</v>
      </c>
      <c r="B32" s="191" t="s">
        <v>297</v>
      </c>
      <c r="C32" s="286" t="s">
        <v>382</v>
      </c>
      <c r="D32" s="162">
        <v>0</v>
      </c>
      <c r="E32" s="172">
        <v>1.08</v>
      </c>
      <c r="F32" s="162">
        <v>7.0000000000000007E-2</v>
      </c>
      <c r="G32" s="165">
        <f t="shared" si="90"/>
        <v>1.0800700000000001</v>
      </c>
      <c r="H32" s="162">
        <v>0.13</v>
      </c>
      <c r="I32" s="277" t="s">
        <v>368</v>
      </c>
      <c r="J32" s="162" t="s">
        <v>276</v>
      </c>
      <c r="K32" s="248"/>
      <c r="L32" s="250"/>
      <c r="M32" s="250"/>
      <c r="N32" s="250"/>
      <c r="O32" s="250"/>
      <c r="P32" s="250"/>
      <c r="Q32" s="251"/>
      <c r="R32" s="251"/>
      <c r="S32" s="251"/>
      <c r="T32" s="251"/>
      <c r="U32" s="251"/>
      <c r="V32" s="250"/>
      <c r="W32" s="250"/>
      <c r="X32" s="250"/>
      <c r="Y32" s="250"/>
      <c r="Z32" s="250"/>
      <c r="AB32" s="18" t="str">
        <f t="shared" si="29"/>
        <v/>
      </c>
      <c r="AC32" s="18" t="str">
        <f t="shared" si="30"/>
        <v/>
      </c>
      <c r="AD32" s="18" t="str">
        <f t="shared" si="31"/>
        <v/>
      </c>
      <c r="AE32" s="18" t="str">
        <f t="shared" si="32"/>
        <v/>
      </c>
      <c r="AF32" s="18" t="str">
        <f t="shared" si="33"/>
        <v/>
      </c>
      <c r="AG32" s="18" t="str">
        <f t="shared" si="34"/>
        <v/>
      </c>
      <c r="AH32" s="18" t="str">
        <f t="shared" si="35"/>
        <v/>
      </c>
      <c r="AI32" s="18" t="str">
        <f t="shared" si="36"/>
        <v/>
      </c>
      <c r="AJ32" s="18" t="str">
        <f t="shared" si="37"/>
        <v/>
      </c>
      <c r="AK32" s="18" t="str">
        <f t="shared" si="38"/>
        <v/>
      </c>
      <c r="AL32" s="18" t="str">
        <f t="shared" si="39"/>
        <v/>
      </c>
      <c r="AM32" s="18" t="str">
        <f t="shared" si="40"/>
        <v/>
      </c>
      <c r="AN32" s="18" t="str">
        <f t="shared" si="41"/>
        <v/>
      </c>
      <c r="AO32" s="18" t="str">
        <f t="shared" si="42"/>
        <v/>
      </c>
      <c r="AP32" s="18" t="str">
        <f t="shared" si="43"/>
        <v/>
      </c>
      <c r="AR32" s="18" t="str">
        <f t="shared" si="44"/>
        <v/>
      </c>
      <c r="AS32" s="18" t="str">
        <f t="shared" si="45"/>
        <v/>
      </c>
      <c r="AT32" s="18" t="str">
        <f t="shared" si="46"/>
        <v/>
      </c>
      <c r="AU32" s="18" t="str">
        <f t="shared" si="47"/>
        <v/>
      </c>
      <c r="AV32" s="18" t="str">
        <f t="shared" si="48"/>
        <v/>
      </c>
      <c r="AW32" s="18" t="str">
        <f t="shared" si="49"/>
        <v/>
      </c>
      <c r="AX32" s="18" t="str">
        <f t="shared" si="50"/>
        <v/>
      </c>
      <c r="AY32" s="18" t="str">
        <f t="shared" si="51"/>
        <v/>
      </c>
      <c r="AZ32" s="18" t="str">
        <f t="shared" si="52"/>
        <v/>
      </c>
      <c r="BA32" s="18" t="str">
        <f t="shared" si="53"/>
        <v/>
      </c>
      <c r="BB32" s="18" t="str">
        <f t="shared" si="54"/>
        <v/>
      </c>
      <c r="BC32" s="18" t="str">
        <f t="shared" si="55"/>
        <v/>
      </c>
      <c r="BD32" s="18" t="str">
        <f t="shared" si="56"/>
        <v/>
      </c>
      <c r="BE32" s="18" t="str">
        <f t="shared" si="57"/>
        <v/>
      </c>
      <c r="BF32" s="18" t="str">
        <f t="shared" si="58"/>
        <v/>
      </c>
      <c r="BH32" s="18" t="str">
        <f t="shared" si="59"/>
        <v/>
      </c>
      <c r="BI32" s="18" t="str">
        <f t="shared" si="60"/>
        <v/>
      </c>
      <c r="BJ32" s="18" t="str">
        <f t="shared" si="61"/>
        <v/>
      </c>
      <c r="BK32" s="18" t="str">
        <f t="shared" si="62"/>
        <v/>
      </c>
      <c r="BL32" s="18" t="str">
        <f t="shared" si="63"/>
        <v/>
      </c>
      <c r="BM32" s="18" t="str">
        <f t="shared" si="64"/>
        <v/>
      </c>
      <c r="BN32" s="18" t="str">
        <f t="shared" si="65"/>
        <v/>
      </c>
      <c r="BO32" s="18" t="str">
        <f t="shared" si="66"/>
        <v/>
      </c>
      <c r="BP32" s="18" t="str">
        <f t="shared" si="67"/>
        <v/>
      </c>
      <c r="BQ32" s="18" t="str">
        <f t="shared" si="68"/>
        <v/>
      </c>
      <c r="BR32" s="18" t="str">
        <f t="shared" si="69"/>
        <v/>
      </c>
      <c r="BS32" s="18" t="str">
        <f t="shared" si="70"/>
        <v/>
      </c>
      <c r="BT32" s="18" t="str">
        <f t="shared" si="71"/>
        <v/>
      </c>
      <c r="BU32" s="18" t="str">
        <f t="shared" si="72"/>
        <v/>
      </c>
      <c r="BV32" s="18" t="str">
        <f t="shared" si="73"/>
        <v/>
      </c>
      <c r="CC32" s="18" t="str">
        <f t="shared" si="74"/>
        <v/>
      </c>
      <c r="CD32" s="18" t="str">
        <f t="shared" si="75"/>
        <v/>
      </c>
      <c r="CE32" s="18" t="str">
        <f t="shared" si="76"/>
        <v/>
      </c>
      <c r="CF32" s="18" t="str">
        <f t="shared" si="77"/>
        <v/>
      </c>
      <c r="CG32" s="18" t="str">
        <f t="shared" si="78"/>
        <v/>
      </c>
      <c r="CH32" s="18" t="str">
        <f t="shared" si="79"/>
        <v/>
      </c>
      <c r="CI32" s="18" t="str">
        <f t="shared" si="80"/>
        <v/>
      </c>
      <c r="CJ32" s="18" t="str">
        <f t="shared" si="81"/>
        <v/>
      </c>
      <c r="CK32" s="18" t="str">
        <f t="shared" si="82"/>
        <v/>
      </c>
      <c r="CL32" s="18" t="str">
        <f t="shared" si="83"/>
        <v/>
      </c>
      <c r="CM32" s="18" t="str">
        <f t="shared" si="84"/>
        <v/>
      </c>
      <c r="CN32" s="18" t="str">
        <f t="shared" si="85"/>
        <v/>
      </c>
      <c r="CO32" s="18" t="str">
        <f t="shared" si="86"/>
        <v/>
      </c>
      <c r="CP32" s="18" t="str">
        <f t="shared" si="87"/>
        <v/>
      </c>
      <c r="CQ32" s="18" t="str">
        <f t="shared" si="88"/>
        <v/>
      </c>
    </row>
    <row r="33" spans="1:95" x14ac:dyDescent="0.3">
      <c r="A33" s="161" t="s">
        <v>282</v>
      </c>
      <c r="B33" s="191" t="s">
        <v>297</v>
      </c>
      <c r="C33" s="286" t="s">
        <v>382</v>
      </c>
      <c r="D33" s="162">
        <v>0</v>
      </c>
      <c r="E33" s="172">
        <v>1.0900000000000001</v>
      </c>
      <c r="F33" s="162">
        <v>0.11</v>
      </c>
      <c r="G33" s="165">
        <f t="shared" si="90"/>
        <v>1.0901100000000001</v>
      </c>
      <c r="H33" s="162">
        <v>0.14000000000000001</v>
      </c>
      <c r="I33" s="277" t="s">
        <v>368</v>
      </c>
      <c r="J33" s="162" t="s">
        <v>276</v>
      </c>
      <c r="K33" s="248"/>
      <c r="L33" s="250"/>
      <c r="M33" s="250"/>
      <c r="N33" s="250"/>
      <c r="O33" s="250"/>
      <c r="P33" s="250"/>
      <c r="Q33" s="251"/>
      <c r="R33" s="251"/>
      <c r="S33" s="251"/>
      <c r="T33" s="251"/>
      <c r="U33" s="251"/>
      <c r="V33" s="250"/>
      <c r="W33" s="250"/>
      <c r="X33" s="250"/>
      <c r="Y33" s="250"/>
      <c r="Z33" s="250"/>
      <c r="AB33" s="18" t="str">
        <f t="shared" si="29"/>
        <v/>
      </c>
      <c r="AC33" s="18" t="str">
        <f t="shared" si="30"/>
        <v/>
      </c>
      <c r="AD33" s="18" t="str">
        <f t="shared" si="31"/>
        <v/>
      </c>
      <c r="AE33" s="18" t="str">
        <f t="shared" si="32"/>
        <v/>
      </c>
      <c r="AF33" s="18" t="str">
        <f t="shared" si="33"/>
        <v/>
      </c>
      <c r="AG33" s="18" t="str">
        <f t="shared" si="34"/>
        <v/>
      </c>
      <c r="AH33" s="18" t="str">
        <f t="shared" si="35"/>
        <v/>
      </c>
      <c r="AI33" s="18" t="str">
        <f t="shared" si="36"/>
        <v/>
      </c>
      <c r="AJ33" s="18" t="str">
        <f t="shared" si="37"/>
        <v/>
      </c>
      <c r="AK33" s="18" t="str">
        <f t="shared" si="38"/>
        <v/>
      </c>
      <c r="AL33" s="18" t="str">
        <f t="shared" si="39"/>
        <v/>
      </c>
      <c r="AM33" s="18" t="str">
        <f t="shared" si="40"/>
        <v/>
      </c>
      <c r="AN33" s="18" t="str">
        <f t="shared" si="41"/>
        <v/>
      </c>
      <c r="AO33" s="18" t="str">
        <f t="shared" si="42"/>
        <v/>
      </c>
      <c r="AP33" s="18" t="str">
        <f t="shared" si="43"/>
        <v/>
      </c>
      <c r="AR33" s="18" t="str">
        <f t="shared" si="44"/>
        <v/>
      </c>
      <c r="AS33" s="18" t="str">
        <f t="shared" si="45"/>
        <v/>
      </c>
      <c r="AT33" s="18" t="str">
        <f t="shared" si="46"/>
        <v/>
      </c>
      <c r="AU33" s="18" t="str">
        <f t="shared" si="47"/>
        <v/>
      </c>
      <c r="AV33" s="18" t="str">
        <f t="shared" si="48"/>
        <v/>
      </c>
      <c r="AW33" s="18" t="str">
        <f t="shared" si="49"/>
        <v/>
      </c>
      <c r="AX33" s="18" t="str">
        <f t="shared" si="50"/>
        <v/>
      </c>
      <c r="AY33" s="18" t="str">
        <f t="shared" si="51"/>
        <v/>
      </c>
      <c r="AZ33" s="18" t="str">
        <f t="shared" si="52"/>
        <v/>
      </c>
      <c r="BA33" s="18" t="str">
        <f t="shared" si="53"/>
        <v/>
      </c>
      <c r="BB33" s="18" t="str">
        <f t="shared" si="54"/>
        <v/>
      </c>
      <c r="BC33" s="18" t="str">
        <f t="shared" si="55"/>
        <v/>
      </c>
      <c r="BD33" s="18" t="str">
        <f t="shared" si="56"/>
        <v/>
      </c>
      <c r="BE33" s="18" t="str">
        <f t="shared" si="57"/>
        <v/>
      </c>
      <c r="BF33" s="18" t="str">
        <f t="shared" si="58"/>
        <v/>
      </c>
      <c r="BH33" s="18" t="str">
        <f t="shared" si="59"/>
        <v/>
      </c>
      <c r="BI33" s="18" t="str">
        <f t="shared" si="60"/>
        <v/>
      </c>
      <c r="BJ33" s="18" t="str">
        <f t="shared" si="61"/>
        <v/>
      </c>
      <c r="BK33" s="18" t="str">
        <f t="shared" si="62"/>
        <v/>
      </c>
      <c r="BL33" s="18" t="str">
        <f t="shared" si="63"/>
        <v/>
      </c>
      <c r="BM33" s="18" t="str">
        <f t="shared" si="64"/>
        <v/>
      </c>
      <c r="BN33" s="18" t="str">
        <f t="shared" si="65"/>
        <v/>
      </c>
      <c r="BO33" s="18" t="str">
        <f t="shared" si="66"/>
        <v/>
      </c>
      <c r="BP33" s="18" t="str">
        <f t="shared" si="67"/>
        <v/>
      </c>
      <c r="BQ33" s="18" t="str">
        <f t="shared" si="68"/>
        <v/>
      </c>
      <c r="BR33" s="18" t="str">
        <f t="shared" si="69"/>
        <v/>
      </c>
      <c r="BS33" s="18" t="str">
        <f t="shared" si="70"/>
        <v/>
      </c>
      <c r="BT33" s="18" t="str">
        <f t="shared" si="71"/>
        <v/>
      </c>
      <c r="BU33" s="18" t="str">
        <f t="shared" si="72"/>
        <v/>
      </c>
      <c r="BV33" s="18" t="str">
        <f t="shared" si="73"/>
        <v/>
      </c>
      <c r="CC33" s="18" t="str">
        <f t="shared" si="74"/>
        <v/>
      </c>
      <c r="CD33" s="18" t="str">
        <f t="shared" si="75"/>
        <v/>
      </c>
      <c r="CE33" s="18" t="str">
        <f t="shared" si="76"/>
        <v/>
      </c>
      <c r="CF33" s="18" t="str">
        <f t="shared" si="77"/>
        <v/>
      </c>
      <c r="CG33" s="18" t="str">
        <f t="shared" si="78"/>
        <v/>
      </c>
      <c r="CH33" s="18" t="str">
        <f t="shared" si="79"/>
        <v/>
      </c>
      <c r="CI33" s="18" t="str">
        <f t="shared" si="80"/>
        <v/>
      </c>
      <c r="CJ33" s="18" t="str">
        <f t="shared" si="81"/>
        <v/>
      </c>
      <c r="CK33" s="18" t="str">
        <f t="shared" si="82"/>
        <v/>
      </c>
      <c r="CL33" s="18" t="str">
        <f t="shared" si="83"/>
        <v/>
      </c>
      <c r="CM33" s="18" t="str">
        <f t="shared" si="84"/>
        <v/>
      </c>
      <c r="CN33" s="18" t="str">
        <f t="shared" si="85"/>
        <v/>
      </c>
      <c r="CO33" s="18" t="str">
        <f t="shared" si="86"/>
        <v/>
      </c>
      <c r="CP33" s="18" t="str">
        <f t="shared" si="87"/>
        <v/>
      </c>
      <c r="CQ33" s="18" t="str">
        <f t="shared" si="88"/>
        <v/>
      </c>
    </row>
    <row r="34" spans="1:95" x14ac:dyDescent="0.3">
      <c r="A34" s="161" t="s">
        <v>282</v>
      </c>
      <c r="B34" s="191" t="s">
        <v>297</v>
      </c>
      <c r="C34" s="286" t="s">
        <v>382</v>
      </c>
      <c r="D34" s="162">
        <v>0</v>
      </c>
      <c r="E34" s="173">
        <v>1.1000000000000001</v>
      </c>
      <c r="F34" s="162">
        <v>0.11</v>
      </c>
      <c r="G34" s="165">
        <f t="shared" si="90"/>
        <v>1.1001100000000001</v>
      </c>
      <c r="H34" s="162">
        <v>0.14000000000000001</v>
      </c>
      <c r="I34" s="277" t="s">
        <v>368</v>
      </c>
      <c r="J34" s="162" t="s">
        <v>276</v>
      </c>
      <c r="K34" s="248"/>
      <c r="L34" s="250"/>
      <c r="M34" s="250"/>
      <c r="N34" s="250"/>
      <c r="O34" s="250"/>
      <c r="P34" s="250"/>
      <c r="Q34" s="251"/>
      <c r="R34" s="251"/>
      <c r="S34" s="251"/>
      <c r="T34" s="251"/>
      <c r="U34" s="251"/>
      <c r="V34" s="250"/>
      <c r="W34" s="250"/>
      <c r="X34" s="250"/>
      <c r="Y34" s="250"/>
      <c r="Z34" s="250"/>
      <c r="AB34" s="18" t="str">
        <f t="shared" si="29"/>
        <v/>
      </c>
      <c r="AC34" s="18" t="str">
        <f t="shared" si="30"/>
        <v/>
      </c>
      <c r="AD34" s="18" t="str">
        <f t="shared" si="31"/>
        <v/>
      </c>
      <c r="AE34" s="18" t="str">
        <f t="shared" si="32"/>
        <v/>
      </c>
      <c r="AF34" s="18" t="str">
        <f t="shared" si="33"/>
        <v/>
      </c>
      <c r="AG34" s="18" t="str">
        <f t="shared" si="34"/>
        <v/>
      </c>
      <c r="AH34" s="18" t="str">
        <f t="shared" si="35"/>
        <v/>
      </c>
      <c r="AI34" s="18" t="str">
        <f t="shared" si="36"/>
        <v/>
      </c>
      <c r="AJ34" s="18" t="str">
        <f t="shared" si="37"/>
        <v/>
      </c>
      <c r="AK34" s="18" t="str">
        <f t="shared" si="38"/>
        <v/>
      </c>
      <c r="AL34" s="18" t="str">
        <f t="shared" si="39"/>
        <v/>
      </c>
      <c r="AM34" s="18" t="str">
        <f t="shared" si="40"/>
        <v/>
      </c>
      <c r="AN34" s="18" t="str">
        <f t="shared" si="41"/>
        <v/>
      </c>
      <c r="AO34" s="18" t="str">
        <f t="shared" si="42"/>
        <v/>
      </c>
      <c r="AP34" s="18" t="str">
        <f t="shared" si="43"/>
        <v/>
      </c>
      <c r="AR34" s="18" t="str">
        <f t="shared" si="44"/>
        <v/>
      </c>
      <c r="AS34" s="18" t="str">
        <f t="shared" si="45"/>
        <v/>
      </c>
      <c r="AT34" s="18" t="str">
        <f t="shared" si="46"/>
        <v/>
      </c>
      <c r="AU34" s="18" t="str">
        <f t="shared" si="47"/>
        <v/>
      </c>
      <c r="AV34" s="18" t="str">
        <f t="shared" si="48"/>
        <v/>
      </c>
      <c r="AW34" s="18" t="str">
        <f t="shared" si="49"/>
        <v/>
      </c>
      <c r="AX34" s="18" t="str">
        <f t="shared" si="50"/>
        <v/>
      </c>
      <c r="AY34" s="18" t="str">
        <f t="shared" si="51"/>
        <v/>
      </c>
      <c r="AZ34" s="18" t="str">
        <f t="shared" si="52"/>
        <v/>
      </c>
      <c r="BA34" s="18" t="str">
        <f t="shared" si="53"/>
        <v/>
      </c>
      <c r="BB34" s="18" t="str">
        <f t="shared" si="54"/>
        <v/>
      </c>
      <c r="BC34" s="18" t="str">
        <f t="shared" si="55"/>
        <v/>
      </c>
      <c r="BD34" s="18" t="str">
        <f t="shared" si="56"/>
        <v/>
      </c>
      <c r="BE34" s="18" t="str">
        <f t="shared" si="57"/>
        <v/>
      </c>
      <c r="BF34" s="18" t="str">
        <f t="shared" si="58"/>
        <v/>
      </c>
      <c r="BH34" s="18" t="str">
        <f t="shared" si="59"/>
        <v/>
      </c>
      <c r="BI34" s="18" t="str">
        <f t="shared" si="60"/>
        <v/>
      </c>
      <c r="BJ34" s="18" t="str">
        <f t="shared" si="61"/>
        <v/>
      </c>
      <c r="BK34" s="18" t="str">
        <f t="shared" si="62"/>
        <v/>
      </c>
      <c r="BL34" s="18" t="str">
        <f t="shared" si="63"/>
        <v/>
      </c>
      <c r="BM34" s="18" t="str">
        <f t="shared" si="64"/>
        <v/>
      </c>
      <c r="BN34" s="18" t="str">
        <f t="shared" si="65"/>
        <v/>
      </c>
      <c r="BO34" s="18" t="str">
        <f t="shared" si="66"/>
        <v/>
      </c>
      <c r="BP34" s="18" t="str">
        <f t="shared" si="67"/>
        <v/>
      </c>
      <c r="BQ34" s="18" t="str">
        <f t="shared" si="68"/>
        <v/>
      </c>
      <c r="BR34" s="18" t="str">
        <f t="shared" si="69"/>
        <v/>
      </c>
      <c r="BS34" s="18" t="str">
        <f t="shared" si="70"/>
        <v/>
      </c>
      <c r="BT34" s="18" t="str">
        <f t="shared" si="71"/>
        <v/>
      </c>
      <c r="BU34" s="18" t="str">
        <f t="shared" si="72"/>
        <v/>
      </c>
      <c r="BV34" s="18" t="str">
        <f t="shared" si="73"/>
        <v/>
      </c>
      <c r="CC34" s="18" t="str">
        <f t="shared" si="74"/>
        <v/>
      </c>
      <c r="CD34" s="18" t="str">
        <f t="shared" si="75"/>
        <v/>
      </c>
      <c r="CE34" s="18" t="str">
        <f t="shared" si="76"/>
        <v/>
      </c>
      <c r="CF34" s="18" t="str">
        <f t="shared" si="77"/>
        <v/>
      </c>
      <c r="CG34" s="18" t="str">
        <f t="shared" si="78"/>
        <v/>
      </c>
      <c r="CH34" s="18" t="str">
        <f t="shared" si="79"/>
        <v/>
      </c>
      <c r="CI34" s="18" t="str">
        <f t="shared" si="80"/>
        <v/>
      </c>
      <c r="CJ34" s="18" t="str">
        <f t="shared" si="81"/>
        <v/>
      </c>
      <c r="CK34" s="18" t="str">
        <f t="shared" si="82"/>
        <v/>
      </c>
      <c r="CL34" s="18" t="str">
        <f t="shared" si="83"/>
        <v/>
      </c>
      <c r="CM34" s="18" t="str">
        <f t="shared" si="84"/>
        <v/>
      </c>
      <c r="CN34" s="18" t="str">
        <f t="shared" si="85"/>
        <v/>
      </c>
      <c r="CO34" s="18" t="str">
        <f t="shared" si="86"/>
        <v/>
      </c>
      <c r="CP34" s="18" t="str">
        <f t="shared" si="87"/>
        <v/>
      </c>
      <c r="CQ34" s="18" t="str">
        <f t="shared" si="88"/>
        <v/>
      </c>
    </row>
    <row r="35" spans="1:95" x14ac:dyDescent="0.3">
      <c r="A35" s="161" t="s">
        <v>282</v>
      </c>
      <c r="B35" s="191" t="s">
        <v>297</v>
      </c>
      <c r="C35" s="286" t="s">
        <v>382</v>
      </c>
      <c r="D35" s="162">
        <v>0</v>
      </c>
      <c r="E35" s="173">
        <v>1.2</v>
      </c>
      <c r="F35" s="162">
        <v>0.06</v>
      </c>
      <c r="G35" s="165">
        <f t="shared" si="90"/>
        <v>1.2000599999999999</v>
      </c>
      <c r="H35" s="162">
        <v>0.13</v>
      </c>
      <c r="I35" s="277" t="s">
        <v>368</v>
      </c>
      <c r="J35" s="162" t="s">
        <v>276</v>
      </c>
      <c r="K35" s="248"/>
      <c r="L35" s="250"/>
      <c r="M35" s="250"/>
      <c r="N35" s="250"/>
      <c r="O35" s="250"/>
      <c r="P35" s="250"/>
      <c r="Q35" s="251"/>
      <c r="R35" s="251"/>
      <c r="S35" s="251"/>
      <c r="T35" s="251"/>
      <c r="U35" s="251"/>
      <c r="V35" s="250"/>
      <c r="W35" s="250"/>
      <c r="X35" s="250"/>
      <c r="Y35" s="250"/>
      <c r="Z35" s="250"/>
      <c r="AB35" s="18" t="str">
        <f t="shared" si="29"/>
        <v/>
      </c>
      <c r="AC35" s="18" t="str">
        <f t="shared" si="30"/>
        <v/>
      </c>
      <c r="AD35" s="18" t="str">
        <f t="shared" si="31"/>
        <v/>
      </c>
      <c r="AE35" s="18" t="str">
        <f t="shared" si="32"/>
        <v/>
      </c>
      <c r="AF35" s="18" t="str">
        <f t="shared" si="33"/>
        <v/>
      </c>
      <c r="AG35" s="18" t="str">
        <f t="shared" si="34"/>
        <v/>
      </c>
      <c r="AH35" s="18" t="str">
        <f t="shared" si="35"/>
        <v/>
      </c>
      <c r="AI35" s="18" t="str">
        <f t="shared" si="36"/>
        <v/>
      </c>
      <c r="AJ35" s="18" t="str">
        <f t="shared" si="37"/>
        <v/>
      </c>
      <c r="AK35" s="18" t="str">
        <f t="shared" si="38"/>
        <v/>
      </c>
      <c r="AL35" s="18" t="str">
        <f t="shared" si="39"/>
        <v/>
      </c>
      <c r="AM35" s="18" t="str">
        <f t="shared" si="40"/>
        <v/>
      </c>
      <c r="AN35" s="18" t="str">
        <f t="shared" si="41"/>
        <v/>
      </c>
      <c r="AO35" s="18" t="str">
        <f t="shared" si="42"/>
        <v/>
      </c>
      <c r="AP35" s="18" t="str">
        <f t="shared" si="43"/>
        <v/>
      </c>
      <c r="AR35" s="18" t="str">
        <f t="shared" si="44"/>
        <v/>
      </c>
      <c r="AS35" s="18" t="str">
        <f t="shared" si="45"/>
        <v/>
      </c>
      <c r="AT35" s="18" t="str">
        <f t="shared" si="46"/>
        <v/>
      </c>
      <c r="AU35" s="18" t="str">
        <f t="shared" si="47"/>
        <v/>
      </c>
      <c r="AV35" s="18" t="str">
        <f t="shared" si="48"/>
        <v/>
      </c>
      <c r="AW35" s="18" t="str">
        <f t="shared" si="49"/>
        <v/>
      </c>
      <c r="AX35" s="18" t="str">
        <f t="shared" si="50"/>
        <v/>
      </c>
      <c r="AY35" s="18" t="str">
        <f t="shared" si="51"/>
        <v/>
      </c>
      <c r="AZ35" s="18" t="str">
        <f t="shared" si="52"/>
        <v/>
      </c>
      <c r="BA35" s="18" t="str">
        <f t="shared" si="53"/>
        <v/>
      </c>
      <c r="BB35" s="18" t="str">
        <f t="shared" si="54"/>
        <v/>
      </c>
      <c r="BC35" s="18" t="str">
        <f t="shared" si="55"/>
        <v/>
      </c>
      <c r="BD35" s="18" t="str">
        <f t="shared" si="56"/>
        <v/>
      </c>
      <c r="BE35" s="18" t="str">
        <f t="shared" si="57"/>
        <v/>
      </c>
      <c r="BF35" s="18" t="str">
        <f t="shared" si="58"/>
        <v/>
      </c>
      <c r="BH35" s="18" t="str">
        <f t="shared" si="59"/>
        <v/>
      </c>
      <c r="BI35" s="18" t="str">
        <f t="shared" si="60"/>
        <v/>
      </c>
      <c r="BJ35" s="18" t="str">
        <f t="shared" si="61"/>
        <v/>
      </c>
      <c r="BK35" s="18" t="str">
        <f t="shared" si="62"/>
        <v/>
      </c>
      <c r="BL35" s="18" t="str">
        <f t="shared" si="63"/>
        <v/>
      </c>
      <c r="BM35" s="18" t="str">
        <f t="shared" si="64"/>
        <v/>
      </c>
      <c r="BN35" s="18" t="str">
        <f t="shared" si="65"/>
        <v/>
      </c>
      <c r="BO35" s="18" t="str">
        <f t="shared" si="66"/>
        <v/>
      </c>
      <c r="BP35" s="18" t="str">
        <f t="shared" si="67"/>
        <v/>
      </c>
      <c r="BQ35" s="18" t="str">
        <f t="shared" si="68"/>
        <v/>
      </c>
      <c r="BR35" s="18" t="str">
        <f t="shared" si="69"/>
        <v/>
      </c>
      <c r="BS35" s="18" t="str">
        <f t="shared" si="70"/>
        <v/>
      </c>
      <c r="BT35" s="18" t="str">
        <f t="shared" si="71"/>
        <v/>
      </c>
      <c r="BU35" s="18" t="str">
        <f t="shared" si="72"/>
        <v/>
      </c>
      <c r="BV35" s="18" t="str">
        <f t="shared" si="73"/>
        <v/>
      </c>
      <c r="CC35" s="18" t="str">
        <f t="shared" si="74"/>
        <v/>
      </c>
      <c r="CD35" s="18" t="str">
        <f t="shared" si="75"/>
        <v/>
      </c>
      <c r="CE35" s="18" t="str">
        <f t="shared" si="76"/>
        <v/>
      </c>
      <c r="CF35" s="18" t="str">
        <f t="shared" si="77"/>
        <v/>
      </c>
      <c r="CG35" s="18" t="str">
        <f t="shared" si="78"/>
        <v/>
      </c>
      <c r="CH35" s="18" t="str">
        <f t="shared" si="79"/>
        <v/>
      </c>
      <c r="CI35" s="18" t="str">
        <f t="shared" si="80"/>
        <v/>
      </c>
      <c r="CJ35" s="18" t="str">
        <f t="shared" si="81"/>
        <v/>
      </c>
      <c r="CK35" s="18" t="str">
        <f t="shared" si="82"/>
        <v/>
      </c>
      <c r="CL35" s="18" t="str">
        <f t="shared" si="83"/>
        <v/>
      </c>
      <c r="CM35" s="18" t="str">
        <f t="shared" si="84"/>
        <v/>
      </c>
      <c r="CN35" s="18" t="str">
        <f t="shared" si="85"/>
        <v/>
      </c>
      <c r="CO35" s="18" t="str">
        <f t="shared" si="86"/>
        <v/>
      </c>
      <c r="CP35" s="18" t="str">
        <f t="shared" si="87"/>
        <v/>
      </c>
      <c r="CQ35" s="18" t="str">
        <f t="shared" si="88"/>
        <v/>
      </c>
    </row>
    <row r="36" spans="1:95" x14ac:dyDescent="0.3">
      <c r="A36" s="161" t="s">
        <v>282</v>
      </c>
      <c r="B36" s="191" t="s">
        <v>297</v>
      </c>
      <c r="C36" s="286" t="s">
        <v>382</v>
      </c>
      <c r="D36" s="162">
        <v>0</v>
      </c>
      <c r="E36" s="173">
        <v>1.3</v>
      </c>
      <c r="F36" s="162">
        <v>0.06</v>
      </c>
      <c r="G36" s="165">
        <f t="shared" si="90"/>
        <v>1.30006</v>
      </c>
      <c r="H36" s="162">
        <v>0.13</v>
      </c>
      <c r="I36" s="277" t="s">
        <v>368</v>
      </c>
      <c r="J36" s="162" t="s">
        <v>276</v>
      </c>
      <c r="K36" s="248"/>
      <c r="L36" s="250"/>
      <c r="M36" s="250"/>
      <c r="N36" s="250"/>
      <c r="O36" s="250"/>
      <c r="P36" s="250"/>
      <c r="Q36" s="251"/>
      <c r="R36" s="251"/>
      <c r="S36" s="251"/>
      <c r="T36" s="251"/>
      <c r="U36" s="251"/>
      <c r="V36" s="250"/>
      <c r="W36" s="250"/>
      <c r="X36" s="250"/>
      <c r="Y36" s="250"/>
      <c r="Z36" s="250"/>
      <c r="AB36" s="18" t="str">
        <f t="shared" si="29"/>
        <v/>
      </c>
      <c r="AC36" s="18" t="str">
        <f t="shared" si="30"/>
        <v/>
      </c>
      <c r="AD36" s="18" t="str">
        <f t="shared" si="31"/>
        <v/>
      </c>
      <c r="AE36" s="18" t="str">
        <f t="shared" si="32"/>
        <v/>
      </c>
      <c r="AF36" s="18" t="str">
        <f t="shared" si="33"/>
        <v/>
      </c>
      <c r="AG36" s="18" t="str">
        <f t="shared" si="34"/>
        <v/>
      </c>
      <c r="AH36" s="18" t="str">
        <f t="shared" si="35"/>
        <v/>
      </c>
      <c r="AI36" s="18" t="str">
        <f t="shared" si="36"/>
        <v/>
      </c>
      <c r="AJ36" s="18" t="str">
        <f t="shared" si="37"/>
        <v/>
      </c>
      <c r="AK36" s="18" t="str">
        <f t="shared" si="38"/>
        <v/>
      </c>
      <c r="AL36" s="18" t="str">
        <f t="shared" si="39"/>
        <v/>
      </c>
      <c r="AM36" s="18" t="str">
        <f t="shared" si="40"/>
        <v/>
      </c>
      <c r="AN36" s="18" t="str">
        <f t="shared" si="41"/>
        <v/>
      </c>
      <c r="AO36" s="18" t="str">
        <f t="shared" si="42"/>
        <v/>
      </c>
      <c r="AP36" s="18" t="str">
        <f t="shared" si="43"/>
        <v/>
      </c>
      <c r="AR36" s="18" t="str">
        <f t="shared" si="44"/>
        <v/>
      </c>
      <c r="AS36" s="18" t="str">
        <f t="shared" si="45"/>
        <v/>
      </c>
      <c r="AT36" s="18" t="str">
        <f t="shared" si="46"/>
        <v/>
      </c>
      <c r="AU36" s="18" t="str">
        <f t="shared" si="47"/>
        <v/>
      </c>
      <c r="AV36" s="18" t="str">
        <f t="shared" si="48"/>
        <v/>
      </c>
      <c r="AW36" s="18" t="str">
        <f t="shared" si="49"/>
        <v/>
      </c>
      <c r="AX36" s="18" t="str">
        <f t="shared" si="50"/>
        <v/>
      </c>
      <c r="AY36" s="18" t="str">
        <f t="shared" si="51"/>
        <v/>
      </c>
      <c r="AZ36" s="18" t="str">
        <f t="shared" si="52"/>
        <v/>
      </c>
      <c r="BA36" s="18" t="str">
        <f t="shared" si="53"/>
        <v/>
      </c>
      <c r="BB36" s="18" t="str">
        <f t="shared" si="54"/>
        <v/>
      </c>
      <c r="BC36" s="18" t="str">
        <f t="shared" si="55"/>
        <v/>
      </c>
      <c r="BD36" s="18" t="str">
        <f t="shared" si="56"/>
        <v/>
      </c>
      <c r="BE36" s="18" t="str">
        <f t="shared" si="57"/>
        <v/>
      </c>
      <c r="BF36" s="18" t="str">
        <f t="shared" si="58"/>
        <v/>
      </c>
      <c r="BH36" s="18" t="str">
        <f t="shared" si="59"/>
        <v/>
      </c>
      <c r="BI36" s="18" t="str">
        <f t="shared" si="60"/>
        <v/>
      </c>
      <c r="BJ36" s="18" t="str">
        <f t="shared" si="61"/>
        <v/>
      </c>
      <c r="BK36" s="18" t="str">
        <f t="shared" si="62"/>
        <v/>
      </c>
      <c r="BL36" s="18" t="str">
        <f t="shared" si="63"/>
        <v/>
      </c>
      <c r="BM36" s="18" t="str">
        <f t="shared" si="64"/>
        <v/>
      </c>
      <c r="BN36" s="18" t="str">
        <f t="shared" si="65"/>
        <v/>
      </c>
      <c r="BO36" s="18" t="str">
        <f t="shared" si="66"/>
        <v/>
      </c>
      <c r="BP36" s="18" t="str">
        <f t="shared" si="67"/>
        <v/>
      </c>
      <c r="BQ36" s="18" t="str">
        <f t="shared" si="68"/>
        <v/>
      </c>
      <c r="BR36" s="18" t="str">
        <f t="shared" si="69"/>
        <v/>
      </c>
      <c r="BS36" s="18" t="str">
        <f t="shared" si="70"/>
        <v/>
      </c>
      <c r="BT36" s="18" t="str">
        <f t="shared" si="71"/>
        <v/>
      </c>
      <c r="BU36" s="18" t="str">
        <f t="shared" si="72"/>
        <v/>
      </c>
      <c r="BV36" s="18" t="str">
        <f t="shared" si="73"/>
        <v/>
      </c>
      <c r="CC36" s="18" t="str">
        <f t="shared" si="74"/>
        <v/>
      </c>
      <c r="CD36" s="18" t="str">
        <f t="shared" si="75"/>
        <v/>
      </c>
      <c r="CE36" s="18" t="str">
        <f t="shared" si="76"/>
        <v/>
      </c>
      <c r="CF36" s="18" t="str">
        <f t="shared" si="77"/>
        <v/>
      </c>
      <c r="CG36" s="18" t="str">
        <f t="shared" si="78"/>
        <v/>
      </c>
      <c r="CH36" s="18" t="str">
        <f t="shared" si="79"/>
        <v/>
      </c>
      <c r="CI36" s="18" t="str">
        <f t="shared" si="80"/>
        <v/>
      </c>
      <c r="CJ36" s="18" t="str">
        <f t="shared" si="81"/>
        <v/>
      </c>
      <c r="CK36" s="18" t="str">
        <f t="shared" si="82"/>
        <v/>
      </c>
      <c r="CL36" s="18" t="str">
        <f t="shared" si="83"/>
        <v/>
      </c>
      <c r="CM36" s="18" t="str">
        <f t="shared" si="84"/>
        <v/>
      </c>
      <c r="CN36" s="18" t="str">
        <f t="shared" si="85"/>
        <v/>
      </c>
      <c r="CO36" s="18" t="str">
        <f t="shared" si="86"/>
        <v/>
      </c>
      <c r="CP36" s="18" t="str">
        <f t="shared" si="87"/>
        <v/>
      </c>
      <c r="CQ36" s="18" t="str">
        <f t="shared" si="88"/>
        <v/>
      </c>
    </row>
    <row r="37" spans="1:95" x14ac:dyDescent="0.3">
      <c r="A37" s="161" t="s">
        <v>282</v>
      </c>
      <c r="B37" s="191" t="s">
        <v>297</v>
      </c>
      <c r="C37" s="286" t="s">
        <v>382</v>
      </c>
      <c r="D37" s="162">
        <v>0</v>
      </c>
      <c r="E37" s="173">
        <v>1.4</v>
      </c>
      <c r="F37" s="162">
        <v>0.08</v>
      </c>
      <c r="G37" s="165">
        <f t="shared" si="90"/>
        <v>1.40008</v>
      </c>
      <c r="H37" s="162">
        <v>0.14000000000000001</v>
      </c>
      <c r="I37" s="277" t="s">
        <v>368</v>
      </c>
      <c r="J37" s="162" t="s">
        <v>276</v>
      </c>
      <c r="K37" s="248"/>
      <c r="L37" s="250"/>
      <c r="M37" s="250"/>
      <c r="N37" s="250"/>
      <c r="O37" s="250"/>
      <c r="P37" s="250"/>
      <c r="Q37" s="251"/>
      <c r="R37" s="251"/>
      <c r="S37" s="251"/>
      <c r="T37" s="251"/>
      <c r="U37" s="251"/>
      <c r="V37" s="250"/>
      <c r="W37" s="250"/>
      <c r="X37" s="250"/>
      <c r="Y37" s="250"/>
      <c r="Z37" s="250"/>
      <c r="AB37" s="18" t="str">
        <f t="shared" si="29"/>
        <v/>
      </c>
      <c r="AC37" s="18" t="str">
        <f t="shared" si="30"/>
        <v/>
      </c>
      <c r="AD37" s="18" t="str">
        <f t="shared" si="31"/>
        <v/>
      </c>
      <c r="AE37" s="18" t="str">
        <f t="shared" si="32"/>
        <v/>
      </c>
      <c r="AF37" s="18" t="str">
        <f t="shared" si="33"/>
        <v/>
      </c>
      <c r="AG37" s="18" t="str">
        <f t="shared" si="34"/>
        <v/>
      </c>
      <c r="AH37" s="18" t="str">
        <f t="shared" si="35"/>
        <v/>
      </c>
      <c r="AI37" s="18" t="str">
        <f t="shared" si="36"/>
        <v/>
      </c>
      <c r="AJ37" s="18" t="str">
        <f t="shared" si="37"/>
        <v/>
      </c>
      <c r="AK37" s="18" t="str">
        <f t="shared" si="38"/>
        <v/>
      </c>
      <c r="AL37" s="18" t="str">
        <f t="shared" si="39"/>
        <v/>
      </c>
      <c r="AM37" s="18" t="str">
        <f t="shared" si="40"/>
        <v/>
      </c>
      <c r="AN37" s="18" t="str">
        <f t="shared" si="41"/>
        <v/>
      </c>
      <c r="AO37" s="18" t="str">
        <f t="shared" si="42"/>
        <v/>
      </c>
      <c r="AP37" s="18" t="str">
        <f t="shared" si="43"/>
        <v/>
      </c>
      <c r="AR37" s="18" t="str">
        <f t="shared" si="44"/>
        <v/>
      </c>
      <c r="AS37" s="18" t="str">
        <f t="shared" si="45"/>
        <v/>
      </c>
      <c r="AT37" s="18" t="str">
        <f t="shared" si="46"/>
        <v/>
      </c>
      <c r="AU37" s="18" t="str">
        <f t="shared" si="47"/>
        <v/>
      </c>
      <c r="AV37" s="18" t="str">
        <f t="shared" si="48"/>
        <v/>
      </c>
      <c r="AW37" s="18" t="str">
        <f t="shared" si="49"/>
        <v/>
      </c>
      <c r="AX37" s="18" t="str">
        <f t="shared" si="50"/>
        <v/>
      </c>
      <c r="AY37" s="18" t="str">
        <f t="shared" si="51"/>
        <v/>
      </c>
      <c r="AZ37" s="18" t="str">
        <f t="shared" si="52"/>
        <v/>
      </c>
      <c r="BA37" s="18" t="str">
        <f t="shared" si="53"/>
        <v/>
      </c>
      <c r="BB37" s="18" t="str">
        <f t="shared" si="54"/>
        <v/>
      </c>
      <c r="BC37" s="18" t="str">
        <f t="shared" si="55"/>
        <v/>
      </c>
      <c r="BD37" s="18" t="str">
        <f t="shared" si="56"/>
        <v/>
      </c>
      <c r="BE37" s="18" t="str">
        <f t="shared" si="57"/>
        <v/>
      </c>
      <c r="BF37" s="18" t="str">
        <f t="shared" si="58"/>
        <v/>
      </c>
      <c r="BH37" s="18" t="str">
        <f t="shared" si="59"/>
        <v/>
      </c>
      <c r="BI37" s="18" t="str">
        <f t="shared" si="60"/>
        <v/>
      </c>
      <c r="BJ37" s="18" t="str">
        <f t="shared" si="61"/>
        <v/>
      </c>
      <c r="BK37" s="18" t="str">
        <f t="shared" si="62"/>
        <v/>
      </c>
      <c r="BL37" s="18" t="str">
        <f t="shared" si="63"/>
        <v/>
      </c>
      <c r="BM37" s="18" t="str">
        <f t="shared" si="64"/>
        <v/>
      </c>
      <c r="BN37" s="18" t="str">
        <f t="shared" si="65"/>
        <v/>
      </c>
      <c r="BO37" s="18" t="str">
        <f t="shared" si="66"/>
        <v/>
      </c>
      <c r="BP37" s="18" t="str">
        <f t="shared" si="67"/>
        <v/>
      </c>
      <c r="BQ37" s="18" t="str">
        <f t="shared" si="68"/>
        <v/>
      </c>
      <c r="BR37" s="18" t="str">
        <f t="shared" si="69"/>
        <v/>
      </c>
      <c r="BS37" s="18" t="str">
        <f t="shared" si="70"/>
        <v/>
      </c>
      <c r="BT37" s="18" t="str">
        <f t="shared" si="71"/>
        <v/>
      </c>
      <c r="BU37" s="18" t="str">
        <f t="shared" si="72"/>
        <v/>
      </c>
      <c r="BV37" s="18" t="str">
        <f t="shared" si="73"/>
        <v/>
      </c>
      <c r="CC37" s="18" t="str">
        <f t="shared" si="74"/>
        <v/>
      </c>
      <c r="CD37" s="18" t="str">
        <f t="shared" si="75"/>
        <v/>
      </c>
      <c r="CE37" s="18" t="str">
        <f t="shared" si="76"/>
        <v/>
      </c>
      <c r="CF37" s="18" t="str">
        <f t="shared" si="77"/>
        <v/>
      </c>
      <c r="CG37" s="18" t="str">
        <f t="shared" si="78"/>
        <v/>
      </c>
      <c r="CH37" s="18" t="str">
        <f t="shared" si="79"/>
        <v/>
      </c>
      <c r="CI37" s="18" t="str">
        <f t="shared" si="80"/>
        <v/>
      </c>
      <c r="CJ37" s="18" t="str">
        <f t="shared" si="81"/>
        <v/>
      </c>
      <c r="CK37" s="18" t="str">
        <f t="shared" si="82"/>
        <v/>
      </c>
      <c r="CL37" s="18" t="str">
        <f t="shared" si="83"/>
        <v/>
      </c>
      <c r="CM37" s="18" t="str">
        <f t="shared" si="84"/>
        <v/>
      </c>
      <c r="CN37" s="18" t="str">
        <f t="shared" si="85"/>
        <v/>
      </c>
      <c r="CO37" s="18" t="str">
        <f t="shared" si="86"/>
        <v/>
      </c>
      <c r="CP37" s="18" t="str">
        <f t="shared" si="87"/>
        <v/>
      </c>
      <c r="CQ37" s="18" t="str">
        <f t="shared" si="88"/>
        <v/>
      </c>
    </row>
    <row r="38" spans="1:95" x14ac:dyDescent="0.3">
      <c r="A38" s="161" t="s">
        <v>282</v>
      </c>
      <c r="B38" s="191" t="s">
        <v>297</v>
      </c>
      <c r="C38" s="286" t="s">
        <v>382</v>
      </c>
      <c r="D38" s="162">
        <v>0</v>
      </c>
      <c r="E38" s="173">
        <v>1.5</v>
      </c>
      <c r="F38" s="162">
        <v>0.1</v>
      </c>
      <c r="G38" s="165">
        <f t="shared" si="90"/>
        <v>1.5001</v>
      </c>
      <c r="H38" s="162">
        <v>0.14000000000000001</v>
      </c>
      <c r="I38" s="277" t="s">
        <v>368</v>
      </c>
      <c r="J38" s="162" t="s">
        <v>276</v>
      </c>
      <c r="K38" s="248"/>
      <c r="L38" s="250"/>
      <c r="M38" s="250"/>
      <c r="N38" s="250"/>
      <c r="O38" s="250"/>
      <c r="P38" s="250"/>
      <c r="Q38" s="251"/>
      <c r="R38" s="251"/>
      <c r="S38" s="251"/>
      <c r="T38" s="251"/>
      <c r="U38" s="251"/>
      <c r="V38" s="250"/>
      <c r="W38" s="250"/>
      <c r="X38" s="250"/>
      <c r="Y38" s="250"/>
      <c r="Z38" s="250"/>
      <c r="AB38" s="18" t="str">
        <f t="shared" si="29"/>
        <v/>
      </c>
      <c r="AC38" s="18" t="str">
        <f t="shared" si="30"/>
        <v/>
      </c>
      <c r="AD38" s="18" t="str">
        <f t="shared" si="31"/>
        <v/>
      </c>
      <c r="AE38" s="18" t="str">
        <f t="shared" si="32"/>
        <v/>
      </c>
      <c r="AF38" s="18" t="str">
        <f t="shared" si="33"/>
        <v/>
      </c>
      <c r="AG38" s="18" t="str">
        <f t="shared" si="34"/>
        <v/>
      </c>
      <c r="AH38" s="18" t="str">
        <f t="shared" si="35"/>
        <v/>
      </c>
      <c r="AI38" s="18" t="str">
        <f t="shared" si="36"/>
        <v/>
      </c>
      <c r="AJ38" s="18" t="str">
        <f t="shared" si="37"/>
        <v/>
      </c>
      <c r="AK38" s="18" t="str">
        <f t="shared" si="38"/>
        <v/>
      </c>
      <c r="AL38" s="18" t="str">
        <f t="shared" si="39"/>
        <v/>
      </c>
      <c r="AM38" s="18" t="str">
        <f t="shared" si="40"/>
        <v/>
      </c>
      <c r="AN38" s="18" t="str">
        <f t="shared" si="41"/>
        <v/>
      </c>
      <c r="AO38" s="18" t="str">
        <f t="shared" si="42"/>
        <v/>
      </c>
      <c r="AP38" s="18" t="str">
        <f t="shared" si="43"/>
        <v/>
      </c>
      <c r="AR38" s="18" t="str">
        <f t="shared" si="44"/>
        <v/>
      </c>
      <c r="AS38" s="18" t="str">
        <f t="shared" si="45"/>
        <v/>
      </c>
      <c r="AT38" s="18" t="str">
        <f t="shared" si="46"/>
        <v/>
      </c>
      <c r="AU38" s="18" t="str">
        <f t="shared" si="47"/>
        <v/>
      </c>
      <c r="AV38" s="18" t="str">
        <f t="shared" si="48"/>
        <v/>
      </c>
      <c r="AW38" s="18" t="str">
        <f t="shared" si="49"/>
        <v/>
      </c>
      <c r="AX38" s="18" t="str">
        <f t="shared" si="50"/>
        <v/>
      </c>
      <c r="AY38" s="18" t="str">
        <f t="shared" si="51"/>
        <v/>
      </c>
      <c r="AZ38" s="18" t="str">
        <f t="shared" si="52"/>
        <v/>
      </c>
      <c r="BA38" s="18" t="str">
        <f t="shared" si="53"/>
        <v/>
      </c>
      <c r="BB38" s="18" t="str">
        <f t="shared" si="54"/>
        <v/>
      </c>
      <c r="BC38" s="18" t="str">
        <f t="shared" si="55"/>
        <v/>
      </c>
      <c r="BD38" s="18" t="str">
        <f t="shared" si="56"/>
        <v/>
      </c>
      <c r="BE38" s="18" t="str">
        <f t="shared" si="57"/>
        <v/>
      </c>
      <c r="BF38" s="18" t="str">
        <f t="shared" si="58"/>
        <v/>
      </c>
      <c r="BH38" s="18" t="str">
        <f t="shared" si="59"/>
        <v/>
      </c>
      <c r="BI38" s="18" t="str">
        <f t="shared" si="60"/>
        <v/>
      </c>
      <c r="BJ38" s="18" t="str">
        <f t="shared" si="61"/>
        <v/>
      </c>
      <c r="BK38" s="18" t="str">
        <f t="shared" si="62"/>
        <v/>
      </c>
      <c r="BL38" s="18" t="str">
        <f t="shared" si="63"/>
        <v/>
      </c>
      <c r="BM38" s="18" t="str">
        <f t="shared" si="64"/>
        <v/>
      </c>
      <c r="BN38" s="18" t="str">
        <f t="shared" si="65"/>
        <v/>
      </c>
      <c r="BO38" s="18" t="str">
        <f t="shared" si="66"/>
        <v/>
      </c>
      <c r="BP38" s="18" t="str">
        <f t="shared" si="67"/>
        <v/>
      </c>
      <c r="BQ38" s="18" t="str">
        <f t="shared" si="68"/>
        <v/>
      </c>
      <c r="BR38" s="18" t="str">
        <f t="shared" si="69"/>
        <v/>
      </c>
      <c r="BS38" s="18" t="str">
        <f t="shared" si="70"/>
        <v/>
      </c>
      <c r="BT38" s="18" t="str">
        <f t="shared" si="71"/>
        <v/>
      </c>
      <c r="BU38" s="18" t="str">
        <f t="shared" si="72"/>
        <v/>
      </c>
      <c r="BV38" s="18" t="str">
        <f t="shared" si="73"/>
        <v/>
      </c>
      <c r="CC38" s="18" t="str">
        <f t="shared" si="74"/>
        <v/>
      </c>
      <c r="CD38" s="18" t="str">
        <f t="shared" si="75"/>
        <v/>
      </c>
      <c r="CE38" s="18" t="str">
        <f t="shared" si="76"/>
        <v/>
      </c>
      <c r="CF38" s="18" t="str">
        <f t="shared" si="77"/>
        <v/>
      </c>
      <c r="CG38" s="18" t="str">
        <f t="shared" si="78"/>
        <v/>
      </c>
      <c r="CH38" s="18" t="str">
        <f t="shared" si="79"/>
        <v/>
      </c>
      <c r="CI38" s="18" t="str">
        <f t="shared" si="80"/>
        <v/>
      </c>
      <c r="CJ38" s="18" t="str">
        <f t="shared" si="81"/>
        <v/>
      </c>
      <c r="CK38" s="18" t="str">
        <f t="shared" si="82"/>
        <v/>
      </c>
      <c r="CL38" s="18" t="str">
        <f t="shared" si="83"/>
        <v/>
      </c>
      <c r="CM38" s="18" t="str">
        <f t="shared" si="84"/>
        <v/>
      </c>
      <c r="CN38" s="18" t="str">
        <f t="shared" si="85"/>
        <v/>
      </c>
      <c r="CO38" s="18" t="str">
        <f t="shared" si="86"/>
        <v/>
      </c>
      <c r="CP38" s="18" t="str">
        <f t="shared" si="87"/>
        <v/>
      </c>
      <c r="CQ38" s="18" t="str">
        <f t="shared" si="88"/>
        <v/>
      </c>
    </row>
    <row r="39" spans="1:95" x14ac:dyDescent="0.3">
      <c r="A39" s="161" t="s">
        <v>282</v>
      </c>
      <c r="B39" s="191" t="s">
        <v>297</v>
      </c>
      <c r="C39" s="286" t="s">
        <v>382</v>
      </c>
      <c r="D39" s="162">
        <v>0</v>
      </c>
      <c r="E39" s="174">
        <v>2</v>
      </c>
      <c r="F39" s="162">
        <v>0.09</v>
      </c>
      <c r="G39" s="165">
        <f t="shared" si="90"/>
        <v>2.0000900000000001</v>
      </c>
      <c r="H39" s="162">
        <v>0.14000000000000001</v>
      </c>
      <c r="I39" s="277" t="s">
        <v>368</v>
      </c>
      <c r="J39" s="162" t="s">
        <v>276</v>
      </c>
      <c r="K39" s="248"/>
      <c r="L39" s="250"/>
      <c r="M39" s="250"/>
      <c r="N39" s="250"/>
      <c r="O39" s="250"/>
      <c r="P39" s="250"/>
      <c r="Q39" s="251"/>
      <c r="R39" s="251"/>
      <c r="S39" s="251"/>
      <c r="T39" s="251"/>
      <c r="U39" s="251"/>
      <c r="V39" s="250"/>
      <c r="W39" s="250"/>
      <c r="X39" s="250"/>
      <c r="Y39" s="250"/>
      <c r="Z39" s="250"/>
      <c r="AB39" s="18" t="str">
        <f t="shared" si="29"/>
        <v/>
      </c>
      <c r="AC39" s="18" t="str">
        <f t="shared" si="30"/>
        <v/>
      </c>
      <c r="AD39" s="18" t="str">
        <f t="shared" si="31"/>
        <v/>
      </c>
      <c r="AE39" s="18" t="str">
        <f t="shared" si="32"/>
        <v/>
      </c>
      <c r="AF39" s="18" t="str">
        <f t="shared" si="33"/>
        <v/>
      </c>
      <c r="AG39" s="18" t="str">
        <f t="shared" si="34"/>
        <v/>
      </c>
      <c r="AH39" s="18" t="str">
        <f t="shared" si="35"/>
        <v/>
      </c>
      <c r="AI39" s="18" t="str">
        <f t="shared" si="36"/>
        <v/>
      </c>
      <c r="AJ39" s="18" t="str">
        <f t="shared" si="37"/>
        <v/>
      </c>
      <c r="AK39" s="18" t="str">
        <f t="shared" si="38"/>
        <v/>
      </c>
      <c r="AL39" s="18" t="str">
        <f t="shared" si="39"/>
        <v/>
      </c>
      <c r="AM39" s="18" t="str">
        <f t="shared" si="40"/>
        <v/>
      </c>
      <c r="AN39" s="18" t="str">
        <f t="shared" si="41"/>
        <v/>
      </c>
      <c r="AO39" s="18" t="str">
        <f t="shared" si="42"/>
        <v/>
      </c>
      <c r="AP39" s="18" t="str">
        <f t="shared" si="43"/>
        <v/>
      </c>
      <c r="AR39" s="18" t="str">
        <f t="shared" si="44"/>
        <v/>
      </c>
      <c r="AS39" s="18" t="str">
        <f t="shared" si="45"/>
        <v/>
      </c>
      <c r="AT39" s="18" t="str">
        <f t="shared" si="46"/>
        <v/>
      </c>
      <c r="AU39" s="18" t="str">
        <f t="shared" si="47"/>
        <v/>
      </c>
      <c r="AV39" s="18" t="str">
        <f t="shared" si="48"/>
        <v/>
      </c>
      <c r="AW39" s="18" t="str">
        <f t="shared" si="49"/>
        <v/>
      </c>
      <c r="AX39" s="18" t="str">
        <f t="shared" si="50"/>
        <v/>
      </c>
      <c r="AY39" s="18" t="str">
        <f t="shared" si="51"/>
        <v/>
      </c>
      <c r="AZ39" s="18" t="str">
        <f t="shared" si="52"/>
        <v/>
      </c>
      <c r="BA39" s="18" t="str">
        <f t="shared" si="53"/>
        <v/>
      </c>
      <c r="BB39" s="18" t="str">
        <f t="shared" si="54"/>
        <v/>
      </c>
      <c r="BC39" s="18" t="str">
        <f t="shared" si="55"/>
        <v/>
      </c>
      <c r="BD39" s="18" t="str">
        <f t="shared" si="56"/>
        <v/>
      </c>
      <c r="BE39" s="18" t="str">
        <f t="shared" si="57"/>
        <v/>
      </c>
      <c r="BF39" s="18" t="str">
        <f t="shared" si="58"/>
        <v/>
      </c>
      <c r="BH39" s="18" t="str">
        <f t="shared" si="59"/>
        <v/>
      </c>
      <c r="BI39" s="18" t="str">
        <f t="shared" si="60"/>
        <v/>
      </c>
      <c r="BJ39" s="18" t="str">
        <f t="shared" si="61"/>
        <v/>
      </c>
      <c r="BK39" s="18" t="str">
        <f t="shared" si="62"/>
        <v/>
      </c>
      <c r="BL39" s="18" t="str">
        <f t="shared" si="63"/>
        <v/>
      </c>
      <c r="BM39" s="18" t="str">
        <f t="shared" si="64"/>
        <v/>
      </c>
      <c r="BN39" s="18" t="str">
        <f t="shared" si="65"/>
        <v/>
      </c>
      <c r="BO39" s="18" t="str">
        <f t="shared" si="66"/>
        <v/>
      </c>
      <c r="BP39" s="18" t="str">
        <f t="shared" si="67"/>
        <v/>
      </c>
      <c r="BQ39" s="18" t="str">
        <f t="shared" si="68"/>
        <v/>
      </c>
      <c r="BR39" s="18" t="str">
        <f t="shared" si="69"/>
        <v/>
      </c>
      <c r="BS39" s="18" t="str">
        <f t="shared" si="70"/>
        <v/>
      </c>
      <c r="BT39" s="18" t="str">
        <f t="shared" si="71"/>
        <v/>
      </c>
      <c r="BU39" s="18" t="str">
        <f t="shared" si="72"/>
        <v/>
      </c>
      <c r="BV39" s="18" t="str">
        <f t="shared" si="73"/>
        <v/>
      </c>
      <c r="CC39" s="18" t="str">
        <f t="shared" si="74"/>
        <v/>
      </c>
      <c r="CD39" s="18" t="str">
        <f t="shared" si="75"/>
        <v/>
      </c>
      <c r="CE39" s="18" t="str">
        <f t="shared" si="76"/>
        <v/>
      </c>
      <c r="CF39" s="18" t="str">
        <f t="shared" si="77"/>
        <v/>
      </c>
      <c r="CG39" s="18" t="str">
        <f t="shared" si="78"/>
        <v/>
      </c>
      <c r="CH39" s="18" t="str">
        <f t="shared" si="79"/>
        <v/>
      </c>
      <c r="CI39" s="18" t="str">
        <f t="shared" si="80"/>
        <v/>
      </c>
      <c r="CJ39" s="18" t="str">
        <f t="shared" si="81"/>
        <v/>
      </c>
      <c r="CK39" s="18" t="str">
        <f t="shared" si="82"/>
        <v/>
      </c>
      <c r="CL39" s="18" t="str">
        <f t="shared" si="83"/>
        <v/>
      </c>
      <c r="CM39" s="18" t="str">
        <f t="shared" si="84"/>
        <v/>
      </c>
      <c r="CN39" s="18" t="str">
        <f t="shared" si="85"/>
        <v/>
      </c>
      <c r="CO39" s="18" t="str">
        <f t="shared" si="86"/>
        <v/>
      </c>
      <c r="CP39" s="18" t="str">
        <f t="shared" si="87"/>
        <v/>
      </c>
      <c r="CQ39" s="18" t="str">
        <f t="shared" si="88"/>
        <v/>
      </c>
    </row>
    <row r="40" spans="1:95" x14ac:dyDescent="0.3">
      <c r="A40" s="161" t="s">
        <v>282</v>
      </c>
      <c r="B40" s="191" t="s">
        <v>297</v>
      </c>
      <c r="C40" s="286" t="s">
        <v>382</v>
      </c>
      <c r="D40" s="162">
        <v>0</v>
      </c>
      <c r="E40" s="163">
        <v>3</v>
      </c>
      <c r="F40" s="162">
        <v>0.15</v>
      </c>
      <c r="G40" s="162">
        <f t="shared" si="90"/>
        <v>3.0001500000000001</v>
      </c>
      <c r="H40" s="162">
        <v>0.15</v>
      </c>
      <c r="I40" s="277" t="s">
        <v>368</v>
      </c>
      <c r="J40" s="162" t="s">
        <v>276</v>
      </c>
      <c r="K40" s="248"/>
      <c r="L40" s="250"/>
      <c r="M40" s="250"/>
      <c r="N40" s="250"/>
      <c r="O40" s="250"/>
      <c r="P40" s="250"/>
      <c r="Q40" s="251"/>
      <c r="R40" s="251"/>
      <c r="S40" s="251"/>
      <c r="T40" s="251"/>
      <c r="U40" s="251"/>
      <c r="V40" s="250"/>
      <c r="W40" s="250"/>
      <c r="X40" s="250"/>
      <c r="Y40" s="250"/>
      <c r="Z40" s="250"/>
      <c r="AB40" s="18" t="str">
        <f t="shared" si="29"/>
        <v/>
      </c>
      <c r="AC40" s="18" t="str">
        <f t="shared" si="30"/>
        <v/>
      </c>
      <c r="AD40" s="18" t="str">
        <f t="shared" si="31"/>
        <v/>
      </c>
      <c r="AE40" s="18" t="str">
        <f t="shared" si="32"/>
        <v/>
      </c>
      <c r="AF40" s="18" t="str">
        <f t="shared" si="33"/>
        <v/>
      </c>
      <c r="AG40" s="18" t="str">
        <f t="shared" si="34"/>
        <v/>
      </c>
      <c r="AH40" s="18" t="str">
        <f t="shared" si="35"/>
        <v/>
      </c>
      <c r="AI40" s="18" t="str">
        <f t="shared" si="36"/>
        <v/>
      </c>
      <c r="AJ40" s="18" t="str">
        <f t="shared" si="37"/>
        <v/>
      </c>
      <c r="AK40" s="18" t="str">
        <f t="shared" si="38"/>
        <v/>
      </c>
      <c r="AL40" s="18" t="str">
        <f t="shared" si="39"/>
        <v/>
      </c>
      <c r="AM40" s="18" t="str">
        <f t="shared" si="40"/>
        <v/>
      </c>
      <c r="AN40" s="18" t="str">
        <f t="shared" si="41"/>
        <v/>
      </c>
      <c r="AO40" s="18" t="str">
        <f t="shared" si="42"/>
        <v/>
      </c>
      <c r="AP40" s="18" t="str">
        <f t="shared" si="43"/>
        <v/>
      </c>
      <c r="AR40" s="18" t="str">
        <f t="shared" si="44"/>
        <v/>
      </c>
      <c r="AS40" s="18" t="str">
        <f t="shared" si="45"/>
        <v/>
      </c>
      <c r="AT40" s="18" t="str">
        <f t="shared" si="46"/>
        <v/>
      </c>
      <c r="AU40" s="18" t="str">
        <f t="shared" si="47"/>
        <v/>
      </c>
      <c r="AV40" s="18" t="str">
        <f t="shared" si="48"/>
        <v/>
      </c>
      <c r="AW40" s="18" t="str">
        <f t="shared" si="49"/>
        <v/>
      </c>
      <c r="AX40" s="18" t="str">
        <f t="shared" si="50"/>
        <v/>
      </c>
      <c r="AY40" s="18" t="str">
        <f t="shared" si="51"/>
        <v/>
      </c>
      <c r="AZ40" s="18" t="str">
        <f t="shared" si="52"/>
        <v/>
      </c>
      <c r="BA40" s="18" t="str">
        <f t="shared" si="53"/>
        <v/>
      </c>
      <c r="BB40" s="18" t="str">
        <f t="shared" si="54"/>
        <v/>
      </c>
      <c r="BC40" s="18" t="str">
        <f t="shared" si="55"/>
        <v/>
      </c>
      <c r="BD40" s="18" t="str">
        <f t="shared" si="56"/>
        <v/>
      </c>
      <c r="BE40" s="18" t="str">
        <f t="shared" si="57"/>
        <v/>
      </c>
      <c r="BF40" s="18" t="str">
        <f t="shared" si="58"/>
        <v/>
      </c>
      <c r="BH40" s="18" t="str">
        <f t="shared" si="59"/>
        <v/>
      </c>
      <c r="BI40" s="18" t="str">
        <f t="shared" si="60"/>
        <v/>
      </c>
      <c r="BJ40" s="18" t="str">
        <f t="shared" si="61"/>
        <v/>
      </c>
      <c r="BK40" s="18" t="str">
        <f t="shared" si="62"/>
        <v/>
      </c>
      <c r="BL40" s="18" t="str">
        <f t="shared" si="63"/>
        <v/>
      </c>
      <c r="BM40" s="18" t="str">
        <f t="shared" si="64"/>
        <v/>
      </c>
      <c r="BN40" s="18" t="str">
        <f t="shared" si="65"/>
        <v/>
      </c>
      <c r="BO40" s="18" t="str">
        <f t="shared" si="66"/>
        <v/>
      </c>
      <c r="BP40" s="18" t="str">
        <f t="shared" si="67"/>
        <v/>
      </c>
      <c r="BQ40" s="18" t="str">
        <f t="shared" si="68"/>
        <v/>
      </c>
      <c r="BR40" s="18" t="str">
        <f t="shared" si="69"/>
        <v/>
      </c>
      <c r="BS40" s="18" t="str">
        <f t="shared" si="70"/>
        <v/>
      </c>
      <c r="BT40" s="18" t="str">
        <f t="shared" si="71"/>
        <v/>
      </c>
      <c r="BU40" s="18" t="str">
        <f t="shared" si="72"/>
        <v/>
      </c>
      <c r="BV40" s="18" t="str">
        <f t="shared" si="73"/>
        <v/>
      </c>
      <c r="CC40" s="18" t="str">
        <f t="shared" si="74"/>
        <v/>
      </c>
      <c r="CD40" s="18" t="str">
        <f t="shared" si="75"/>
        <v/>
      </c>
      <c r="CE40" s="18" t="str">
        <f t="shared" si="76"/>
        <v/>
      </c>
      <c r="CF40" s="18" t="str">
        <f t="shared" si="77"/>
        <v/>
      </c>
      <c r="CG40" s="18" t="str">
        <f t="shared" si="78"/>
        <v/>
      </c>
      <c r="CH40" s="18" t="str">
        <f t="shared" si="79"/>
        <v/>
      </c>
      <c r="CI40" s="18" t="str">
        <f t="shared" si="80"/>
        <v/>
      </c>
      <c r="CJ40" s="18" t="str">
        <f t="shared" si="81"/>
        <v/>
      </c>
      <c r="CK40" s="18" t="str">
        <f t="shared" si="82"/>
        <v/>
      </c>
      <c r="CL40" s="18" t="str">
        <f t="shared" si="83"/>
        <v/>
      </c>
      <c r="CM40" s="18" t="str">
        <f t="shared" si="84"/>
        <v/>
      </c>
      <c r="CN40" s="18" t="str">
        <f t="shared" si="85"/>
        <v/>
      </c>
      <c r="CO40" s="18" t="str">
        <f t="shared" si="86"/>
        <v/>
      </c>
      <c r="CP40" s="18" t="str">
        <f t="shared" si="87"/>
        <v/>
      </c>
      <c r="CQ40" s="18" t="str">
        <f t="shared" si="88"/>
        <v/>
      </c>
    </row>
    <row r="41" spans="1:95" x14ac:dyDescent="0.3">
      <c r="A41" s="161" t="s">
        <v>282</v>
      </c>
      <c r="B41" s="191" t="s">
        <v>297</v>
      </c>
      <c r="C41" s="286" t="s">
        <v>382</v>
      </c>
      <c r="D41" s="162">
        <v>0</v>
      </c>
      <c r="E41" s="163">
        <v>4</v>
      </c>
      <c r="F41" s="162">
        <v>0.11</v>
      </c>
      <c r="G41" s="162">
        <f t="shared" si="90"/>
        <v>4.0001100000000003</v>
      </c>
      <c r="H41" s="162">
        <v>0.14000000000000001</v>
      </c>
      <c r="I41" s="277" t="s">
        <v>368</v>
      </c>
      <c r="J41" s="162" t="s">
        <v>276</v>
      </c>
      <c r="K41" s="248"/>
      <c r="L41" s="250"/>
      <c r="M41" s="250"/>
      <c r="N41" s="250"/>
      <c r="O41" s="250"/>
      <c r="P41" s="250"/>
      <c r="Q41" s="251"/>
      <c r="R41" s="251"/>
      <c r="S41" s="251"/>
      <c r="T41" s="251"/>
      <c r="U41" s="251"/>
      <c r="V41" s="250"/>
      <c r="W41" s="250"/>
      <c r="X41" s="250"/>
      <c r="Y41" s="250"/>
      <c r="Z41" s="250"/>
      <c r="AB41" s="18" t="str">
        <f t="shared" si="29"/>
        <v/>
      </c>
      <c r="AC41" s="18" t="str">
        <f t="shared" si="30"/>
        <v/>
      </c>
      <c r="AD41" s="18" t="str">
        <f t="shared" si="31"/>
        <v/>
      </c>
      <c r="AE41" s="18" t="str">
        <f t="shared" si="32"/>
        <v/>
      </c>
      <c r="AF41" s="18" t="str">
        <f t="shared" si="33"/>
        <v/>
      </c>
      <c r="AG41" s="18" t="str">
        <f t="shared" si="34"/>
        <v/>
      </c>
      <c r="AH41" s="18" t="str">
        <f t="shared" si="35"/>
        <v/>
      </c>
      <c r="AI41" s="18" t="str">
        <f t="shared" si="36"/>
        <v/>
      </c>
      <c r="AJ41" s="18" t="str">
        <f t="shared" si="37"/>
        <v/>
      </c>
      <c r="AK41" s="18" t="str">
        <f t="shared" si="38"/>
        <v/>
      </c>
      <c r="AL41" s="18" t="str">
        <f t="shared" si="39"/>
        <v/>
      </c>
      <c r="AM41" s="18" t="str">
        <f t="shared" si="40"/>
        <v/>
      </c>
      <c r="AN41" s="18" t="str">
        <f t="shared" si="41"/>
        <v/>
      </c>
      <c r="AO41" s="18" t="str">
        <f t="shared" si="42"/>
        <v/>
      </c>
      <c r="AP41" s="18" t="str">
        <f t="shared" si="43"/>
        <v/>
      </c>
      <c r="AR41" s="18" t="str">
        <f t="shared" si="44"/>
        <v/>
      </c>
      <c r="AS41" s="18" t="str">
        <f t="shared" si="45"/>
        <v/>
      </c>
      <c r="AT41" s="18" t="str">
        <f t="shared" si="46"/>
        <v/>
      </c>
      <c r="AU41" s="18" t="str">
        <f t="shared" si="47"/>
        <v/>
      </c>
      <c r="AV41" s="18" t="str">
        <f t="shared" si="48"/>
        <v/>
      </c>
      <c r="AW41" s="18" t="str">
        <f t="shared" si="49"/>
        <v/>
      </c>
      <c r="AX41" s="18" t="str">
        <f t="shared" si="50"/>
        <v/>
      </c>
      <c r="AY41" s="18" t="str">
        <f t="shared" si="51"/>
        <v/>
      </c>
      <c r="AZ41" s="18" t="str">
        <f t="shared" si="52"/>
        <v/>
      </c>
      <c r="BA41" s="18" t="str">
        <f t="shared" si="53"/>
        <v/>
      </c>
      <c r="BB41" s="18" t="str">
        <f t="shared" si="54"/>
        <v/>
      </c>
      <c r="BC41" s="18" t="str">
        <f t="shared" si="55"/>
        <v/>
      </c>
      <c r="BD41" s="18" t="str">
        <f t="shared" si="56"/>
        <v/>
      </c>
      <c r="BE41" s="18" t="str">
        <f t="shared" si="57"/>
        <v/>
      </c>
      <c r="BF41" s="18" t="str">
        <f t="shared" si="58"/>
        <v/>
      </c>
      <c r="BH41" s="18" t="str">
        <f t="shared" si="59"/>
        <v/>
      </c>
      <c r="BI41" s="18" t="str">
        <f t="shared" si="60"/>
        <v/>
      </c>
      <c r="BJ41" s="18" t="str">
        <f t="shared" si="61"/>
        <v/>
      </c>
      <c r="BK41" s="18" t="str">
        <f t="shared" si="62"/>
        <v/>
      </c>
      <c r="BL41" s="18" t="str">
        <f t="shared" si="63"/>
        <v/>
      </c>
      <c r="BM41" s="18" t="str">
        <f t="shared" si="64"/>
        <v/>
      </c>
      <c r="BN41" s="18" t="str">
        <f t="shared" si="65"/>
        <v/>
      </c>
      <c r="BO41" s="18" t="str">
        <f t="shared" si="66"/>
        <v/>
      </c>
      <c r="BP41" s="18" t="str">
        <f t="shared" si="67"/>
        <v/>
      </c>
      <c r="BQ41" s="18" t="str">
        <f t="shared" si="68"/>
        <v/>
      </c>
      <c r="BR41" s="18" t="str">
        <f t="shared" si="69"/>
        <v/>
      </c>
      <c r="BS41" s="18" t="str">
        <f t="shared" si="70"/>
        <v/>
      </c>
      <c r="BT41" s="18" t="str">
        <f t="shared" si="71"/>
        <v/>
      </c>
      <c r="BU41" s="18" t="str">
        <f t="shared" si="72"/>
        <v/>
      </c>
      <c r="BV41" s="18" t="str">
        <f t="shared" si="73"/>
        <v/>
      </c>
      <c r="CC41" s="18" t="str">
        <f t="shared" si="74"/>
        <v/>
      </c>
      <c r="CD41" s="18" t="str">
        <f t="shared" si="75"/>
        <v/>
      </c>
      <c r="CE41" s="18" t="str">
        <f t="shared" si="76"/>
        <v/>
      </c>
      <c r="CF41" s="18" t="str">
        <f t="shared" si="77"/>
        <v/>
      </c>
      <c r="CG41" s="18" t="str">
        <f t="shared" si="78"/>
        <v/>
      </c>
      <c r="CH41" s="18" t="str">
        <f t="shared" si="79"/>
        <v/>
      </c>
      <c r="CI41" s="18" t="str">
        <f t="shared" si="80"/>
        <v/>
      </c>
      <c r="CJ41" s="18" t="str">
        <f t="shared" si="81"/>
        <v/>
      </c>
      <c r="CK41" s="18" t="str">
        <f t="shared" si="82"/>
        <v/>
      </c>
      <c r="CL41" s="18" t="str">
        <f t="shared" si="83"/>
        <v/>
      </c>
      <c r="CM41" s="18" t="str">
        <f t="shared" si="84"/>
        <v/>
      </c>
      <c r="CN41" s="18" t="str">
        <f t="shared" si="85"/>
        <v/>
      </c>
      <c r="CO41" s="18" t="str">
        <f t="shared" si="86"/>
        <v/>
      </c>
      <c r="CP41" s="18" t="str">
        <f t="shared" si="87"/>
        <v/>
      </c>
      <c r="CQ41" s="18" t="str">
        <f t="shared" si="88"/>
        <v/>
      </c>
    </row>
    <row r="42" spans="1:95" x14ac:dyDescent="0.3">
      <c r="A42" s="161" t="s">
        <v>282</v>
      </c>
      <c r="B42" s="191" t="s">
        <v>297</v>
      </c>
      <c r="C42" s="286" t="s">
        <v>382</v>
      </c>
      <c r="D42" s="162">
        <v>0</v>
      </c>
      <c r="E42" s="163">
        <v>5</v>
      </c>
      <c r="F42" s="162">
        <v>0.08</v>
      </c>
      <c r="G42" s="162">
        <f t="shared" si="90"/>
        <v>5.0000799999999996</v>
      </c>
      <c r="H42" s="162">
        <v>0.14000000000000001</v>
      </c>
      <c r="I42" s="277" t="s">
        <v>368</v>
      </c>
      <c r="J42" s="162" t="s">
        <v>276</v>
      </c>
      <c r="K42" s="248"/>
      <c r="L42" s="250"/>
      <c r="M42" s="250"/>
      <c r="N42" s="250"/>
      <c r="O42" s="250"/>
      <c r="P42" s="250"/>
      <c r="Q42" s="251"/>
      <c r="R42" s="251"/>
      <c r="S42" s="251"/>
      <c r="T42" s="251"/>
      <c r="U42" s="251"/>
      <c r="V42" s="250"/>
      <c r="W42" s="250"/>
      <c r="X42" s="250"/>
      <c r="Y42" s="250"/>
      <c r="Z42" s="250"/>
      <c r="AB42" s="18" t="str">
        <f t="shared" si="29"/>
        <v/>
      </c>
      <c r="AC42" s="18" t="str">
        <f t="shared" si="30"/>
        <v/>
      </c>
      <c r="AD42" s="18" t="str">
        <f t="shared" si="31"/>
        <v/>
      </c>
      <c r="AE42" s="18" t="str">
        <f t="shared" si="32"/>
        <v/>
      </c>
      <c r="AF42" s="18" t="str">
        <f t="shared" si="33"/>
        <v/>
      </c>
      <c r="AG42" s="18" t="str">
        <f t="shared" si="34"/>
        <v/>
      </c>
      <c r="AH42" s="18" t="str">
        <f t="shared" si="35"/>
        <v/>
      </c>
      <c r="AI42" s="18" t="str">
        <f t="shared" si="36"/>
        <v/>
      </c>
      <c r="AJ42" s="18" t="str">
        <f t="shared" si="37"/>
        <v/>
      </c>
      <c r="AK42" s="18" t="str">
        <f t="shared" si="38"/>
        <v/>
      </c>
      <c r="AL42" s="18" t="str">
        <f t="shared" si="39"/>
        <v/>
      </c>
      <c r="AM42" s="18" t="str">
        <f t="shared" si="40"/>
        <v/>
      </c>
      <c r="AN42" s="18" t="str">
        <f t="shared" si="41"/>
        <v/>
      </c>
      <c r="AO42" s="18" t="str">
        <f t="shared" si="42"/>
        <v/>
      </c>
      <c r="AP42" s="18" t="str">
        <f t="shared" si="43"/>
        <v/>
      </c>
      <c r="AR42" s="18" t="str">
        <f t="shared" si="44"/>
        <v/>
      </c>
      <c r="AS42" s="18" t="str">
        <f t="shared" si="45"/>
        <v/>
      </c>
      <c r="AT42" s="18" t="str">
        <f t="shared" si="46"/>
        <v/>
      </c>
      <c r="AU42" s="18" t="str">
        <f t="shared" si="47"/>
        <v/>
      </c>
      <c r="AV42" s="18" t="str">
        <f t="shared" si="48"/>
        <v/>
      </c>
      <c r="AW42" s="18" t="str">
        <f t="shared" si="49"/>
        <v/>
      </c>
      <c r="AX42" s="18" t="str">
        <f t="shared" si="50"/>
        <v/>
      </c>
      <c r="AY42" s="18" t="str">
        <f t="shared" si="51"/>
        <v/>
      </c>
      <c r="AZ42" s="18" t="str">
        <f t="shared" si="52"/>
        <v/>
      </c>
      <c r="BA42" s="18" t="str">
        <f t="shared" si="53"/>
        <v/>
      </c>
      <c r="BB42" s="18" t="str">
        <f t="shared" si="54"/>
        <v/>
      </c>
      <c r="BC42" s="18" t="str">
        <f t="shared" si="55"/>
        <v/>
      </c>
      <c r="BD42" s="18" t="str">
        <f t="shared" si="56"/>
        <v/>
      </c>
      <c r="BE42" s="18" t="str">
        <f t="shared" si="57"/>
        <v/>
      </c>
      <c r="BF42" s="18" t="str">
        <f t="shared" si="58"/>
        <v/>
      </c>
      <c r="BH42" s="18" t="str">
        <f t="shared" si="59"/>
        <v/>
      </c>
      <c r="BI42" s="18" t="str">
        <f t="shared" si="60"/>
        <v/>
      </c>
      <c r="BJ42" s="18" t="str">
        <f t="shared" si="61"/>
        <v/>
      </c>
      <c r="BK42" s="18" t="str">
        <f t="shared" si="62"/>
        <v/>
      </c>
      <c r="BL42" s="18" t="str">
        <f t="shared" si="63"/>
        <v/>
      </c>
      <c r="BM42" s="18" t="str">
        <f t="shared" si="64"/>
        <v/>
      </c>
      <c r="BN42" s="18" t="str">
        <f t="shared" si="65"/>
        <v/>
      </c>
      <c r="BO42" s="18" t="str">
        <f t="shared" si="66"/>
        <v/>
      </c>
      <c r="BP42" s="18" t="str">
        <f t="shared" si="67"/>
        <v/>
      </c>
      <c r="BQ42" s="18" t="str">
        <f t="shared" si="68"/>
        <v/>
      </c>
      <c r="BR42" s="18" t="str">
        <f t="shared" si="69"/>
        <v/>
      </c>
      <c r="BS42" s="18" t="str">
        <f t="shared" si="70"/>
        <v/>
      </c>
      <c r="BT42" s="18" t="str">
        <f t="shared" si="71"/>
        <v/>
      </c>
      <c r="BU42" s="18" t="str">
        <f t="shared" si="72"/>
        <v/>
      </c>
      <c r="BV42" s="18" t="str">
        <f t="shared" si="73"/>
        <v/>
      </c>
      <c r="CC42" s="18" t="str">
        <f t="shared" si="74"/>
        <v/>
      </c>
      <c r="CD42" s="18" t="str">
        <f t="shared" si="75"/>
        <v/>
      </c>
      <c r="CE42" s="18" t="str">
        <f t="shared" si="76"/>
        <v/>
      </c>
      <c r="CF42" s="18" t="str">
        <f t="shared" si="77"/>
        <v/>
      </c>
      <c r="CG42" s="18" t="str">
        <f t="shared" si="78"/>
        <v/>
      </c>
      <c r="CH42" s="18" t="str">
        <f t="shared" si="79"/>
        <v/>
      </c>
      <c r="CI42" s="18" t="str">
        <f t="shared" si="80"/>
        <v/>
      </c>
      <c r="CJ42" s="18" t="str">
        <f t="shared" si="81"/>
        <v/>
      </c>
      <c r="CK42" s="18" t="str">
        <f t="shared" si="82"/>
        <v/>
      </c>
      <c r="CL42" s="18" t="str">
        <f t="shared" si="83"/>
        <v/>
      </c>
      <c r="CM42" s="18" t="str">
        <f t="shared" si="84"/>
        <v/>
      </c>
      <c r="CN42" s="18" t="str">
        <f t="shared" si="85"/>
        <v/>
      </c>
      <c r="CO42" s="18" t="str">
        <f t="shared" si="86"/>
        <v/>
      </c>
      <c r="CP42" s="18" t="str">
        <f t="shared" si="87"/>
        <v/>
      </c>
      <c r="CQ42" s="18" t="str">
        <f t="shared" si="88"/>
        <v/>
      </c>
    </row>
    <row r="43" spans="1:95" x14ac:dyDescent="0.3">
      <c r="A43" s="161" t="s">
        <v>282</v>
      </c>
      <c r="B43" s="191" t="s">
        <v>297</v>
      </c>
      <c r="C43" s="286" t="s">
        <v>382</v>
      </c>
      <c r="D43" s="162">
        <v>0</v>
      </c>
      <c r="E43" s="163">
        <v>6</v>
      </c>
      <c r="F43" s="162">
        <v>-0.04</v>
      </c>
      <c r="G43" s="162">
        <f t="shared" si="90"/>
        <v>5.9999599999999997</v>
      </c>
      <c r="H43" s="162">
        <v>0.1</v>
      </c>
      <c r="I43" s="277" t="s">
        <v>368</v>
      </c>
      <c r="J43" s="162" t="s">
        <v>276</v>
      </c>
      <c r="K43" s="248"/>
      <c r="L43" s="250"/>
      <c r="M43" s="250"/>
      <c r="N43" s="250"/>
      <c r="O43" s="250"/>
      <c r="P43" s="250"/>
      <c r="Q43" s="251"/>
      <c r="R43" s="251"/>
      <c r="S43" s="251"/>
      <c r="T43" s="251"/>
      <c r="U43" s="251"/>
      <c r="V43" s="250"/>
      <c r="W43" s="250"/>
      <c r="X43" s="250"/>
      <c r="Y43" s="250"/>
      <c r="Z43" s="250"/>
      <c r="AB43" s="18" t="str">
        <f t="shared" si="29"/>
        <v/>
      </c>
      <c r="AC43" s="18" t="str">
        <f t="shared" si="30"/>
        <v/>
      </c>
      <c r="AD43" s="18" t="str">
        <f t="shared" si="31"/>
        <v/>
      </c>
      <c r="AE43" s="18" t="str">
        <f t="shared" si="32"/>
        <v/>
      </c>
      <c r="AF43" s="18" t="str">
        <f t="shared" si="33"/>
        <v/>
      </c>
      <c r="AG43" s="18" t="str">
        <f t="shared" si="34"/>
        <v/>
      </c>
      <c r="AH43" s="18" t="str">
        <f t="shared" si="35"/>
        <v/>
      </c>
      <c r="AI43" s="18" t="str">
        <f t="shared" si="36"/>
        <v/>
      </c>
      <c r="AJ43" s="18" t="str">
        <f t="shared" si="37"/>
        <v/>
      </c>
      <c r="AK43" s="18" t="str">
        <f t="shared" si="38"/>
        <v/>
      </c>
      <c r="AL43" s="18" t="str">
        <f t="shared" si="39"/>
        <v/>
      </c>
      <c r="AM43" s="18" t="str">
        <f t="shared" si="40"/>
        <v/>
      </c>
      <c r="AN43" s="18" t="str">
        <f t="shared" si="41"/>
        <v/>
      </c>
      <c r="AO43" s="18" t="str">
        <f t="shared" si="42"/>
        <v/>
      </c>
      <c r="AP43" s="18" t="str">
        <f t="shared" si="43"/>
        <v/>
      </c>
      <c r="AR43" s="18" t="str">
        <f t="shared" si="44"/>
        <v/>
      </c>
      <c r="AS43" s="18" t="str">
        <f t="shared" si="45"/>
        <v/>
      </c>
      <c r="AT43" s="18" t="str">
        <f t="shared" si="46"/>
        <v/>
      </c>
      <c r="AU43" s="18" t="str">
        <f t="shared" si="47"/>
        <v/>
      </c>
      <c r="AV43" s="18" t="str">
        <f t="shared" si="48"/>
        <v/>
      </c>
      <c r="AW43" s="18" t="str">
        <f t="shared" si="49"/>
        <v/>
      </c>
      <c r="AX43" s="18" t="str">
        <f t="shared" si="50"/>
        <v/>
      </c>
      <c r="AY43" s="18" t="str">
        <f t="shared" si="51"/>
        <v/>
      </c>
      <c r="AZ43" s="18" t="str">
        <f t="shared" si="52"/>
        <v/>
      </c>
      <c r="BA43" s="18" t="str">
        <f t="shared" si="53"/>
        <v/>
      </c>
      <c r="BB43" s="18" t="str">
        <f t="shared" si="54"/>
        <v/>
      </c>
      <c r="BC43" s="18" t="str">
        <f t="shared" si="55"/>
        <v/>
      </c>
      <c r="BD43" s="18" t="str">
        <f t="shared" si="56"/>
        <v/>
      </c>
      <c r="BE43" s="18" t="str">
        <f t="shared" si="57"/>
        <v/>
      </c>
      <c r="BF43" s="18" t="str">
        <f t="shared" si="58"/>
        <v/>
      </c>
      <c r="BH43" s="18" t="str">
        <f t="shared" si="59"/>
        <v/>
      </c>
      <c r="BI43" s="18" t="str">
        <f t="shared" si="60"/>
        <v/>
      </c>
      <c r="BJ43" s="18" t="str">
        <f t="shared" si="61"/>
        <v/>
      </c>
      <c r="BK43" s="18" t="str">
        <f t="shared" si="62"/>
        <v/>
      </c>
      <c r="BL43" s="18" t="str">
        <f t="shared" si="63"/>
        <v/>
      </c>
      <c r="BM43" s="18" t="str">
        <f t="shared" si="64"/>
        <v/>
      </c>
      <c r="BN43" s="18" t="str">
        <f t="shared" si="65"/>
        <v/>
      </c>
      <c r="BO43" s="18" t="str">
        <f t="shared" si="66"/>
        <v/>
      </c>
      <c r="BP43" s="18" t="str">
        <f t="shared" si="67"/>
        <v/>
      </c>
      <c r="BQ43" s="18" t="str">
        <f t="shared" si="68"/>
        <v/>
      </c>
      <c r="BR43" s="18" t="str">
        <f t="shared" si="69"/>
        <v/>
      </c>
      <c r="BS43" s="18" t="str">
        <f t="shared" si="70"/>
        <v/>
      </c>
      <c r="BT43" s="18" t="str">
        <f t="shared" si="71"/>
        <v/>
      </c>
      <c r="BU43" s="18" t="str">
        <f t="shared" si="72"/>
        <v/>
      </c>
      <c r="BV43" s="18" t="str">
        <f t="shared" si="73"/>
        <v/>
      </c>
      <c r="CC43" s="18" t="str">
        <f t="shared" si="74"/>
        <v/>
      </c>
      <c r="CD43" s="18" t="str">
        <f t="shared" si="75"/>
        <v/>
      </c>
      <c r="CE43" s="18" t="str">
        <f t="shared" si="76"/>
        <v/>
      </c>
      <c r="CF43" s="18" t="str">
        <f t="shared" si="77"/>
        <v/>
      </c>
      <c r="CG43" s="18" t="str">
        <f t="shared" si="78"/>
        <v/>
      </c>
      <c r="CH43" s="18" t="str">
        <f t="shared" si="79"/>
        <v/>
      </c>
      <c r="CI43" s="18" t="str">
        <f t="shared" si="80"/>
        <v/>
      </c>
      <c r="CJ43" s="18" t="str">
        <f t="shared" si="81"/>
        <v/>
      </c>
      <c r="CK43" s="18" t="str">
        <f t="shared" si="82"/>
        <v/>
      </c>
      <c r="CL43" s="18" t="str">
        <f t="shared" si="83"/>
        <v/>
      </c>
      <c r="CM43" s="18" t="str">
        <f t="shared" si="84"/>
        <v/>
      </c>
      <c r="CN43" s="18" t="str">
        <f t="shared" si="85"/>
        <v/>
      </c>
      <c r="CO43" s="18" t="str">
        <f t="shared" si="86"/>
        <v/>
      </c>
      <c r="CP43" s="18" t="str">
        <f t="shared" si="87"/>
        <v/>
      </c>
      <c r="CQ43" s="18" t="str">
        <f t="shared" si="88"/>
        <v/>
      </c>
    </row>
    <row r="44" spans="1:95" x14ac:dyDescent="0.3">
      <c r="A44" s="161" t="s">
        <v>282</v>
      </c>
      <c r="B44" s="191" t="s">
        <v>297</v>
      </c>
      <c r="C44" s="286" t="s">
        <v>382</v>
      </c>
      <c r="D44" s="162">
        <v>0</v>
      </c>
      <c r="E44" s="163">
        <v>7</v>
      </c>
      <c r="F44" s="162">
        <v>-0.03</v>
      </c>
      <c r="G44" s="162">
        <f t="shared" si="90"/>
        <v>6.9999700000000002</v>
      </c>
      <c r="H44" s="162">
        <v>0.1</v>
      </c>
      <c r="I44" s="277" t="s">
        <v>368</v>
      </c>
      <c r="J44" s="162" t="s">
        <v>276</v>
      </c>
      <c r="K44" s="248"/>
      <c r="L44" s="250"/>
      <c r="M44" s="250"/>
      <c r="N44" s="250"/>
      <c r="O44" s="250"/>
      <c r="P44" s="250"/>
      <c r="Q44" s="251"/>
      <c r="R44" s="251"/>
      <c r="S44" s="251"/>
      <c r="T44" s="251"/>
      <c r="U44" s="251"/>
      <c r="V44" s="250"/>
      <c r="W44" s="250"/>
      <c r="X44" s="250"/>
      <c r="Y44" s="250"/>
      <c r="Z44" s="250"/>
      <c r="AB44" s="18" t="str">
        <f t="shared" si="29"/>
        <v/>
      </c>
      <c r="AC44" s="18" t="str">
        <f t="shared" si="30"/>
        <v/>
      </c>
      <c r="AD44" s="18" t="str">
        <f t="shared" si="31"/>
        <v/>
      </c>
      <c r="AE44" s="18" t="str">
        <f t="shared" si="32"/>
        <v/>
      </c>
      <c r="AF44" s="18" t="str">
        <f t="shared" si="33"/>
        <v/>
      </c>
      <c r="AG44" s="18" t="str">
        <f t="shared" si="34"/>
        <v/>
      </c>
      <c r="AH44" s="18" t="str">
        <f t="shared" si="35"/>
        <v/>
      </c>
      <c r="AI44" s="18" t="str">
        <f t="shared" si="36"/>
        <v/>
      </c>
      <c r="AJ44" s="18" t="str">
        <f t="shared" si="37"/>
        <v/>
      </c>
      <c r="AK44" s="18" t="str">
        <f t="shared" si="38"/>
        <v/>
      </c>
      <c r="AL44" s="18" t="str">
        <f t="shared" si="39"/>
        <v/>
      </c>
      <c r="AM44" s="18" t="str">
        <f t="shared" si="40"/>
        <v/>
      </c>
      <c r="AN44" s="18" t="str">
        <f t="shared" si="41"/>
        <v/>
      </c>
      <c r="AO44" s="18" t="str">
        <f t="shared" si="42"/>
        <v/>
      </c>
      <c r="AP44" s="18" t="str">
        <f t="shared" si="43"/>
        <v/>
      </c>
      <c r="AR44" s="18" t="str">
        <f t="shared" si="44"/>
        <v/>
      </c>
      <c r="AS44" s="18" t="str">
        <f t="shared" si="45"/>
        <v/>
      </c>
      <c r="AT44" s="18" t="str">
        <f t="shared" si="46"/>
        <v/>
      </c>
      <c r="AU44" s="18" t="str">
        <f t="shared" si="47"/>
        <v/>
      </c>
      <c r="AV44" s="18" t="str">
        <f t="shared" si="48"/>
        <v/>
      </c>
      <c r="AW44" s="18" t="str">
        <f t="shared" si="49"/>
        <v/>
      </c>
      <c r="AX44" s="18" t="str">
        <f t="shared" si="50"/>
        <v/>
      </c>
      <c r="AY44" s="18" t="str">
        <f t="shared" si="51"/>
        <v/>
      </c>
      <c r="AZ44" s="18" t="str">
        <f t="shared" si="52"/>
        <v/>
      </c>
      <c r="BA44" s="18" t="str">
        <f t="shared" si="53"/>
        <v/>
      </c>
      <c r="BB44" s="18" t="str">
        <f t="shared" si="54"/>
        <v/>
      </c>
      <c r="BC44" s="18" t="str">
        <f t="shared" si="55"/>
        <v/>
      </c>
      <c r="BD44" s="18" t="str">
        <f t="shared" si="56"/>
        <v/>
      </c>
      <c r="BE44" s="18" t="str">
        <f t="shared" si="57"/>
        <v/>
      </c>
      <c r="BF44" s="18" t="str">
        <f t="shared" si="58"/>
        <v/>
      </c>
      <c r="BH44" s="18" t="str">
        <f t="shared" si="59"/>
        <v/>
      </c>
      <c r="BI44" s="18" t="str">
        <f t="shared" si="60"/>
        <v/>
      </c>
      <c r="BJ44" s="18" t="str">
        <f t="shared" si="61"/>
        <v/>
      </c>
      <c r="BK44" s="18" t="str">
        <f t="shared" si="62"/>
        <v/>
      </c>
      <c r="BL44" s="18" t="str">
        <f t="shared" si="63"/>
        <v/>
      </c>
      <c r="BM44" s="18" t="str">
        <f t="shared" si="64"/>
        <v/>
      </c>
      <c r="BN44" s="18" t="str">
        <f t="shared" si="65"/>
        <v/>
      </c>
      <c r="BO44" s="18" t="str">
        <f t="shared" si="66"/>
        <v/>
      </c>
      <c r="BP44" s="18" t="str">
        <f t="shared" si="67"/>
        <v/>
      </c>
      <c r="BQ44" s="18" t="str">
        <f t="shared" si="68"/>
        <v/>
      </c>
      <c r="BR44" s="18" t="str">
        <f t="shared" si="69"/>
        <v/>
      </c>
      <c r="BS44" s="18" t="str">
        <f t="shared" si="70"/>
        <v/>
      </c>
      <c r="BT44" s="18" t="str">
        <f t="shared" si="71"/>
        <v/>
      </c>
      <c r="BU44" s="18" t="str">
        <f t="shared" si="72"/>
        <v/>
      </c>
      <c r="BV44" s="18" t="str">
        <f t="shared" si="73"/>
        <v/>
      </c>
      <c r="CC44" s="18" t="str">
        <f t="shared" si="74"/>
        <v/>
      </c>
      <c r="CD44" s="18" t="str">
        <f t="shared" si="75"/>
        <v/>
      </c>
      <c r="CE44" s="18" t="str">
        <f t="shared" si="76"/>
        <v/>
      </c>
      <c r="CF44" s="18" t="str">
        <f t="shared" si="77"/>
        <v/>
      </c>
      <c r="CG44" s="18" t="str">
        <f t="shared" si="78"/>
        <v/>
      </c>
      <c r="CH44" s="18" t="str">
        <f t="shared" si="79"/>
        <v/>
      </c>
      <c r="CI44" s="18" t="str">
        <f t="shared" si="80"/>
        <v/>
      </c>
      <c r="CJ44" s="18" t="str">
        <f t="shared" si="81"/>
        <v/>
      </c>
      <c r="CK44" s="18" t="str">
        <f t="shared" si="82"/>
        <v/>
      </c>
      <c r="CL44" s="18" t="str">
        <f t="shared" si="83"/>
        <v/>
      </c>
      <c r="CM44" s="18" t="str">
        <f t="shared" si="84"/>
        <v/>
      </c>
      <c r="CN44" s="18" t="str">
        <f t="shared" si="85"/>
        <v/>
      </c>
      <c r="CO44" s="18" t="str">
        <f t="shared" si="86"/>
        <v/>
      </c>
      <c r="CP44" s="18" t="str">
        <f t="shared" si="87"/>
        <v/>
      </c>
      <c r="CQ44" s="18" t="str">
        <f t="shared" si="88"/>
        <v/>
      </c>
    </row>
    <row r="45" spans="1:95" x14ac:dyDescent="0.3">
      <c r="A45" s="161" t="s">
        <v>282</v>
      </c>
      <c r="B45" s="191" t="s">
        <v>297</v>
      </c>
      <c r="C45" s="286" t="s">
        <v>382</v>
      </c>
      <c r="D45" s="162">
        <v>0</v>
      </c>
      <c r="E45" s="163">
        <v>8</v>
      </c>
      <c r="F45" s="164">
        <v>-0.1</v>
      </c>
      <c r="G45" s="162">
        <f t="shared" si="90"/>
        <v>7.9999000000000002</v>
      </c>
      <c r="H45" s="162">
        <v>0.11</v>
      </c>
      <c r="I45" s="277" t="s">
        <v>368</v>
      </c>
      <c r="J45" s="162" t="s">
        <v>276</v>
      </c>
      <c r="K45" s="248"/>
      <c r="L45" s="250"/>
      <c r="M45" s="250"/>
      <c r="N45" s="250"/>
      <c r="O45" s="250"/>
      <c r="P45" s="250"/>
      <c r="Q45" s="251"/>
      <c r="R45" s="251"/>
      <c r="S45" s="251"/>
      <c r="T45" s="251"/>
      <c r="U45" s="251"/>
      <c r="V45" s="250"/>
      <c r="W45" s="250"/>
      <c r="X45" s="250"/>
      <c r="Y45" s="250"/>
      <c r="Z45" s="250"/>
      <c r="AB45" s="18" t="str">
        <f t="shared" si="29"/>
        <v/>
      </c>
      <c r="AC45" s="18" t="str">
        <f t="shared" si="30"/>
        <v/>
      </c>
      <c r="AD45" s="18" t="str">
        <f t="shared" si="31"/>
        <v/>
      </c>
      <c r="AE45" s="18" t="str">
        <f t="shared" si="32"/>
        <v/>
      </c>
      <c r="AF45" s="18" t="str">
        <f t="shared" si="33"/>
        <v/>
      </c>
      <c r="AG45" s="18" t="str">
        <f t="shared" si="34"/>
        <v/>
      </c>
      <c r="AH45" s="18" t="str">
        <f t="shared" si="35"/>
        <v/>
      </c>
      <c r="AI45" s="18" t="str">
        <f t="shared" si="36"/>
        <v/>
      </c>
      <c r="AJ45" s="18" t="str">
        <f t="shared" si="37"/>
        <v/>
      </c>
      <c r="AK45" s="18" t="str">
        <f t="shared" si="38"/>
        <v/>
      </c>
      <c r="AL45" s="18" t="str">
        <f t="shared" si="39"/>
        <v/>
      </c>
      <c r="AM45" s="18" t="str">
        <f t="shared" si="40"/>
        <v/>
      </c>
      <c r="AN45" s="18" t="str">
        <f t="shared" si="41"/>
        <v/>
      </c>
      <c r="AO45" s="18" t="str">
        <f t="shared" si="42"/>
        <v/>
      </c>
      <c r="AP45" s="18" t="str">
        <f t="shared" si="43"/>
        <v/>
      </c>
      <c r="AR45" s="18" t="str">
        <f t="shared" si="44"/>
        <v/>
      </c>
      <c r="AS45" s="18" t="str">
        <f t="shared" si="45"/>
        <v/>
      </c>
      <c r="AT45" s="18" t="str">
        <f t="shared" si="46"/>
        <v/>
      </c>
      <c r="AU45" s="18" t="str">
        <f t="shared" si="47"/>
        <v/>
      </c>
      <c r="AV45" s="18" t="str">
        <f t="shared" si="48"/>
        <v/>
      </c>
      <c r="AW45" s="18" t="str">
        <f t="shared" si="49"/>
        <v/>
      </c>
      <c r="AX45" s="18" t="str">
        <f t="shared" si="50"/>
        <v/>
      </c>
      <c r="AY45" s="18" t="str">
        <f t="shared" si="51"/>
        <v/>
      </c>
      <c r="AZ45" s="18" t="str">
        <f t="shared" si="52"/>
        <v/>
      </c>
      <c r="BA45" s="18" t="str">
        <f t="shared" si="53"/>
        <v/>
      </c>
      <c r="BB45" s="18" t="str">
        <f t="shared" si="54"/>
        <v/>
      </c>
      <c r="BC45" s="18" t="str">
        <f t="shared" si="55"/>
        <v/>
      </c>
      <c r="BD45" s="18" t="str">
        <f t="shared" si="56"/>
        <v/>
      </c>
      <c r="BE45" s="18" t="str">
        <f t="shared" si="57"/>
        <v/>
      </c>
      <c r="BF45" s="18" t="str">
        <f t="shared" si="58"/>
        <v/>
      </c>
      <c r="BH45" s="18" t="str">
        <f t="shared" si="59"/>
        <v/>
      </c>
      <c r="BI45" s="18" t="str">
        <f t="shared" si="60"/>
        <v/>
      </c>
      <c r="BJ45" s="18" t="str">
        <f t="shared" si="61"/>
        <v/>
      </c>
      <c r="BK45" s="18" t="str">
        <f t="shared" si="62"/>
        <v/>
      </c>
      <c r="BL45" s="18" t="str">
        <f t="shared" si="63"/>
        <v/>
      </c>
      <c r="BM45" s="18" t="str">
        <f t="shared" si="64"/>
        <v/>
      </c>
      <c r="BN45" s="18" t="str">
        <f t="shared" si="65"/>
        <v/>
      </c>
      <c r="BO45" s="18" t="str">
        <f t="shared" si="66"/>
        <v/>
      </c>
      <c r="BP45" s="18" t="str">
        <f t="shared" si="67"/>
        <v/>
      </c>
      <c r="BQ45" s="18" t="str">
        <f t="shared" si="68"/>
        <v/>
      </c>
      <c r="BR45" s="18" t="str">
        <f t="shared" si="69"/>
        <v/>
      </c>
      <c r="BS45" s="18" t="str">
        <f t="shared" si="70"/>
        <v/>
      </c>
      <c r="BT45" s="18" t="str">
        <f t="shared" si="71"/>
        <v/>
      </c>
      <c r="BU45" s="18" t="str">
        <f t="shared" si="72"/>
        <v/>
      </c>
      <c r="BV45" s="18" t="str">
        <f t="shared" si="73"/>
        <v/>
      </c>
      <c r="CC45" s="18" t="str">
        <f t="shared" si="74"/>
        <v/>
      </c>
      <c r="CD45" s="18" t="str">
        <f t="shared" si="75"/>
        <v/>
      </c>
      <c r="CE45" s="18" t="str">
        <f t="shared" si="76"/>
        <v/>
      </c>
      <c r="CF45" s="18" t="str">
        <f t="shared" si="77"/>
        <v/>
      </c>
      <c r="CG45" s="18" t="str">
        <f t="shared" si="78"/>
        <v/>
      </c>
      <c r="CH45" s="18" t="str">
        <f t="shared" si="79"/>
        <v/>
      </c>
      <c r="CI45" s="18" t="str">
        <f t="shared" si="80"/>
        <v/>
      </c>
      <c r="CJ45" s="18" t="str">
        <f t="shared" si="81"/>
        <v/>
      </c>
      <c r="CK45" s="18" t="str">
        <f t="shared" si="82"/>
        <v/>
      </c>
      <c r="CL45" s="18" t="str">
        <f t="shared" si="83"/>
        <v/>
      </c>
      <c r="CM45" s="18" t="str">
        <f t="shared" si="84"/>
        <v/>
      </c>
      <c r="CN45" s="18" t="str">
        <f t="shared" si="85"/>
        <v/>
      </c>
      <c r="CO45" s="18" t="str">
        <f t="shared" si="86"/>
        <v/>
      </c>
      <c r="CP45" s="18" t="str">
        <f t="shared" si="87"/>
        <v/>
      </c>
      <c r="CQ45" s="18" t="str">
        <f t="shared" si="88"/>
        <v/>
      </c>
    </row>
    <row r="46" spans="1:95" x14ac:dyDescent="0.3">
      <c r="A46" s="161" t="s">
        <v>282</v>
      </c>
      <c r="B46" s="191" t="s">
        <v>297</v>
      </c>
      <c r="C46" s="286" t="s">
        <v>382</v>
      </c>
      <c r="D46" s="162">
        <v>0</v>
      </c>
      <c r="E46" s="163">
        <v>9</v>
      </c>
      <c r="F46" s="164">
        <v>-0.03</v>
      </c>
      <c r="G46" s="162">
        <f t="shared" si="90"/>
        <v>8.9999699999999994</v>
      </c>
      <c r="H46" s="162">
        <v>0.1</v>
      </c>
      <c r="I46" s="277" t="s">
        <v>368</v>
      </c>
      <c r="J46" s="162" t="s">
        <v>276</v>
      </c>
      <c r="K46" s="248"/>
      <c r="L46" s="250"/>
      <c r="M46" s="250"/>
      <c r="N46" s="250"/>
      <c r="O46" s="250"/>
      <c r="P46" s="250"/>
      <c r="Q46" s="251"/>
      <c r="R46" s="251"/>
      <c r="S46" s="251"/>
      <c r="T46" s="251"/>
      <c r="U46" s="251"/>
      <c r="V46" s="250"/>
      <c r="W46" s="250"/>
      <c r="X46" s="250"/>
      <c r="Y46" s="250"/>
      <c r="Z46" s="250"/>
      <c r="AB46" s="18" t="str">
        <f t="shared" si="29"/>
        <v/>
      </c>
      <c r="AC46" s="18" t="str">
        <f t="shared" si="30"/>
        <v/>
      </c>
      <c r="AD46" s="18" t="str">
        <f t="shared" si="31"/>
        <v/>
      </c>
      <c r="AE46" s="18" t="str">
        <f t="shared" si="32"/>
        <v/>
      </c>
      <c r="AF46" s="18" t="str">
        <f t="shared" si="33"/>
        <v/>
      </c>
      <c r="AG46" s="18" t="str">
        <f t="shared" si="34"/>
        <v/>
      </c>
      <c r="AH46" s="18" t="str">
        <f t="shared" si="35"/>
        <v/>
      </c>
      <c r="AI46" s="18" t="str">
        <f t="shared" si="36"/>
        <v/>
      </c>
      <c r="AJ46" s="18" t="str">
        <f t="shared" si="37"/>
        <v/>
      </c>
      <c r="AK46" s="18" t="str">
        <f t="shared" si="38"/>
        <v/>
      </c>
      <c r="AL46" s="18" t="str">
        <f t="shared" si="39"/>
        <v/>
      </c>
      <c r="AM46" s="18" t="str">
        <f t="shared" si="40"/>
        <v/>
      </c>
      <c r="AN46" s="18" t="str">
        <f t="shared" si="41"/>
        <v/>
      </c>
      <c r="AO46" s="18" t="str">
        <f t="shared" si="42"/>
        <v/>
      </c>
      <c r="AP46" s="18" t="str">
        <f t="shared" si="43"/>
        <v/>
      </c>
      <c r="AR46" s="18" t="str">
        <f t="shared" si="44"/>
        <v/>
      </c>
      <c r="AS46" s="18" t="str">
        <f t="shared" si="45"/>
        <v/>
      </c>
      <c r="AT46" s="18" t="str">
        <f t="shared" si="46"/>
        <v/>
      </c>
      <c r="AU46" s="18" t="str">
        <f t="shared" si="47"/>
        <v/>
      </c>
      <c r="AV46" s="18" t="str">
        <f t="shared" si="48"/>
        <v/>
      </c>
      <c r="AW46" s="18" t="str">
        <f t="shared" si="49"/>
        <v/>
      </c>
      <c r="AX46" s="18" t="str">
        <f t="shared" si="50"/>
        <v/>
      </c>
      <c r="AY46" s="18" t="str">
        <f t="shared" si="51"/>
        <v/>
      </c>
      <c r="AZ46" s="18" t="str">
        <f t="shared" si="52"/>
        <v/>
      </c>
      <c r="BA46" s="18" t="str">
        <f t="shared" si="53"/>
        <v/>
      </c>
      <c r="BB46" s="18" t="str">
        <f t="shared" si="54"/>
        <v/>
      </c>
      <c r="BC46" s="18" t="str">
        <f t="shared" si="55"/>
        <v/>
      </c>
      <c r="BD46" s="18" t="str">
        <f t="shared" si="56"/>
        <v/>
      </c>
      <c r="BE46" s="18" t="str">
        <f t="shared" si="57"/>
        <v/>
      </c>
      <c r="BF46" s="18" t="str">
        <f t="shared" si="58"/>
        <v/>
      </c>
      <c r="BH46" s="18" t="str">
        <f t="shared" si="59"/>
        <v/>
      </c>
      <c r="BI46" s="18" t="str">
        <f t="shared" si="60"/>
        <v/>
      </c>
      <c r="BJ46" s="18" t="str">
        <f t="shared" si="61"/>
        <v/>
      </c>
      <c r="BK46" s="18" t="str">
        <f t="shared" si="62"/>
        <v/>
      </c>
      <c r="BL46" s="18" t="str">
        <f t="shared" si="63"/>
        <v/>
      </c>
      <c r="BM46" s="18" t="str">
        <f t="shared" si="64"/>
        <v/>
      </c>
      <c r="BN46" s="18" t="str">
        <f t="shared" si="65"/>
        <v/>
      </c>
      <c r="BO46" s="18" t="str">
        <f t="shared" si="66"/>
        <v/>
      </c>
      <c r="BP46" s="18" t="str">
        <f t="shared" si="67"/>
        <v/>
      </c>
      <c r="BQ46" s="18" t="str">
        <f t="shared" si="68"/>
        <v/>
      </c>
      <c r="BR46" s="18" t="str">
        <f t="shared" si="69"/>
        <v/>
      </c>
      <c r="BS46" s="18" t="str">
        <f t="shared" si="70"/>
        <v/>
      </c>
      <c r="BT46" s="18" t="str">
        <f t="shared" si="71"/>
        <v/>
      </c>
      <c r="BU46" s="18" t="str">
        <f t="shared" si="72"/>
        <v/>
      </c>
      <c r="BV46" s="18" t="str">
        <f t="shared" si="73"/>
        <v/>
      </c>
      <c r="CC46" s="18" t="str">
        <f t="shared" si="74"/>
        <v/>
      </c>
      <c r="CD46" s="18" t="str">
        <f t="shared" si="75"/>
        <v/>
      </c>
      <c r="CE46" s="18" t="str">
        <f t="shared" si="76"/>
        <v/>
      </c>
      <c r="CF46" s="18" t="str">
        <f t="shared" si="77"/>
        <v/>
      </c>
      <c r="CG46" s="18" t="str">
        <f t="shared" si="78"/>
        <v/>
      </c>
      <c r="CH46" s="18" t="str">
        <f t="shared" si="79"/>
        <v/>
      </c>
      <c r="CI46" s="18" t="str">
        <f t="shared" si="80"/>
        <v/>
      </c>
      <c r="CJ46" s="18" t="str">
        <f t="shared" si="81"/>
        <v/>
      </c>
      <c r="CK46" s="18" t="str">
        <f t="shared" si="82"/>
        <v/>
      </c>
      <c r="CL46" s="18" t="str">
        <f t="shared" si="83"/>
        <v/>
      </c>
      <c r="CM46" s="18" t="str">
        <f t="shared" si="84"/>
        <v/>
      </c>
      <c r="CN46" s="18" t="str">
        <f t="shared" si="85"/>
        <v/>
      </c>
      <c r="CO46" s="18" t="str">
        <f t="shared" si="86"/>
        <v/>
      </c>
      <c r="CP46" s="18" t="str">
        <f t="shared" si="87"/>
        <v/>
      </c>
      <c r="CQ46" s="18" t="str">
        <f t="shared" si="88"/>
        <v/>
      </c>
    </row>
    <row r="47" spans="1:95" x14ac:dyDescent="0.3">
      <c r="A47" s="161" t="s">
        <v>282</v>
      </c>
      <c r="B47" s="191" t="s">
        <v>297</v>
      </c>
      <c r="C47" s="286" t="s">
        <v>382</v>
      </c>
      <c r="D47" s="162">
        <v>0</v>
      </c>
      <c r="E47" s="163">
        <v>10</v>
      </c>
      <c r="F47" s="164">
        <v>-7.0000000000000007E-2</v>
      </c>
      <c r="G47" s="162">
        <f t="shared" si="90"/>
        <v>9.9999300000000009</v>
      </c>
      <c r="H47" s="162">
        <v>0.1</v>
      </c>
      <c r="I47" s="277" t="s">
        <v>368</v>
      </c>
      <c r="J47" s="162" t="s">
        <v>276</v>
      </c>
      <c r="K47" s="248"/>
      <c r="L47" s="250"/>
      <c r="M47" s="250"/>
      <c r="N47" s="250"/>
      <c r="O47" s="250"/>
      <c r="P47" s="250"/>
      <c r="Q47" s="251"/>
      <c r="R47" s="251"/>
      <c r="S47" s="251"/>
      <c r="T47" s="251"/>
      <c r="U47" s="251"/>
      <c r="V47" s="250"/>
      <c r="W47" s="250"/>
      <c r="X47" s="250"/>
      <c r="Y47" s="250"/>
      <c r="Z47" s="250"/>
      <c r="AB47" s="18" t="str">
        <f t="shared" si="29"/>
        <v/>
      </c>
      <c r="AC47" s="18" t="str">
        <f t="shared" si="30"/>
        <v/>
      </c>
      <c r="AD47" s="18" t="str">
        <f t="shared" si="31"/>
        <v/>
      </c>
      <c r="AE47" s="18" t="str">
        <f t="shared" si="32"/>
        <v/>
      </c>
      <c r="AF47" s="18" t="str">
        <f t="shared" si="33"/>
        <v/>
      </c>
      <c r="AG47" s="18" t="str">
        <f t="shared" si="34"/>
        <v/>
      </c>
      <c r="AH47" s="18" t="str">
        <f t="shared" si="35"/>
        <v/>
      </c>
      <c r="AI47" s="18" t="str">
        <f t="shared" si="36"/>
        <v/>
      </c>
      <c r="AJ47" s="18" t="str">
        <f t="shared" si="37"/>
        <v/>
      </c>
      <c r="AK47" s="18" t="str">
        <f t="shared" si="38"/>
        <v/>
      </c>
      <c r="AL47" s="18" t="str">
        <f t="shared" si="39"/>
        <v/>
      </c>
      <c r="AM47" s="18" t="str">
        <f t="shared" si="40"/>
        <v/>
      </c>
      <c r="AN47" s="18" t="str">
        <f t="shared" si="41"/>
        <v/>
      </c>
      <c r="AO47" s="18" t="str">
        <f t="shared" si="42"/>
        <v/>
      </c>
      <c r="AP47" s="18" t="str">
        <f t="shared" si="43"/>
        <v/>
      </c>
      <c r="AR47" s="18" t="str">
        <f t="shared" si="44"/>
        <v/>
      </c>
      <c r="AS47" s="18" t="str">
        <f t="shared" si="45"/>
        <v/>
      </c>
      <c r="AT47" s="18" t="str">
        <f t="shared" si="46"/>
        <v/>
      </c>
      <c r="AU47" s="18" t="str">
        <f t="shared" si="47"/>
        <v/>
      </c>
      <c r="AV47" s="18" t="str">
        <f t="shared" si="48"/>
        <v/>
      </c>
      <c r="AW47" s="18" t="str">
        <f t="shared" si="49"/>
        <v/>
      </c>
      <c r="AX47" s="18" t="str">
        <f t="shared" si="50"/>
        <v/>
      </c>
      <c r="AY47" s="18" t="str">
        <f t="shared" si="51"/>
        <v/>
      </c>
      <c r="AZ47" s="18" t="str">
        <f t="shared" si="52"/>
        <v/>
      </c>
      <c r="BA47" s="18" t="str">
        <f t="shared" si="53"/>
        <v/>
      </c>
      <c r="BB47" s="18" t="str">
        <f t="shared" si="54"/>
        <v/>
      </c>
      <c r="BC47" s="18" t="str">
        <f t="shared" si="55"/>
        <v/>
      </c>
      <c r="BD47" s="18" t="str">
        <f t="shared" si="56"/>
        <v/>
      </c>
      <c r="BE47" s="18" t="str">
        <f t="shared" si="57"/>
        <v/>
      </c>
      <c r="BF47" s="18" t="str">
        <f t="shared" si="58"/>
        <v/>
      </c>
      <c r="BH47" s="18" t="str">
        <f t="shared" si="59"/>
        <v/>
      </c>
      <c r="BI47" s="18" t="str">
        <f t="shared" si="60"/>
        <v/>
      </c>
      <c r="BJ47" s="18" t="str">
        <f t="shared" si="61"/>
        <v/>
      </c>
      <c r="BK47" s="18" t="str">
        <f t="shared" si="62"/>
        <v/>
      </c>
      <c r="BL47" s="18" t="str">
        <f t="shared" si="63"/>
        <v/>
      </c>
      <c r="BM47" s="18" t="str">
        <f t="shared" si="64"/>
        <v/>
      </c>
      <c r="BN47" s="18" t="str">
        <f t="shared" si="65"/>
        <v/>
      </c>
      <c r="BO47" s="18" t="str">
        <f t="shared" si="66"/>
        <v/>
      </c>
      <c r="BP47" s="18" t="str">
        <f t="shared" si="67"/>
        <v/>
      </c>
      <c r="BQ47" s="18" t="str">
        <f t="shared" si="68"/>
        <v/>
      </c>
      <c r="BR47" s="18" t="str">
        <f t="shared" si="69"/>
        <v/>
      </c>
      <c r="BS47" s="18" t="str">
        <f t="shared" si="70"/>
        <v/>
      </c>
      <c r="BT47" s="18" t="str">
        <f t="shared" si="71"/>
        <v/>
      </c>
      <c r="BU47" s="18" t="str">
        <f t="shared" si="72"/>
        <v/>
      </c>
      <c r="BV47" s="18" t="str">
        <f t="shared" si="73"/>
        <v/>
      </c>
      <c r="CC47" s="18" t="str">
        <f t="shared" si="74"/>
        <v/>
      </c>
      <c r="CD47" s="18" t="str">
        <f t="shared" si="75"/>
        <v/>
      </c>
      <c r="CE47" s="18" t="str">
        <f t="shared" si="76"/>
        <v/>
      </c>
      <c r="CF47" s="18" t="str">
        <f t="shared" si="77"/>
        <v/>
      </c>
      <c r="CG47" s="18" t="str">
        <f t="shared" si="78"/>
        <v/>
      </c>
      <c r="CH47" s="18" t="str">
        <f t="shared" si="79"/>
        <v/>
      </c>
      <c r="CI47" s="18" t="str">
        <f t="shared" si="80"/>
        <v/>
      </c>
      <c r="CJ47" s="18" t="str">
        <f t="shared" si="81"/>
        <v/>
      </c>
      <c r="CK47" s="18" t="str">
        <f t="shared" si="82"/>
        <v/>
      </c>
      <c r="CL47" s="18" t="str">
        <f t="shared" si="83"/>
        <v/>
      </c>
      <c r="CM47" s="18" t="str">
        <f t="shared" si="84"/>
        <v/>
      </c>
      <c r="CN47" s="18" t="str">
        <f t="shared" si="85"/>
        <v/>
      </c>
      <c r="CO47" s="18" t="str">
        <f t="shared" si="86"/>
        <v/>
      </c>
      <c r="CP47" s="18" t="str">
        <f t="shared" si="87"/>
        <v/>
      </c>
      <c r="CQ47" s="18" t="str">
        <f t="shared" si="88"/>
        <v/>
      </c>
    </row>
    <row r="48" spans="1:95" x14ac:dyDescent="0.3">
      <c r="A48" s="161" t="s">
        <v>282</v>
      </c>
      <c r="B48" s="191" t="s">
        <v>297</v>
      </c>
      <c r="C48" s="286" t="s">
        <v>382</v>
      </c>
      <c r="D48" s="162">
        <v>0</v>
      </c>
      <c r="E48" s="163">
        <v>15</v>
      </c>
      <c r="F48" s="164">
        <v>-0.08</v>
      </c>
      <c r="G48" s="162">
        <f t="shared" si="90"/>
        <v>14.999919999999999</v>
      </c>
      <c r="H48" s="162">
        <v>0.11</v>
      </c>
      <c r="I48" s="277" t="s">
        <v>368</v>
      </c>
      <c r="J48" s="162" t="s">
        <v>276</v>
      </c>
      <c r="K48" s="248"/>
      <c r="L48" s="250"/>
      <c r="M48" s="250"/>
      <c r="N48" s="250"/>
      <c r="O48" s="250"/>
      <c r="P48" s="250"/>
      <c r="Q48" s="251"/>
      <c r="R48" s="251"/>
      <c r="S48" s="251"/>
      <c r="T48" s="251"/>
      <c r="U48" s="251"/>
      <c r="V48" s="250"/>
      <c r="W48" s="250"/>
      <c r="X48" s="250"/>
      <c r="Y48" s="250"/>
      <c r="Z48" s="250"/>
      <c r="AB48" s="18" t="str">
        <f t="shared" si="29"/>
        <v/>
      </c>
      <c r="AC48" s="18" t="str">
        <f t="shared" si="30"/>
        <v/>
      </c>
      <c r="AD48" s="18" t="str">
        <f t="shared" si="31"/>
        <v/>
      </c>
      <c r="AE48" s="18" t="str">
        <f t="shared" si="32"/>
        <v/>
      </c>
      <c r="AF48" s="18" t="str">
        <f t="shared" si="33"/>
        <v/>
      </c>
      <c r="AG48" s="18" t="str">
        <f t="shared" si="34"/>
        <v/>
      </c>
      <c r="AH48" s="18" t="str">
        <f t="shared" si="35"/>
        <v/>
      </c>
      <c r="AI48" s="18" t="str">
        <f t="shared" si="36"/>
        <v/>
      </c>
      <c r="AJ48" s="18" t="str">
        <f t="shared" si="37"/>
        <v/>
      </c>
      <c r="AK48" s="18" t="str">
        <f t="shared" si="38"/>
        <v/>
      </c>
      <c r="AL48" s="18" t="str">
        <f t="shared" si="39"/>
        <v/>
      </c>
      <c r="AM48" s="18" t="str">
        <f t="shared" si="40"/>
        <v/>
      </c>
      <c r="AN48" s="18" t="str">
        <f t="shared" si="41"/>
        <v/>
      </c>
      <c r="AO48" s="18" t="str">
        <f t="shared" si="42"/>
        <v/>
      </c>
      <c r="AP48" s="18" t="str">
        <f t="shared" si="43"/>
        <v/>
      </c>
      <c r="AR48" s="18" t="str">
        <f t="shared" si="44"/>
        <v/>
      </c>
      <c r="AS48" s="18" t="str">
        <f t="shared" si="45"/>
        <v/>
      </c>
      <c r="AT48" s="18" t="str">
        <f t="shared" si="46"/>
        <v/>
      </c>
      <c r="AU48" s="18" t="str">
        <f t="shared" si="47"/>
        <v/>
      </c>
      <c r="AV48" s="18" t="str">
        <f t="shared" si="48"/>
        <v/>
      </c>
      <c r="AW48" s="18" t="str">
        <f t="shared" si="49"/>
        <v/>
      </c>
      <c r="AX48" s="18" t="str">
        <f t="shared" si="50"/>
        <v/>
      </c>
      <c r="AY48" s="18" t="str">
        <f t="shared" si="51"/>
        <v/>
      </c>
      <c r="AZ48" s="18" t="str">
        <f t="shared" si="52"/>
        <v/>
      </c>
      <c r="BA48" s="18" t="str">
        <f t="shared" si="53"/>
        <v/>
      </c>
      <c r="BB48" s="18" t="str">
        <f t="shared" si="54"/>
        <v/>
      </c>
      <c r="BC48" s="18" t="str">
        <f t="shared" si="55"/>
        <v/>
      </c>
      <c r="BD48" s="18" t="str">
        <f t="shared" si="56"/>
        <v/>
      </c>
      <c r="BE48" s="18" t="str">
        <f t="shared" si="57"/>
        <v/>
      </c>
      <c r="BF48" s="18" t="str">
        <f t="shared" si="58"/>
        <v/>
      </c>
      <c r="BH48" s="18" t="str">
        <f t="shared" si="59"/>
        <v/>
      </c>
      <c r="BI48" s="18" t="str">
        <f t="shared" si="60"/>
        <v/>
      </c>
      <c r="BJ48" s="18" t="str">
        <f t="shared" si="61"/>
        <v/>
      </c>
      <c r="BK48" s="18" t="str">
        <f t="shared" si="62"/>
        <v/>
      </c>
      <c r="BL48" s="18" t="str">
        <f t="shared" si="63"/>
        <v/>
      </c>
      <c r="BM48" s="18" t="str">
        <f t="shared" si="64"/>
        <v/>
      </c>
      <c r="BN48" s="18" t="str">
        <f t="shared" si="65"/>
        <v/>
      </c>
      <c r="BO48" s="18" t="str">
        <f t="shared" si="66"/>
        <v/>
      </c>
      <c r="BP48" s="18" t="str">
        <f t="shared" si="67"/>
        <v/>
      </c>
      <c r="BQ48" s="18" t="str">
        <f t="shared" si="68"/>
        <v/>
      </c>
      <c r="BR48" s="18" t="str">
        <f t="shared" si="69"/>
        <v/>
      </c>
      <c r="BS48" s="18" t="str">
        <f t="shared" si="70"/>
        <v/>
      </c>
      <c r="BT48" s="18" t="str">
        <f t="shared" si="71"/>
        <v/>
      </c>
      <c r="BU48" s="18" t="str">
        <f t="shared" si="72"/>
        <v/>
      </c>
      <c r="BV48" s="18" t="str">
        <f t="shared" si="73"/>
        <v/>
      </c>
      <c r="CC48" s="18" t="str">
        <f t="shared" si="74"/>
        <v/>
      </c>
      <c r="CD48" s="18" t="str">
        <f t="shared" si="75"/>
        <v/>
      </c>
      <c r="CE48" s="18" t="str">
        <f t="shared" si="76"/>
        <v/>
      </c>
      <c r="CF48" s="18" t="str">
        <f t="shared" si="77"/>
        <v/>
      </c>
      <c r="CG48" s="18" t="str">
        <f t="shared" si="78"/>
        <v/>
      </c>
      <c r="CH48" s="18" t="str">
        <f t="shared" si="79"/>
        <v/>
      </c>
      <c r="CI48" s="18" t="str">
        <f t="shared" si="80"/>
        <v/>
      </c>
      <c r="CJ48" s="18" t="str">
        <f t="shared" si="81"/>
        <v/>
      </c>
      <c r="CK48" s="18" t="str">
        <f t="shared" si="82"/>
        <v/>
      </c>
      <c r="CL48" s="18" t="str">
        <f t="shared" si="83"/>
        <v/>
      </c>
      <c r="CM48" s="18" t="str">
        <f t="shared" si="84"/>
        <v/>
      </c>
      <c r="CN48" s="18" t="str">
        <f t="shared" si="85"/>
        <v/>
      </c>
      <c r="CO48" s="18" t="str">
        <f t="shared" si="86"/>
        <v/>
      </c>
      <c r="CP48" s="18" t="str">
        <f t="shared" si="87"/>
        <v/>
      </c>
      <c r="CQ48" s="18" t="str">
        <f t="shared" si="88"/>
        <v/>
      </c>
    </row>
    <row r="49" spans="1:95" ht="14.4" thickBot="1" x14ac:dyDescent="0.35">
      <c r="A49" s="161" t="s">
        <v>282</v>
      </c>
      <c r="B49" s="191" t="s">
        <v>297</v>
      </c>
      <c r="C49" s="286" t="s">
        <v>382</v>
      </c>
      <c r="D49" s="162">
        <v>0</v>
      </c>
      <c r="E49" s="163">
        <v>20</v>
      </c>
      <c r="F49" s="164">
        <v>-0.08</v>
      </c>
      <c r="G49" s="162">
        <f t="shared" si="90"/>
        <v>19.999919999999999</v>
      </c>
      <c r="H49" s="162">
        <v>0.12</v>
      </c>
      <c r="I49" s="277" t="s">
        <v>368</v>
      </c>
      <c r="J49" s="162" t="s">
        <v>276</v>
      </c>
      <c r="K49" s="248"/>
      <c r="L49" s="252"/>
      <c r="M49" s="252"/>
      <c r="N49" s="252"/>
      <c r="O49" s="252"/>
      <c r="P49" s="252"/>
      <c r="Q49" s="253"/>
      <c r="R49" s="253"/>
      <c r="S49" s="253"/>
      <c r="T49" s="253"/>
      <c r="U49" s="253"/>
      <c r="V49" s="252"/>
      <c r="W49" s="252"/>
      <c r="X49" s="252"/>
      <c r="Y49" s="252"/>
      <c r="Z49" s="252"/>
      <c r="AB49" s="18" t="str">
        <f t="shared" si="29"/>
        <v/>
      </c>
      <c r="AC49" s="18" t="str">
        <f t="shared" si="30"/>
        <v/>
      </c>
      <c r="AD49" s="18" t="str">
        <f t="shared" si="31"/>
        <v/>
      </c>
      <c r="AE49" s="18" t="str">
        <f t="shared" si="32"/>
        <v/>
      </c>
      <c r="AF49" s="18" t="str">
        <f t="shared" si="33"/>
        <v/>
      </c>
      <c r="AG49" s="18" t="str">
        <f t="shared" si="34"/>
        <v/>
      </c>
      <c r="AH49" s="18" t="str">
        <f t="shared" si="35"/>
        <v/>
      </c>
      <c r="AI49" s="18" t="str">
        <f t="shared" si="36"/>
        <v/>
      </c>
      <c r="AJ49" s="18" t="str">
        <f t="shared" si="37"/>
        <v/>
      </c>
      <c r="AK49" s="18" t="str">
        <f t="shared" si="38"/>
        <v/>
      </c>
      <c r="AL49" s="18" t="str">
        <f t="shared" si="39"/>
        <v/>
      </c>
      <c r="AM49" s="18" t="str">
        <f t="shared" si="40"/>
        <v/>
      </c>
      <c r="AN49" s="18" t="str">
        <f t="shared" si="41"/>
        <v/>
      </c>
      <c r="AO49" s="18" t="str">
        <f t="shared" si="42"/>
        <v/>
      </c>
      <c r="AP49" s="18" t="str">
        <f t="shared" si="43"/>
        <v/>
      </c>
      <c r="AR49" s="18" t="str">
        <f t="shared" si="44"/>
        <v/>
      </c>
      <c r="AS49" s="18" t="str">
        <f t="shared" si="45"/>
        <v/>
      </c>
      <c r="AT49" s="18" t="str">
        <f t="shared" si="46"/>
        <v/>
      </c>
      <c r="AU49" s="18" t="str">
        <f t="shared" si="47"/>
        <v/>
      </c>
      <c r="AV49" s="18" t="str">
        <f t="shared" si="48"/>
        <v/>
      </c>
      <c r="AW49" s="18" t="str">
        <f t="shared" si="49"/>
        <v/>
      </c>
      <c r="AX49" s="18" t="str">
        <f t="shared" si="50"/>
        <v/>
      </c>
      <c r="AY49" s="18" t="str">
        <f t="shared" si="51"/>
        <v/>
      </c>
      <c r="AZ49" s="18" t="str">
        <f t="shared" si="52"/>
        <v/>
      </c>
      <c r="BA49" s="18" t="str">
        <f t="shared" si="53"/>
        <v/>
      </c>
      <c r="BB49" s="18" t="str">
        <f t="shared" si="54"/>
        <v/>
      </c>
      <c r="BC49" s="18" t="str">
        <f t="shared" si="55"/>
        <v/>
      </c>
      <c r="BD49" s="18" t="str">
        <f t="shared" si="56"/>
        <v/>
      </c>
      <c r="BE49" s="18" t="str">
        <f t="shared" si="57"/>
        <v/>
      </c>
      <c r="BF49" s="18" t="str">
        <f t="shared" si="58"/>
        <v/>
      </c>
      <c r="BH49" s="18" t="str">
        <f t="shared" si="59"/>
        <v/>
      </c>
      <c r="BI49" s="18" t="str">
        <f t="shared" si="60"/>
        <v/>
      </c>
      <c r="BJ49" s="18" t="str">
        <f t="shared" si="61"/>
        <v/>
      </c>
      <c r="BK49" s="18" t="str">
        <f t="shared" si="62"/>
        <v/>
      </c>
      <c r="BL49" s="18" t="str">
        <f t="shared" si="63"/>
        <v/>
      </c>
      <c r="BM49" s="18" t="str">
        <f t="shared" si="64"/>
        <v/>
      </c>
      <c r="BN49" s="18" t="str">
        <f t="shared" si="65"/>
        <v/>
      </c>
      <c r="BO49" s="18" t="str">
        <f t="shared" si="66"/>
        <v/>
      </c>
      <c r="BP49" s="18" t="str">
        <f t="shared" si="67"/>
        <v/>
      </c>
      <c r="BQ49" s="18" t="str">
        <f t="shared" si="68"/>
        <v/>
      </c>
      <c r="BR49" s="18" t="str">
        <f t="shared" si="69"/>
        <v/>
      </c>
      <c r="BS49" s="18" t="str">
        <f t="shared" si="70"/>
        <v/>
      </c>
      <c r="BT49" s="18" t="str">
        <f t="shared" si="71"/>
        <v/>
      </c>
      <c r="BU49" s="18" t="str">
        <f t="shared" si="72"/>
        <v/>
      </c>
      <c r="BV49" s="18" t="str">
        <f t="shared" si="73"/>
        <v/>
      </c>
      <c r="CC49" s="18" t="str">
        <f t="shared" si="74"/>
        <v/>
      </c>
      <c r="CD49" s="18" t="str">
        <f t="shared" si="75"/>
        <v/>
      </c>
      <c r="CE49" s="18" t="str">
        <f t="shared" si="76"/>
        <v/>
      </c>
      <c r="CF49" s="18" t="str">
        <f t="shared" si="77"/>
        <v/>
      </c>
      <c r="CG49" s="18" t="str">
        <f t="shared" si="78"/>
        <v/>
      </c>
      <c r="CH49" s="18" t="str">
        <f t="shared" si="79"/>
        <v/>
      </c>
      <c r="CI49" s="18" t="str">
        <f t="shared" si="80"/>
        <v/>
      </c>
      <c r="CJ49" s="18" t="str">
        <f t="shared" si="81"/>
        <v/>
      </c>
      <c r="CK49" s="18" t="str">
        <f t="shared" si="82"/>
        <v/>
      </c>
      <c r="CL49" s="18" t="str">
        <f t="shared" si="83"/>
        <v/>
      </c>
      <c r="CM49" s="18" t="str">
        <f t="shared" si="84"/>
        <v/>
      </c>
      <c r="CN49" s="18" t="str">
        <f t="shared" si="85"/>
        <v/>
      </c>
      <c r="CO49" s="18" t="str">
        <f t="shared" si="86"/>
        <v/>
      </c>
      <c r="CP49" s="18" t="str">
        <f t="shared" si="87"/>
        <v/>
      </c>
      <c r="CQ49" s="18" t="str">
        <f t="shared" si="88"/>
        <v/>
      </c>
    </row>
    <row r="50" spans="1:95" ht="14.4" thickTop="1" x14ac:dyDescent="0.3">
      <c r="A50" s="213" t="s">
        <v>321</v>
      </c>
      <c r="B50" s="214" t="str">
        <f>""</f>
        <v/>
      </c>
      <c r="C50" s="214"/>
      <c r="D50" s="213" t="s">
        <v>292</v>
      </c>
      <c r="E50" s="215">
        <f>'INPUT DATA'!C75*'TABEL DATA'!M5</f>
        <v>0</v>
      </c>
      <c r="F50" s="216">
        <v>0</v>
      </c>
      <c r="G50" s="217">
        <f>E50+F50/1000</f>
        <v>0</v>
      </c>
      <c r="H50" s="218">
        <v>0</v>
      </c>
      <c r="I50" s="213" t="str">
        <f>""</f>
        <v/>
      </c>
      <c r="J50" s="213" t="str">
        <f>""</f>
        <v/>
      </c>
      <c r="K50" s="248"/>
      <c r="L50" s="254"/>
      <c r="M50" s="254"/>
      <c r="N50" s="254"/>
      <c r="O50" s="254"/>
      <c r="P50" s="254"/>
      <c r="Q50" s="255"/>
      <c r="R50" s="255"/>
      <c r="S50" s="255"/>
      <c r="T50" s="255"/>
      <c r="U50" s="255"/>
      <c r="V50" s="254"/>
      <c r="W50" s="254"/>
      <c r="X50" s="254"/>
      <c r="Y50" s="254"/>
      <c r="Z50" s="254"/>
      <c r="AB50" s="18" t="str">
        <f t="shared" si="29"/>
        <v/>
      </c>
      <c r="AC50" s="18" t="str">
        <f t="shared" si="30"/>
        <v/>
      </c>
      <c r="AD50" s="18" t="str">
        <f t="shared" si="31"/>
        <v/>
      </c>
      <c r="AE50" s="18" t="str">
        <f t="shared" si="32"/>
        <v/>
      </c>
      <c r="AF50" s="18" t="str">
        <f t="shared" si="33"/>
        <v/>
      </c>
      <c r="AG50" s="18" t="str">
        <f t="shared" si="34"/>
        <v/>
      </c>
      <c r="AH50" s="18" t="str">
        <f t="shared" si="35"/>
        <v/>
      </c>
      <c r="AI50" s="18" t="str">
        <f t="shared" si="36"/>
        <v/>
      </c>
      <c r="AJ50" s="18" t="str">
        <f t="shared" si="37"/>
        <v/>
      </c>
      <c r="AK50" s="18" t="str">
        <f t="shared" si="38"/>
        <v/>
      </c>
      <c r="AL50" s="18" t="str">
        <f t="shared" si="39"/>
        <v/>
      </c>
      <c r="AM50" s="18" t="str">
        <f t="shared" si="40"/>
        <v/>
      </c>
      <c r="AN50" s="18" t="str">
        <f t="shared" si="41"/>
        <v/>
      </c>
      <c r="AO50" s="18" t="str">
        <f t="shared" si="42"/>
        <v/>
      </c>
      <c r="AP50" s="18" t="str">
        <f t="shared" si="43"/>
        <v/>
      </c>
      <c r="AR50" s="18" t="str">
        <f t="shared" si="44"/>
        <v/>
      </c>
      <c r="AS50" s="18" t="str">
        <f t="shared" si="45"/>
        <v/>
      </c>
      <c r="AT50" s="18" t="str">
        <f t="shared" si="46"/>
        <v/>
      </c>
      <c r="AU50" s="18" t="str">
        <f t="shared" si="47"/>
        <v/>
      </c>
      <c r="AV50" s="18" t="str">
        <f t="shared" si="48"/>
        <v/>
      </c>
      <c r="AW50" s="18" t="str">
        <f t="shared" si="49"/>
        <v/>
      </c>
      <c r="AX50" s="18" t="str">
        <f t="shared" si="50"/>
        <v/>
      </c>
      <c r="AY50" s="18" t="str">
        <f t="shared" si="51"/>
        <v/>
      </c>
      <c r="AZ50" s="18" t="str">
        <f t="shared" si="52"/>
        <v/>
      </c>
      <c r="BA50" s="18" t="str">
        <f t="shared" si="53"/>
        <v/>
      </c>
      <c r="BB50" s="18" t="str">
        <f t="shared" si="54"/>
        <v/>
      </c>
      <c r="BC50" s="18" t="str">
        <f t="shared" si="55"/>
        <v/>
      </c>
      <c r="BD50" s="18" t="str">
        <f t="shared" si="56"/>
        <v/>
      </c>
      <c r="BE50" s="18" t="str">
        <f t="shared" si="57"/>
        <v/>
      </c>
      <c r="BF50" s="18" t="str">
        <f t="shared" si="58"/>
        <v/>
      </c>
      <c r="BH50" s="18" t="str">
        <f t="shared" si="59"/>
        <v/>
      </c>
      <c r="BI50" s="18" t="str">
        <f t="shared" si="60"/>
        <v/>
      </c>
      <c r="BJ50" s="18" t="str">
        <f t="shared" si="61"/>
        <v/>
      </c>
      <c r="BK50" s="18" t="str">
        <f t="shared" si="62"/>
        <v/>
      </c>
      <c r="BL50" s="18" t="str">
        <f t="shared" si="63"/>
        <v/>
      </c>
      <c r="BM50" s="18" t="str">
        <f t="shared" si="64"/>
        <v/>
      </c>
      <c r="BN50" s="18" t="str">
        <f t="shared" si="65"/>
        <v/>
      </c>
      <c r="BO50" s="18" t="str">
        <f t="shared" si="66"/>
        <v/>
      </c>
      <c r="BP50" s="18" t="str">
        <f t="shared" si="67"/>
        <v/>
      </c>
      <c r="BQ50" s="18" t="str">
        <f t="shared" si="68"/>
        <v/>
      </c>
      <c r="BR50" s="18" t="str">
        <f t="shared" si="69"/>
        <v/>
      </c>
      <c r="BS50" s="18" t="str">
        <f t="shared" si="70"/>
        <v/>
      </c>
      <c r="BT50" s="18" t="str">
        <f t="shared" si="71"/>
        <v/>
      </c>
      <c r="BU50" s="18" t="str">
        <f t="shared" si="72"/>
        <v/>
      </c>
      <c r="BV50" s="18" t="str">
        <f t="shared" si="73"/>
        <v/>
      </c>
      <c r="CC50" s="18" t="str">
        <f>IF(L50="x",$B50,"")</f>
        <v/>
      </c>
      <c r="CD50" s="18" t="str">
        <f t="shared" si="75"/>
        <v/>
      </c>
      <c r="CE50" s="18" t="str">
        <f t="shared" si="76"/>
        <v/>
      </c>
      <c r="CF50" s="18" t="str">
        <f t="shared" si="77"/>
        <v/>
      </c>
      <c r="CG50" s="18" t="str">
        <f t="shared" si="78"/>
        <v/>
      </c>
      <c r="CH50" s="18" t="str">
        <f t="shared" si="79"/>
        <v/>
      </c>
      <c r="CI50" s="18" t="str">
        <f t="shared" si="80"/>
        <v/>
      </c>
      <c r="CJ50" s="18" t="str">
        <f t="shared" si="81"/>
        <v/>
      </c>
      <c r="CK50" s="18" t="str">
        <f t="shared" si="82"/>
        <v/>
      </c>
      <c r="CL50" s="18" t="str">
        <f t="shared" si="83"/>
        <v/>
      </c>
      <c r="CM50" s="18" t="str">
        <f t="shared" si="84"/>
        <v/>
      </c>
      <c r="CN50" s="18" t="str">
        <f t="shared" si="85"/>
        <v/>
      </c>
      <c r="CO50" s="18" t="str">
        <f t="shared" si="86"/>
        <v/>
      </c>
      <c r="CP50" s="18" t="str">
        <f t="shared" si="87"/>
        <v/>
      </c>
      <c r="CQ50" s="18" t="str">
        <f t="shared" si="88"/>
        <v/>
      </c>
    </row>
    <row r="51" spans="1:95" hidden="1" x14ac:dyDescent="0.3">
      <c r="A51" s="18"/>
      <c r="B51" s="160"/>
      <c r="C51" s="160"/>
      <c r="D51" s="18"/>
      <c r="E51" s="157"/>
      <c r="F51" s="18"/>
      <c r="G51" s="18"/>
      <c r="H51" s="18"/>
      <c r="I51" s="18"/>
      <c r="J51" s="18"/>
      <c r="K51" s="248"/>
      <c r="L51" s="250"/>
      <c r="M51" s="250"/>
      <c r="N51" s="250"/>
      <c r="O51" s="250"/>
      <c r="P51" s="250"/>
      <c r="Q51" s="251"/>
      <c r="R51" s="251"/>
      <c r="S51" s="251"/>
      <c r="T51" s="251"/>
      <c r="U51" s="251"/>
      <c r="V51" s="250"/>
      <c r="W51" s="250"/>
      <c r="X51" s="250"/>
      <c r="Y51" s="250"/>
      <c r="Z51" s="250"/>
      <c r="AB51" s="18" t="str">
        <f t="shared" si="29"/>
        <v/>
      </c>
      <c r="AC51" s="18" t="str">
        <f t="shared" si="30"/>
        <v/>
      </c>
      <c r="AD51" s="18" t="str">
        <f t="shared" si="31"/>
        <v/>
      </c>
      <c r="AE51" s="18" t="str">
        <f t="shared" si="32"/>
        <v/>
      </c>
      <c r="AF51" s="18" t="str">
        <f t="shared" si="33"/>
        <v/>
      </c>
      <c r="AG51" s="18" t="str">
        <f t="shared" si="34"/>
        <v/>
      </c>
      <c r="AH51" s="18" t="str">
        <f t="shared" si="35"/>
        <v/>
      </c>
      <c r="AI51" s="18" t="str">
        <f t="shared" si="36"/>
        <v/>
      </c>
      <c r="AJ51" s="18" t="str">
        <f t="shared" si="37"/>
        <v/>
      </c>
      <c r="AK51" s="18" t="str">
        <f t="shared" si="38"/>
        <v/>
      </c>
      <c r="AL51" s="18" t="str">
        <f t="shared" si="39"/>
        <v/>
      </c>
      <c r="AM51" s="18" t="str">
        <f t="shared" si="40"/>
        <v/>
      </c>
      <c r="AN51" s="18" t="str">
        <f t="shared" si="41"/>
        <v/>
      </c>
      <c r="AO51" s="18" t="str">
        <f t="shared" si="42"/>
        <v/>
      </c>
      <c r="AP51" s="18" t="str">
        <f t="shared" si="43"/>
        <v/>
      </c>
      <c r="AR51" s="18" t="str">
        <f t="shared" si="44"/>
        <v/>
      </c>
      <c r="AS51" s="18" t="str">
        <f t="shared" si="45"/>
        <v/>
      </c>
      <c r="AT51" s="18" t="str">
        <f t="shared" si="46"/>
        <v/>
      </c>
      <c r="AU51" s="18" t="str">
        <f t="shared" si="47"/>
        <v/>
      </c>
      <c r="AV51" s="18" t="str">
        <f t="shared" si="48"/>
        <v/>
      </c>
      <c r="AW51" s="18" t="str">
        <f t="shared" si="49"/>
        <v/>
      </c>
      <c r="AX51" s="18" t="str">
        <f t="shared" si="50"/>
        <v/>
      </c>
      <c r="AY51" s="18" t="str">
        <f t="shared" si="51"/>
        <v/>
      </c>
      <c r="AZ51" s="18" t="str">
        <f t="shared" si="52"/>
        <v/>
      </c>
      <c r="BA51" s="18" t="str">
        <f t="shared" si="53"/>
        <v/>
      </c>
      <c r="BB51" s="18" t="str">
        <f t="shared" si="54"/>
        <v/>
      </c>
      <c r="BC51" s="18" t="str">
        <f t="shared" si="55"/>
        <v/>
      </c>
      <c r="BD51" s="18" t="str">
        <f t="shared" si="56"/>
        <v/>
      </c>
      <c r="BE51" s="18" t="str">
        <f t="shared" si="57"/>
        <v/>
      </c>
      <c r="BF51" s="18" t="str">
        <f t="shared" si="58"/>
        <v/>
      </c>
      <c r="BH51" s="18" t="str">
        <f t="shared" si="59"/>
        <v/>
      </c>
      <c r="BI51" s="18" t="str">
        <f t="shared" si="60"/>
        <v/>
      </c>
      <c r="BJ51" s="18" t="str">
        <f t="shared" si="61"/>
        <v/>
      </c>
      <c r="BK51" s="18" t="str">
        <f t="shared" si="62"/>
        <v/>
      </c>
      <c r="BL51" s="18" t="str">
        <f t="shared" si="63"/>
        <v/>
      </c>
      <c r="BM51" s="18" t="str">
        <f t="shared" si="64"/>
        <v/>
      </c>
      <c r="BN51" s="18" t="str">
        <f t="shared" si="65"/>
        <v/>
      </c>
      <c r="BO51" s="18" t="str">
        <f t="shared" si="66"/>
        <v/>
      </c>
      <c r="BP51" s="18" t="str">
        <f t="shared" si="67"/>
        <v/>
      </c>
      <c r="BQ51" s="18" t="str">
        <f t="shared" si="68"/>
        <v/>
      </c>
      <c r="BR51" s="18" t="str">
        <f t="shared" si="69"/>
        <v/>
      </c>
      <c r="BS51" s="18" t="str">
        <f t="shared" si="70"/>
        <v/>
      </c>
      <c r="BT51" s="18" t="str">
        <f t="shared" si="71"/>
        <v/>
      </c>
      <c r="BU51" s="18" t="str">
        <f t="shared" si="72"/>
        <v/>
      </c>
      <c r="BV51" s="18" t="str">
        <f t="shared" si="73"/>
        <v/>
      </c>
      <c r="CC51" s="18" t="str">
        <f t="shared" si="74"/>
        <v/>
      </c>
      <c r="CD51" s="18" t="str">
        <f t="shared" si="75"/>
        <v/>
      </c>
      <c r="CE51" s="18" t="str">
        <f t="shared" si="76"/>
        <v/>
      </c>
      <c r="CF51" s="18" t="str">
        <f t="shared" si="77"/>
        <v/>
      </c>
      <c r="CG51" s="18" t="str">
        <f t="shared" si="78"/>
        <v/>
      </c>
      <c r="CH51" s="18" t="str">
        <f t="shared" si="79"/>
        <v/>
      </c>
      <c r="CI51" s="18" t="str">
        <f t="shared" si="80"/>
        <v/>
      </c>
      <c r="CJ51" s="18" t="str">
        <f t="shared" si="81"/>
        <v/>
      </c>
      <c r="CK51" s="18" t="str">
        <f t="shared" si="82"/>
        <v/>
      </c>
      <c r="CL51" s="18" t="str">
        <f t="shared" si="83"/>
        <v/>
      </c>
      <c r="CM51" s="18" t="str">
        <f t="shared" si="84"/>
        <v/>
      </c>
      <c r="CN51" s="18" t="str">
        <f t="shared" si="85"/>
        <v/>
      </c>
      <c r="CO51" s="18" t="str">
        <f t="shared" si="86"/>
        <v/>
      </c>
      <c r="CP51" s="18" t="str">
        <f t="shared" si="87"/>
        <v/>
      </c>
      <c r="CQ51" s="18" t="str">
        <f t="shared" si="88"/>
        <v/>
      </c>
    </row>
    <row r="52" spans="1:95" hidden="1" x14ac:dyDescent="0.3">
      <c r="A52" s="18"/>
      <c r="B52" s="160"/>
      <c r="C52" s="160"/>
      <c r="D52" s="18"/>
      <c r="E52" s="157"/>
      <c r="F52" s="18"/>
      <c r="G52" s="18"/>
      <c r="H52" s="18"/>
      <c r="I52" s="18"/>
      <c r="J52" s="18"/>
      <c r="K52" s="248"/>
      <c r="L52" s="250"/>
      <c r="M52" s="250"/>
      <c r="N52" s="250"/>
      <c r="O52" s="250"/>
      <c r="P52" s="250"/>
      <c r="Q52" s="251"/>
      <c r="R52" s="251"/>
      <c r="S52" s="251"/>
      <c r="T52" s="251"/>
      <c r="U52" s="251"/>
      <c r="V52" s="250"/>
      <c r="W52" s="250"/>
      <c r="X52" s="250"/>
      <c r="Y52" s="250"/>
      <c r="Z52" s="250"/>
      <c r="AB52" s="18" t="str">
        <f t="shared" si="29"/>
        <v/>
      </c>
      <c r="AC52" s="18" t="str">
        <f t="shared" si="30"/>
        <v/>
      </c>
      <c r="AD52" s="18" t="str">
        <f t="shared" si="31"/>
        <v/>
      </c>
      <c r="AE52" s="18" t="str">
        <f t="shared" si="32"/>
        <v/>
      </c>
      <c r="AF52" s="18" t="str">
        <f t="shared" si="33"/>
        <v/>
      </c>
      <c r="AG52" s="18" t="str">
        <f t="shared" si="34"/>
        <v/>
      </c>
      <c r="AH52" s="18" t="str">
        <f t="shared" si="35"/>
        <v/>
      </c>
      <c r="AI52" s="18" t="str">
        <f t="shared" si="36"/>
        <v/>
      </c>
      <c r="AJ52" s="18" t="str">
        <f t="shared" si="37"/>
        <v/>
      </c>
      <c r="AK52" s="18" t="str">
        <f t="shared" si="38"/>
        <v/>
      </c>
      <c r="AL52" s="18" t="str">
        <f t="shared" si="39"/>
        <v/>
      </c>
      <c r="AM52" s="18" t="str">
        <f t="shared" si="40"/>
        <v/>
      </c>
      <c r="AN52" s="18" t="str">
        <f t="shared" si="41"/>
        <v/>
      </c>
      <c r="AO52" s="18" t="str">
        <f t="shared" si="42"/>
        <v/>
      </c>
      <c r="AP52" s="18" t="str">
        <f t="shared" si="43"/>
        <v/>
      </c>
      <c r="AR52" s="18" t="str">
        <f t="shared" si="44"/>
        <v/>
      </c>
      <c r="AS52" s="18" t="str">
        <f t="shared" si="45"/>
        <v/>
      </c>
      <c r="AT52" s="18" t="str">
        <f t="shared" si="46"/>
        <v/>
      </c>
      <c r="AU52" s="18" t="str">
        <f t="shared" si="47"/>
        <v/>
      </c>
      <c r="AV52" s="18" t="str">
        <f t="shared" si="48"/>
        <v/>
      </c>
      <c r="AW52" s="18" t="str">
        <f t="shared" si="49"/>
        <v/>
      </c>
      <c r="AX52" s="18" t="str">
        <f t="shared" si="50"/>
        <v/>
      </c>
      <c r="AY52" s="18" t="str">
        <f t="shared" si="51"/>
        <v/>
      </c>
      <c r="AZ52" s="18" t="str">
        <f t="shared" si="52"/>
        <v/>
      </c>
      <c r="BA52" s="18" t="str">
        <f t="shared" si="53"/>
        <v/>
      </c>
      <c r="BB52" s="18" t="str">
        <f t="shared" si="54"/>
        <v/>
      </c>
      <c r="BC52" s="18" t="str">
        <f t="shared" si="55"/>
        <v/>
      </c>
      <c r="BD52" s="18" t="str">
        <f t="shared" si="56"/>
        <v/>
      </c>
      <c r="BE52" s="18" t="str">
        <f t="shared" si="57"/>
        <v/>
      </c>
      <c r="BF52" s="18" t="str">
        <f t="shared" si="58"/>
        <v/>
      </c>
      <c r="BH52" s="18" t="str">
        <f t="shared" si="59"/>
        <v/>
      </c>
      <c r="BI52" s="18" t="str">
        <f t="shared" si="60"/>
        <v/>
      </c>
      <c r="BJ52" s="18" t="str">
        <f t="shared" si="61"/>
        <v/>
      </c>
      <c r="BK52" s="18" t="str">
        <f t="shared" si="62"/>
        <v/>
      </c>
      <c r="BL52" s="18" t="str">
        <f t="shared" si="63"/>
        <v/>
      </c>
      <c r="BM52" s="18" t="str">
        <f t="shared" si="64"/>
        <v/>
      </c>
      <c r="BN52" s="18" t="str">
        <f t="shared" si="65"/>
        <v/>
      </c>
      <c r="BO52" s="18" t="str">
        <f t="shared" si="66"/>
        <v/>
      </c>
      <c r="BP52" s="18" t="str">
        <f t="shared" si="67"/>
        <v/>
      </c>
      <c r="BQ52" s="18" t="str">
        <f t="shared" si="68"/>
        <v/>
      </c>
      <c r="BR52" s="18" t="str">
        <f t="shared" si="69"/>
        <v/>
      </c>
      <c r="BS52" s="18" t="str">
        <f t="shared" si="70"/>
        <v/>
      </c>
      <c r="BT52" s="18" t="str">
        <f t="shared" si="71"/>
        <v/>
      </c>
      <c r="BU52" s="18" t="str">
        <f t="shared" si="72"/>
        <v/>
      </c>
      <c r="BV52" s="18" t="str">
        <f t="shared" si="73"/>
        <v/>
      </c>
      <c r="CC52" s="18" t="str">
        <f t="shared" si="74"/>
        <v/>
      </c>
      <c r="CD52" s="18" t="str">
        <f t="shared" si="75"/>
        <v/>
      </c>
      <c r="CE52" s="18" t="str">
        <f t="shared" si="76"/>
        <v/>
      </c>
      <c r="CF52" s="18" t="str">
        <f t="shared" si="77"/>
        <v/>
      </c>
      <c r="CG52" s="18" t="str">
        <f t="shared" si="78"/>
        <v/>
      </c>
      <c r="CH52" s="18" t="str">
        <f t="shared" si="79"/>
        <v/>
      </c>
      <c r="CI52" s="18" t="str">
        <f t="shared" si="80"/>
        <v/>
      </c>
      <c r="CJ52" s="18" t="str">
        <f t="shared" si="81"/>
        <v/>
      </c>
      <c r="CK52" s="18" t="str">
        <f t="shared" si="82"/>
        <v/>
      </c>
      <c r="CL52" s="18" t="str">
        <f t="shared" si="83"/>
        <v/>
      </c>
      <c r="CM52" s="18" t="str">
        <f t="shared" si="84"/>
        <v/>
      </c>
      <c r="CN52" s="18" t="str">
        <f t="shared" si="85"/>
        <v/>
      </c>
      <c r="CO52" s="18" t="str">
        <f t="shared" si="86"/>
        <v/>
      </c>
      <c r="CP52" s="18" t="str">
        <f t="shared" si="87"/>
        <v/>
      </c>
      <c r="CQ52" s="18" t="str">
        <f t="shared" si="88"/>
        <v/>
      </c>
    </row>
    <row r="53" spans="1:95" hidden="1" x14ac:dyDescent="0.3">
      <c r="A53" s="18"/>
      <c r="B53" s="160"/>
      <c r="C53" s="160"/>
      <c r="D53" s="18"/>
      <c r="E53" s="157"/>
      <c r="F53" s="18"/>
      <c r="G53" s="18"/>
      <c r="H53" s="18"/>
      <c r="I53" s="18"/>
      <c r="J53" s="18"/>
      <c r="K53" s="248"/>
      <c r="L53" s="250"/>
      <c r="M53" s="250"/>
      <c r="N53" s="250"/>
      <c r="O53" s="250"/>
      <c r="P53" s="250"/>
      <c r="Q53" s="251"/>
      <c r="R53" s="251"/>
      <c r="S53" s="251"/>
      <c r="T53" s="251"/>
      <c r="U53" s="251"/>
      <c r="V53" s="250"/>
      <c r="W53" s="250"/>
      <c r="X53" s="250"/>
      <c r="Y53" s="250"/>
      <c r="Z53" s="250"/>
      <c r="AB53" s="18" t="str">
        <f t="shared" si="29"/>
        <v/>
      </c>
      <c r="AC53" s="18" t="str">
        <f t="shared" si="30"/>
        <v/>
      </c>
      <c r="AD53" s="18" t="str">
        <f t="shared" si="31"/>
        <v/>
      </c>
      <c r="AE53" s="18" t="str">
        <f t="shared" si="32"/>
        <v/>
      </c>
      <c r="AF53" s="18" t="str">
        <f t="shared" si="33"/>
        <v/>
      </c>
      <c r="AG53" s="18" t="str">
        <f t="shared" si="34"/>
        <v/>
      </c>
      <c r="AH53" s="18" t="str">
        <f t="shared" si="35"/>
        <v/>
      </c>
      <c r="AI53" s="18" t="str">
        <f t="shared" si="36"/>
        <v/>
      </c>
      <c r="AJ53" s="18" t="str">
        <f t="shared" si="37"/>
        <v/>
      </c>
      <c r="AK53" s="18" t="str">
        <f t="shared" si="38"/>
        <v/>
      </c>
      <c r="AL53" s="18" t="str">
        <f t="shared" si="39"/>
        <v/>
      </c>
      <c r="AM53" s="18" t="str">
        <f t="shared" si="40"/>
        <v/>
      </c>
      <c r="AN53" s="18" t="str">
        <f t="shared" si="41"/>
        <v/>
      </c>
      <c r="AO53" s="18" t="str">
        <f t="shared" si="42"/>
        <v/>
      </c>
      <c r="AP53" s="18" t="str">
        <f t="shared" si="43"/>
        <v/>
      </c>
      <c r="AR53" s="18" t="str">
        <f t="shared" si="44"/>
        <v/>
      </c>
      <c r="AS53" s="18" t="str">
        <f t="shared" si="45"/>
        <v/>
      </c>
      <c r="AT53" s="18" t="str">
        <f t="shared" si="46"/>
        <v/>
      </c>
      <c r="AU53" s="18" t="str">
        <f t="shared" si="47"/>
        <v/>
      </c>
      <c r="AV53" s="18" t="str">
        <f t="shared" si="48"/>
        <v/>
      </c>
      <c r="AW53" s="18" t="str">
        <f t="shared" si="49"/>
        <v/>
      </c>
      <c r="AX53" s="18" t="str">
        <f t="shared" si="50"/>
        <v/>
      </c>
      <c r="AY53" s="18" t="str">
        <f t="shared" si="51"/>
        <v/>
      </c>
      <c r="AZ53" s="18" t="str">
        <f t="shared" si="52"/>
        <v/>
      </c>
      <c r="BA53" s="18" t="str">
        <f t="shared" si="53"/>
        <v/>
      </c>
      <c r="BB53" s="18" t="str">
        <f t="shared" si="54"/>
        <v/>
      </c>
      <c r="BC53" s="18" t="str">
        <f t="shared" si="55"/>
        <v/>
      </c>
      <c r="BD53" s="18" t="str">
        <f t="shared" si="56"/>
        <v/>
      </c>
      <c r="BE53" s="18" t="str">
        <f t="shared" si="57"/>
        <v/>
      </c>
      <c r="BF53" s="18" t="str">
        <f t="shared" si="58"/>
        <v/>
      </c>
      <c r="BH53" s="18" t="str">
        <f t="shared" si="59"/>
        <v/>
      </c>
      <c r="BI53" s="18" t="str">
        <f t="shared" si="60"/>
        <v/>
      </c>
      <c r="BJ53" s="18" t="str">
        <f t="shared" si="61"/>
        <v/>
      </c>
      <c r="BK53" s="18" t="str">
        <f t="shared" si="62"/>
        <v/>
      </c>
      <c r="BL53" s="18" t="str">
        <f t="shared" si="63"/>
        <v/>
      </c>
      <c r="BM53" s="18" t="str">
        <f t="shared" si="64"/>
        <v/>
      </c>
      <c r="BN53" s="18" t="str">
        <f t="shared" si="65"/>
        <v/>
      </c>
      <c r="BO53" s="18" t="str">
        <f t="shared" si="66"/>
        <v/>
      </c>
      <c r="BP53" s="18" t="str">
        <f t="shared" si="67"/>
        <v/>
      </c>
      <c r="BQ53" s="18" t="str">
        <f t="shared" si="68"/>
        <v/>
      </c>
      <c r="BR53" s="18" t="str">
        <f t="shared" si="69"/>
        <v/>
      </c>
      <c r="BS53" s="18" t="str">
        <f t="shared" si="70"/>
        <v/>
      </c>
      <c r="BT53" s="18" t="str">
        <f t="shared" si="71"/>
        <v/>
      </c>
      <c r="BU53" s="18" t="str">
        <f t="shared" si="72"/>
        <v/>
      </c>
      <c r="BV53" s="18" t="str">
        <f t="shared" si="73"/>
        <v/>
      </c>
      <c r="CC53" s="18" t="str">
        <f t="shared" si="74"/>
        <v/>
      </c>
      <c r="CD53" s="18" t="str">
        <f t="shared" si="75"/>
        <v/>
      </c>
      <c r="CE53" s="18" t="str">
        <f t="shared" si="76"/>
        <v/>
      </c>
      <c r="CF53" s="18" t="str">
        <f t="shared" si="77"/>
        <v/>
      </c>
      <c r="CG53" s="18" t="str">
        <f t="shared" si="78"/>
        <v/>
      </c>
      <c r="CH53" s="18" t="str">
        <f t="shared" si="79"/>
        <v/>
      </c>
      <c r="CI53" s="18" t="str">
        <f t="shared" si="80"/>
        <v/>
      </c>
      <c r="CJ53" s="18" t="str">
        <f t="shared" si="81"/>
        <v/>
      </c>
      <c r="CK53" s="18" t="str">
        <f t="shared" si="82"/>
        <v/>
      </c>
      <c r="CL53" s="18" t="str">
        <f t="shared" si="83"/>
        <v/>
      </c>
      <c r="CM53" s="18" t="str">
        <f t="shared" si="84"/>
        <v/>
      </c>
      <c r="CN53" s="18" t="str">
        <f t="shared" si="85"/>
        <v/>
      </c>
      <c r="CO53" s="18" t="str">
        <f t="shared" si="86"/>
        <v/>
      </c>
      <c r="CP53" s="18" t="str">
        <f t="shared" si="87"/>
        <v/>
      </c>
      <c r="CQ53" s="18" t="str">
        <f t="shared" si="88"/>
        <v/>
      </c>
    </row>
    <row r="54" spans="1:95" hidden="1" x14ac:dyDescent="0.3">
      <c r="A54" s="18"/>
      <c r="B54" s="160"/>
      <c r="C54" s="160"/>
      <c r="D54" s="18"/>
      <c r="E54" s="157"/>
      <c r="F54" s="18"/>
      <c r="G54" s="18"/>
      <c r="H54" s="18"/>
      <c r="I54" s="18"/>
      <c r="J54" s="18"/>
      <c r="K54" s="248"/>
      <c r="L54" s="250"/>
      <c r="M54" s="250"/>
      <c r="N54" s="250"/>
      <c r="O54" s="250"/>
      <c r="P54" s="250"/>
      <c r="Q54" s="251"/>
      <c r="R54" s="251"/>
      <c r="S54" s="251"/>
      <c r="T54" s="251"/>
      <c r="U54" s="251"/>
      <c r="V54" s="250"/>
      <c r="W54" s="250"/>
      <c r="X54" s="250"/>
      <c r="Y54" s="250"/>
      <c r="Z54" s="250"/>
      <c r="AB54" s="18" t="str">
        <f t="shared" si="29"/>
        <v/>
      </c>
      <c r="AC54" s="18" t="str">
        <f t="shared" si="30"/>
        <v/>
      </c>
      <c r="AD54" s="18" t="str">
        <f t="shared" si="31"/>
        <v/>
      </c>
      <c r="AE54" s="18" t="str">
        <f t="shared" si="32"/>
        <v/>
      </c>
      <c r="AF54" s="18" t="str">
        <f t="shared" si="33"/>
        <v/>
      </c>
      <c r="AG54" s="18" t="str">
        <f t="shared" si="34"/>
        <v/>
      </c>
      <c r="AH54" s="18" t="str">
        <f t="shared" si="35"/>
        <v/>
      </c>
      <c r="AI54" s="18" t="str">
        <f t="shared" si="36"/>
        <v/>
      </c>
      <c r="AJ54" s="18" t="str">
        <f t="shared" si="37"/>
        <v/>
      </c>
      <c r="AK54" s="18" t="str">
        <f t="shared" si="38"/>
        <v/>
      </c>
      <c r="AL54" s="18" t="str">
        <f t="shared" si="39"/>
        <v/>
      </c>
      <c r="AM54" s="18" t="str">
        <f t="shared" si="40"/>
        <v/>
      </c>
      <c r="AN54" s="18" t="str">
        <f t="shared" si="41"/>
        <v/>
      </c>
      <c r="AO54" s="18" t="str">
        <f t="shared" si="42"/>
        <v/>
      </c>
      <c r="AP54" s="18" t="str">
        <f t="shared" si="43"/>
        <v/>
      </c>
      <c r="AR54" s="18" t="str">
        <f t="shared" si="44"/>
        <v/>
      </c>
      <c r="AS54" s="18" t="str">
        <f t="shared" si="45"/>
        <v/>
      </c>
      <c r="AT54" s="18" t="str">
        <f t="shared" si="46"/>
        <v/>
      </c>
      <c r="AU54" s="18" t="str">
        <f t="shared" si="47"/>
        <v/>
      </c>
      <c r="AV54" s="18" t="str">
        <f t="shared" si="48"/>
        <v/>
      </c>
      <c r="AW54" s="18" t="str">
        <f t="shared" si="49"/>
        <v/>
      </c>
      <c r="AX54" s="18" t="str">
        <f t="shared" si="50"/>
        <v/>
      </c>
      <c r="AY54" s="18" t="str">
        <f t="shared" si="51"/>
        <v/>
      </c>
      <c r="AZ54" s="18" t="str">
        <f t="shared" si="52"/>
        <v/>
      </c>
      <c r="BA54" s="18" t="str">
        <f t="shared" si="53"/>
        <v/>
      </c>
      <c r="BB54" s="18" t="str">
        <f t="shared" si="54"/>
        <v/>
      </c>
      <c r="BC54" s="18" t="str">
        <f t="shared" si="55"/>
        <v/>
      </c>
      <c r="BD54" s="18" t="str">
        <f t="shared" si="56"/>
        <v/>
      </c>
      <c r="BE54" s="18" t="str">
        <f t="shared" si="57"/>
        <v/>
      </c>
      <c r="BF54" s="18" t="str">
        <f>IF(Z54="x",$H54,"")</f>
        <v/>
      </c>
      <c r="BH54" s="18" t="str">
        <f t="shared" si="59"/>
        <v/>
      </c>
      <c r="BI54" s="18" t="str">
        <f t="shared" si="60"/>
        <v/>
      </c>
      <c r="BJ54" s="18" t="str">
        <f t="shared" si="61"/>
        <v/>
      </c>
      <c r="BK54" s="18" t="str">
        <f t="shared" si="62"/>
        <v/>
      </c>
      <c r="BL54" s="18" t="str">
        <f t="shared" si="63"/>
        <v/>
      </c>
      <c r="BM54" s="18" t="str">
        <f t="shared" si="64"/>
        <v/>
      </c>
      <c r="BN54" s="18" t="str">
        <f t="shared" si="65"/>
        <v/>
      </c>
      <c r="BO54" s="18" t="str">
        <f t="shared" si="66"/>
        <v/>
      </c>
      <c r="BP54" s="18" t="str">
        <f t="shared" si="67"/>
        <v/>
      </c>
      <c r="BQ54" s="18" t="str">
        <f t="shared" si="68"/>
        <v/>
      </c>
      <c r="BR54" s="18" t="str">
        <f t="shared" si="69"/>
        <v/>
      </c>
      <c r="BS54" s="18" t="str">
        <f t="shared" si="70"/>
        <v/>
      </c>
      <c r="BT54" s="18" t="str">
        <f t="shared" si="71"/>
        <v/>
      </c>
      <c r="BU54" s="18" t="str">
        <f t="shared" si="72"/>
        <v/>
      </c>
      <c r="BV54" s="18" t="str">
        <f t="shared" si="73"/>
        <v/>
      </c>
      <c r="CC54" s="18" t="str">
        <f t="shared" si="74"/>
        <v/>
      </c>
      <c r="CD54" s="18" t="str">
        <f t="shared" si="75"/>
        <v/>
      </c>
      <c r="CE54" s="18" t="str">
        <f t="shared" si="76"/>
        <v/>
      </c>
      <c r="CF54" s="18" t="str">
        <f t="shared" si="77"/>
        <v/>
      </c>
      <c r="CG54" s="18" t="str">
        <f t="shared" si="78"/>
        <v/>
      </c>
      <c r="CH54" s="18" t="str">
        <f t="shared" si="79"/>
        <v/>
      </c>
      <c r="CI54" s="18" t="str">
        <f t="shared" si="80"/>
        <v/>
      </c>
      <c r="CJ54" s="18" t="str">
        <f t="shared" si="81"/>
        <v/>
      </c>
      <c r="CK54" s="18" t="str">
        <f t="shared" si="82"/>
        <v/>
      </c>
      <c r="CL54" s="18" t="str">
        <f t="shared" si="83"/>
        <v/>
      </c>
      <c r="CM54" s="18" t="str">
        <f t="shared" si="84"/>
        <v/>
      </c>
      <c r="CN54" s="18" t="str">
        <f t="shared" si="85"/>
        <v/>
      </c>
      <c r="CO54" s="18" t="str">
        <f t="shared" si="86"/>
        <v/>
      </c>
      <c r="CP54" s="18" t="str">
        <f t="shared" si="87"/>
        <v/>
      </c>
      <c r="CQ54" s="18" t="str">
        <f t="shared" si="88"/>
        <v/>
      </c>
    </row>
    <row r="55" spans="1:95" hidden="1" x14ac:dyDescent="0.3">
      <c r="E55" s="156"/>
    </row>
    <row r="56" spans="1:95" hidden="1" x14ac:dyDescent="0.3">
      <c r="E56" s="156"/>
      <c r="L56" s="256" t="s">
        <v>290</v>
      </c>
      <c r="AB56" s="154" t="s">
        <v>288</v>
      </c>
      <c r="AR56" s="154" t="s">
        <v>289</v>
      </c>
      <c r="BH56" s="154"/>
      <c r="CC56" s="154"/>
    </row>
    <row r="57" spans="1:95" hidden="1" x14ac:dyDescent="0.3">
      <c r="E57" s="156"/>
      <c r="BH57" s="154"/>
      <c r="CC57" s="154"/>
    </row>
    <row r="58" spans="1:95" hidden="1" x14ac:dyDescent="0.3">
      <c r="E58" s="156"/>
      <c r="L58" s="183">
        <f>COUNTA(L6:L54)-1</f>
        <v>-1</v>
      </c>
      <c r="M58" s="183">
        <f t="shared" ref="M58:Z58" si="91">COUNTA(M6:M54)-1</f>
        <v>0</v>
      </c>
      <c r="N58" s="183">
        <f t="shared" si="91"/>
        <v>0</v>
      </c>
      <c r="O58" s="183">
        <f t="shared" si="91"/>
        <v>0</v>
      </c>
      <c r="P58" s="183">
        <f t="shared" si="91"/>
        <v>0</v>
      </c>
      <c r="Q58" s="183">
        <f t="shared" si="91"/>
        <v>0</v>
      </c>
      <c r="R58" s="183">
        <f t="shared" si="91"/>
        <v>0</v>
      </c>
      <c r="S58" s="183">
        <f t="shared" si="91"/>
        <v>0</v>
      </c>
      <c r="T58" s="183">
        <f t="shared" si="91"/>
        <v>0</v>
      </c>
      <c r="U58" s="183">
        <f t="shared" si="91"/>
        <v>0</v>
      </c>
      <c r="V58" s="183">
        <f t="shared" si="91"/>
        <v>0</v>
      </c>
      <c r="W58" s="183">
        <f t="shared" si="91"/>
        <v>-1</v>
      </c>
      <c r="X58" s="183">
        <f t="shared" si="91"/>
        <v>-1</v>
      </c>
      <c r="Y58" s="183">
        <f t="shared" si="91"/>
        <v>-1</v>
      </c>
      <c r="Z58" s="183">
        <f t="shared" si="91"/>
        <v>-1</v>
      </c>
      <c r="AB58" s="157">
        <f>SUM(AB6:AB54)</f>
        <v>0</v>
      </c>
      <c r="AC58" s="157">
        <f t="shared" ref="AC58:AP58" si="92">SUM(AC6:AC54)</f>
        <v>2.5000499999999999</v>
      </c>
      <c r="AD58" s="157">
        <f t="shared" si="92"/>
        <v>5.1000899999999998</v>
      </c>
      <c r="AE58" s="157">
        <f t="shared" si="92"/>
        <v>7.6998899999999999</v>
      </c>
      <c r="AF58" s="157">
        <f t="shared" si="92"/>
        <v>10.299930000000002</v>
      </c>
      <c r="AG58" s="157">
        <f t="shared" si="92"/>
        <v>12.89992</v>
      </c>
      <c r="AH58" s="157">
        <f t="shared" si="92"/>
        <v>14.999969999999999</v>
      </c>
      <c r="AI58" s="157">
        <f t="shared" si="92"/>
        <v>17.599920000000001</v>
      </c>
      <c r="AJ58" s="157">
        <f t="shared" si="92"/>
        <v>20.199909999999999</v>
      </c>
      <c r="AK58" s="157">
        <f t="shared" si="92"/>
        <v>22.799890000000001</v>
      </c>
      <c r="AL58" s="157">
        <f t="shared" si="92"/>
        <v>25.000080000000001</v>
      </c>
      <c r="AM58" s="157">
        <f t="shared" si="92"/>
        <v>0</v>
      </c>
      <c r="AN58" s="157">
        <f t="shared" si="92"/>
        <v>0</v>
      </c>
      <c r="AO58" s="157">
        <f t="shared" si="92"/>
        <v>0</v>
      </c>
      <c r="AP58" s="157">
        <f t="shared" si="92"/>
        <v>0</v>
      </c>
      <c r="AR58" s="158">
        <f>SQRT(SUMSQ(AR6:AR54))</f>
        <v>0</v>
      </c>
      <c r="AS58" s="158">
        <f t="shared" ref="AS58:BF58" si="93">SQRT(SUMSQ(AS6:AS54))</f>
        <v>0.14000000000000001</v>
      </c>
      <c r="AT58" s="158">
        <f t="shared" si="93"/>
        <v>0.14000000000000001</v>
      </c>
      <c r="AU58" s="158">
        <f t="shared" si="93"/>
        <v>0.1</v>
      </c>
      <c r="AV58" s="158">
        <f t="shared" si="93"/>
        <v>0.11</v>
      </c>
      <c r="AW58" s="158">
        <f t="shared" si="93"/>
        <v>0.11</v>
      </c>
      <c r="AX58" s="158">
        <f t="shared" si="93"/>
        <v>0.11</v>
      </c>
      <c r="AY58" s="158">
        <f t="shared" si="93"/>
        <v>0.12</v>
      </c>
      <c r="AZ58" s="158">
        <f t="shared" si="93"/>
        <v>0.12</v>
      </c>
      <c r="BA58" s="158">
        <f t="shared" si="93"/>
        <v>0.12</v>
      </c>
      <c r="BB58" s="158">
        <f t="shared" si="93"/>
        <v>0.14000000000000001</v>
      </c>
      <c r="BC58" s="158">
        <f t="shared" si="93"/>
        <v>0</v>
      </c>
      <c r="BD58" s="158">
        <f t="shared" si="93"/>
        <v>0</v>
      </c>
      <c r="BE58" s="158">
        <f t="shared" si="93"/>
        <v>0</v>
      </c>
      <c r="BF58" s="158">
        <f t="shared" si="93"/>
        <v>0</v>
      </c>
      <c r="BH58" s="154"/>
      <c r="CC58" s="154"/>
    </row>
    <row r="59" spans="1:95" hidden="1" x14ac:dyDescent="0.3">
      <c r="E59" s="156"/>
      <c r="L59" s="401">
        <f>MAX(L58:Z58)</f>
        <v>0</v>
      </c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402"/>
      <c r="X59" s="402"/>
      <c r="Y59" s="402"/>
      <c r="Z59" s="402"/>
      <c r="AR59" s="403">
        <f>MAX(AR58:BF58)</f>
        <v>0.14000000000000001</v>
      </c>
      <c r="AS59" s="403"/>
      <c r="AT59" s="403"/>
      <c r="AU59" s="403"/>
      <c r="AV59" s="403"/>
      <c r="AW59" s="403"/>
      <c r="AX59" s="403"/>
      <c r="AY59" s="403"/>
      <c r="AZ59" s="403"/>
      <c r="BA59" s="403"/>
      <c r="BB59" s="403"/>
      <c r="BC59" s="403"/>
      <c r="BD59" s="403"/>
      <c r="BE59" s="403"/>
      <c r="BF59" s="403"/>
      <c r="BH59" s="154"/>
      <c r="CC59" s="154"/>
    </row>
    <row r="60" spans="1:95" hidden="1" x14ac:dyDescent="0.3">
      <c r="E60" s="156"/>
      <c r="AB60" s="154" t="s">
        <v>294</v>
      </c>
    </row>
    <row r="61" spans="1:95" hidden="1" x14ac:dyDescent="0.3">
      <c r="E61" s="156"/>
      <c r="AB61" s="157">
        <f>AB58</f>
        <v>0</v>
      </c>
      <c r="AC61" s="157">
        <f>AB61</f>
        <v>0</v>
      </c>
    </row>
    <row r="62" spans="1:95" hidden="1" x14ac:dyDescent="0.3">
      <c r="E62" s="156"/>
      <c r="AB62" s="157">
        <f>AC58</f>
        <v>2.5000499999999999</v>
      </c>
      <c r="AC62" s="18">
        <f t="shared" ref="AC62:AC75" si="94">IF(AB62=0,"",AB62)</f>
        <v>2.5000499999999999</v>
      </c>
    </row>
    <row r="63" spans="1:95" hidden="1" x14ac:dyDescent="0.3">
      <c r="E63" s="156"/>
      <c r="AB63" s="157">
        <f>AD58</f>
        <v>5.1000899999999998</v>
      </c>
      <c r="AC63" s="18">
        <f t="shared" si="94"/>
        <v>5.1000899999999998</v>
      </c>
    </row>
    <row r="64" spans="1:95" hidden="1" x14ac:dyDescent="0.3">
      <c r="E64" s="156"/>
      <c r="AB64" s="157">
        <f>AE58</f>
        <v>7.6998899999999999</v>
      </c>
      <c r="AC64" s="18">
        <f t="shared" si="94"/>
        <v>7.6998899999999999</v>
      </c>
      <c r="AS64" s="155"/>
      <c r="BI64" s="155"/>
      <c r="CD64" s="155"/>
    </row>
    <row r="65" spans="5:29" hidden="1" x14ac:dyDescent="0.3">
      <c r="E65" s="156"/>
      <c r="AB65" s="157">
        <f>AF58</f>
        <v>10.299930000000002</v>
      </c>
      <c r="AC65" s="18">
        <f t="shared" si="94"/>
        <v>10.299930000000002</v>
      </c>
    </row>
    <row r="66" spans="5:29" hidden="1" x14ac:dyDescent="0.3">
      <c r="E66" s="156"/>
      <c r="AB66" s="157">
        <f>AG58</f>
        <v>12.89992</v>
      </c>
      <c r="AC66" s="18">
        <f t="shared" si="94"/>
        <v>12.89992</v>
      </c>
    </row>
    <row r="67" spans="5:29" hidden="1" x14ac:dyDescent="0.3">
      <c r="E67" s="156"/>
      <c r="AB67" s="157">
        <f>AH58</f>
        <v>14.999969999999999</v>
      </c>
      <c r="AC67" s="18">
        <f t="shared" si="94"/>
        <v>14.999969999999999</v>
      </c>
    </row>
    <row r="68" spans="5:29" hidden="1" x14ac:dyDescent="0.3">
      <c r="E68" s="156"/>
      <c r="AB68" s="157">
        <f>AI58</f>
        <v>17.599920000000001</v>
      </c>
      <c r="AC68" s="18">
        <f t="shared" si="94"/>
        <v>17.599920000000001</v>
      </c>
    </row>
    <row r="69" spans="5:29" hidden="1" x14ac:dyDescent="0.3">
      <c r="E69" s="156"/>
      <c r="AB69" s="157">
        <f>AJ58</f>
        <v>20.199909999999999</v>
      </c>
      <c r="AC69" s="18">
        <f t="shared" si="94"/>
        <v>20.199909999999999</v>
      </c>
    </row>
    <row r="70" spans="5:29" hidden="1" x14ac:dyDescent="0.3">
      <c r="E70" s="156"/>
      <c r="AB70" s="157">
        <f>AK58</f>
        <v>22.799890000000001</v>
      </c>
      <c r="AC70" s="18">
        <f t="shared" si="94"/>
        <v>22.799890000000001</v>
      </c>
    </row>
    <row r="71" spans="5:29" hidden="1" x14ac:dyDescent="0.3">
      <c r="E71" s="156"/>
      <c r="AB71" s="157">
        <f>AL58</f>
        <v>25.000080000000001</v>
      </c>
      <c r="AC71" s="18">
        <f t="shared" si="94"/>
        <v>25.000080000000001</v>
      </c>
    </row>
    <row r="72" spans="5:29" hidden="1" x14ac:dyDescent="0.3">
      <c r="E72" s="156"/>
      <c r="AB72" s="157">
        <f>AM58</f>
        <v>0</v>
      </c>
      <c r="AC72" s="18" t="str">
        <f t="shared" si="94"/>
        <v/>
      </c>
    </row>
    <row r="73" spans="5:29" hidden="1" x14ac:dyDescent="0.3">
      <c r="E73" s="156"/>
      <c r="AB73" s="157">
        <f>AN58</f>
        <v>0</v>
      </c>
      <c r="AC73" s="18" t="str">
        <f t="shared" si="94"/>
        <v/>
      </c>
    </row>
    <row r="74" spans="5:29" hidden="1" x14ac:dyDescent="0.3">
      <c r="E74" s="156"/>
      <c r="AB74" s="157">
        <f>AO58</f>
        <v>0</v>
      </c>
      <c r="AC74" s="18" t="str">
        <f t="shared" si="94"/>
        <v/>
      </c>
    </row>
    <row r="75" spans="5:29" hidden="1" x14ac:dyDescent="0.3">
      <c r="E75" s="156"/>
      <c r="AB75" s="157">
        <f>AP58</f>
        <v>0</v>
      </c>
      <c r="AC75" s="18" t="str">
        <f t="shared" si="94"/>
        <v/>
      </c>
    </row>
    <row r="76" spans="5:29" hidden="1" x14ac:dyDescent="0.3">
      <c r="E76" s="156"/>
    </row>
    <row r="77" spans="5:29" hidden="1" x14ac:dyDescent="0.3">
      <c r="E77" s="156"/>
    </row>
    <row r="78" spans="5:29" hidden="1" x14ac:dyDescent="0.3">
      <c r="E78" s="156"/>
    </row>
    <row r="79" spans="5:29" hidden="1" x14ac:dyDescent="0.3">
      <c r="E79" s="156"/>
    </row>
    <row r="80" spans="5:29" hidden="1" x14ac:dyDescent="0.3">
      <c r="E80" s="156"/>
    </row>
    <row r="81" spans="5:5" hidden="1" x14ac:dyDescent="0.3">
      <c r="E81" s="156"/>
    </row>
    <row r="82" spans="5:5" hidden="1" x14ac:dyDescent="0.3">
      <c r="E82" s="156"/>
    </row>
    <row r="83" spans="5:5" hidden="1" x14ac:dyDescent="0.3">
      <c r="E83" s="156"/>
    </row>
    <row r="84" spans="5:5" hidden="1" x14ac:dyDescent="0.3">
      <c r="E84" s="156"/>
    </row>
    <row r="85" spans="5:5" hidden="1" x14ac:dyDescent="0.3">
      <c r="E85" s="156"/>
    </row>
    <row r="86" spans="5:5" hidden="1" x14ac:dyDescent="0.3">
      <c r="E86" s="156"/>
    </row>
    <row r="87" spans="5:5" hidden="1" x14ac:dyDescent="0.3">
      <c r="E87" s="156"/>
    </row>
    <row r="88" spans="5:5" hidden="1" x14ac:dyDescent="0.3">
      <c r="E88" s="156"/>
    </row>
    <row r="89" spans="5:5" hidden="1" x14ac:dyDescent="0.3">
      <c r="E89" s="156"/>
    </row>
    <row r="90" spans="5:5" hidden="1" x14ac:dyDescent="0.3">
      <c r="E90" s="156"/>
    </row>
    <row r="91" spans="5:5" hidden="1" x14ac:dyDescent="0.3">
      <c r="E91" s="156"/>
    </row>
    <row r="92" spans="5:5" hidden="1" x14ac:dyDescent="0.3">
      <c r="E92" s="156"/>
    </row>
    <row r="93" spans="5:5" hidden="1" x14ac:dyDescent="0.3">
      <c r="E93" s="156"/>
    </row>
    <row r="94" spans="5:5" hidden="1" x14ac:dyDescent="0.3">
      <c r="E94" s="156"/>
    </row>
    <row r="95" spans="5:5" hidden="1" x14ac:dyDescent="0.3">
      <c r="E95" s="156"/>
    </row>
    <row r="96" spans="5:5" hidden="1" x14ac:dyDescent="0.3">
      <c r="E96" s="156"/>
    </row>
    <row r="97" spans="5:5" hidden="1" x14ac:dyDescent="0.3">
      <c r="E97" s="156"/>
    </row>
    <row r="98" spans="5:5" hidden="1" x14ac:dyDescent="0.3">
      <c r="E98" s="156"/>
    </row>
    <row r="99" spans="5:5" hidden="1" x14ac:dyDescent="0.3">
      <c r="E99" s="156"/>
    </row>
    <row r="100" spans="5:5" hidden="1" x14ac:dyDescent="0.3">
      <c r="E100" s="156"/>
    </row>
    <row r="101" spans="5:5" hidden="1" x14ac:dyDescent="0.3">
      <c r="E101" s="156"/>
    </row>
    <row r="102" spans="5:5" hidden="1" x14ac:dyDescent="0.3">
      <c r="E102" s="156"/>
    </row>
    <row r="103" spans="5:5" hidden="1" x14ac:dyDescent="0.3">
      <c r="E103" s="156"/>
    </row>
    <row r="104" spans="5:5" hidden="1" x14ac:dyDescent="0.3">
      <c r="E104" s="156"/>
    </row>
    <row r="105" spans="5:5" hidden="1" x14ac:dyDescent="0.3">
      <c r="E105" s="156"/>
    </row>
    <row r="106" spans="5:5" hidden="1" x14ac:dyDescent="0.3">
      <c r="E106" s="156"/>
    </row>
    <row r="107" spans="5:5" hidden="1" x14ac:dyDescent="0.3">
      <c r="E107" s="156"/>
    </row>
    <row r="108" spans="5:5" hidden="1" x14ac:dyDescent="0.3">
      <c r="E108" s="156"/>
    </row>
    <row r="109" spans="5:5" hidden="1" x14ac:dyDescent="0.3">
      <c r="E109" s="156"/>
    </row>
    <row r="110" spans="5:5" hidden="1" x14ac:dyDescent="0.3">
      <c r="E110" s="156"/>
    </row>
    <row r="111" spans="5:5" hidden="1" x14ac:dyDescent="0.3">
      <c r="E111" s="156"/>
    </row>
    <row r="112" spans="5:5" hidden="1" x14ac:dyDescent="0.3">
      <c r="E112" s="156"/>
    </row>
    <row r="113" spans="5:5" hidden="1" x14ac:dyDescent="0.3">
      <c r="E113" s="156"/>
    </row>
    <row r="114" spans="5:5" hidden="1" x14ac:dyDescent="0.3">
      <c r="E114" s="15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42"/>
  <sheetViews>
    <sheetView topLeftCell="D24" zoomScaleNormal="100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bestFit="1" customWidth="1"/>
    <col min="9" max="9" width="9.5546875" bestFit="1" customWidth="1"/>
    <col min="12" max="12" width="11.33203125" customWidth="1"/>
  </cols>
  <sheetData>
    <row r="1" spans="1:19" s="5" customFormat="1" x14ac:dyDescent="0.25">
      <c r="C1" s="5" t="s">
        <v>112</v>
      </c>
      <c r="K1" s="5" t="s">
        <v>113</v>
      </c>
    </row>
    <row r="2" spans="1:19" s="5" customFormat="1" x14ac:dyDescent="0.25">
      <c r="C2" s="5" t="s">
        <v>114</v>
      </c>
    </row>
    <row r="3" spans="1:19" s="5" customFormat="1" x14ac:dyDescent="0.25">
      <c r="C3" s="5" t="s">
        <v>115</v>
      </c>
    </row>
    <row r="4" spans="1:19" s="5" customFormat="1" x14ac:dyDescent="0.25">
      <c r="C4" s="5" t="s">
        <v>116</v>
      </c>
    </row>
    <row r="5" spans="1:19" s="5" customFormat="1" x14ac:dyDescent="0.25">
      <c r="A5" s="6" t="s">
        <v>117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118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119</v>
      </c>
      <c r="B7" s="5" t="s">
        <v>11</v>
      </c>
      <c r="C7" s="5" t="s">
        <v>120</v>
      </c>
    </row>
    <row r="8" spans="1:19" s="5" customFormat="1" x14ac:dyDescent="0.25">
      <c r="A8" s="5" t="s">
        <v>31</v>
      </c>
      <c r="B8" s="5" t="s">
        <v>11</v>
      </c>
      <c r="C8" s="5" t="s">
        <v>121</v>
      </c>
    </row>
    <row r="9" spans="1:19" s="5" customFormat="1" x14ac:dyDescent="0.25">
      <c r="C9" s="5" t="s">
        <v>122</v>
      </c>
      <c r="N9" s="412" t="s">
        <v>157</v>
      </c>
      <c r="O9" s="412"/>
      <c r="P9" s="235"/>
    </row>
    <row r="10" spans="1:19" s="5" customFormat="1" x14ac:dyDescent="0.25">
      <c r="A10" s="8" t="s">
        <v>123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293</v>
      </c>
      <c r="O10" s="12" t="s">
        <v>338</v>
      </c>
      <c r="P10" s="12" t="s">
        <v>293</v>
      </c>
      <c r="Q10" s="12" t="s">
        <v>339</v>
      </c>
      <c r="R10" s="12" t="s">
        <v>293</v>
      </c>
      <c r="S10" s="12" t="s">
        <v>343</v>
      </c>
    </row>
    <row r="11" spans="1:19" s="5" customFormat="1" x14ac:dyDescent="0.25">
      <c r="A11" s="5" t="s">
        <v>124</v>
      </c>
      <c r="B11" s="5" t="s">
        <v>11</v>
      </c>
      <c r="C11" s="5" t="s">
        <v>125</v>
      </c>
      <c r="N11" s="183">
        <v>0</v>
      </c>
      <c r="O11" s="16">
        <v>0.93</v>
      </c>
      <c r="P11" s="16">
        <v>5</v>
      </c>
      <c r="Q11" s="16">
        <v>0.97</v>
      </c>
      <c r="R11" s="183">
        <v>0</v>
      </c>
      <c r="S11" s="16">
        <v>0.93</v>
      </c>
    </row>
    <row r="12" spans="1:19" s="5" customFormat="1" x14ac:dyDescent="0.25">
      <c r="A12" s="5" t="s">
        <v>126</v>
      </c>
      <c r="B12" s="5" t="s">
        <v>11</v>
      </c>
      <c r="C12" s="5" t="s">
        <v>156</v>
      </c>
      <c r="J12" s="5" t="s">
        <v>2</v>
      </c>
      <c r="K12" s="5">
        <f>11.5*10^-6</f>
        <v>1.15E-5</v>
      </c>
      <c r="L12" s="5" t="s">
        <v>3</v>
      </c>
      <c r="N12" s="183">
        <v>25.001000000000001</v>
      </c>
      <c r="O12" s="288">
        <v>1</v>
      </c>
      <c r="P12" s="183">
        <v>30.001000000000001</v>
      </c>
      <c r="Q12" s="16">
        <v>1</v>
      </c>
      <c r="R12" s="183">
        <v>25.001000000000001</v>
      </c>
      <c r="S12" s="19">
        <v>1</v>
      </c>
    </row>
    <row r="13" spans="1:19" s="5" customFormat="1" x14ac:dyDescent="0.25">
      <c r="A13" s="5" t="s">
        <v>17</v>
      </c>
      <c r="B13" s="5" t="s">
        <v>11</v>
      </c>
      <c r="C13" s="5" t="s">
        <v>127</v>
      </c>
      <c r="N13" s="183">
        <v>50.000999999999998</v>
      </c>
      <c r="O13" s="288">
        <v>1</v>
      </c>
      <c r="P13" s="183">
        <v>50.000999999999998</v>
      </c>
      <c r="Q13" s="19">
        <v>1.2</v>
      </c>
      <c r="R13" s="183">
        <v>50.000999999999998</v>
      </c>
      <c r="S13" s="19">
        <v>1.2</v>
      </c>
    </row>
    <row r="14" spans="1:19" s="5" customFormat="1" x14ac:dyDescent="0.25">
      <c r="A14" s="5" t="s">
        <v>128</v>
      </c>
      <c r="B14" s="5" t="s">
        <v>11</v>
      </c>
      <c r="C14" s="5" t="s">
        <v>129</v>
      </c>
      <c r="N14" s="183">
        <v>75.001000000000005</v>
      </c>
      <c r="O14" s="19">
        <v>1.3</v>
      </c>
      <c r="P14" s="183">
        <v>75.001000000000005</v>
      </c>
      <c r="Q14" s="19">
        <v>1.3</v>
      </c>
      <c r="R14" s="183">
        <v>75.001000000000005</v>
      </c>
      <c r="S14" s="19">
        <v>1.5</v>
      </c>
    </row>
    <row r="15" spans="1:19" s="5" customFormat="1" x14ac:dyDescent="0.25">
      <c r="A15" s="5" t="s">
        <v>130</v>
      </c>
      <c r="B15" s="5" t="s">
        <v>11</v>
      </c>
      <c r="C15" s="17">
        <f>'INPUT DATA'!E26*'TABEL DATA'!M5</f>
        <v>0</v>
      </c>
      <c r="D15" s="5" t="s">
        <v>1</v>
      </c>
      <c r="N15" s="183">
        <v>100.001</v>
      </c>
      <c r="O15" s="19">
        <v>1.3</v>
      </c>
      <c r="P15" s="183">
        <v>100.001</v>
      </c>
      <c r="Q15" s="19">
        <v>1.5</v>
      </c>
      <c r="R15" s="183">
        <v>100.001</v>
      </c>
      <c r="S15" s="19">
        <v>1.5</v>
      </c>
    </row>
    <row r="16" spans="1:19" s="5" customFormat="1" ht="15.6" x14ac:dyDescent="0.25">
      <c r="A16" s="410" t="s">
        <v>131</v>
      </c>
      <c r="B16" s="410"/>
      <c r="C16" s="10" t="s">
        <v>4</v>
      </c>
      <c r="D16" s="10" t="s">
        <v>12</v>
      </c>
      <c r="E16" s="10" t="s">
        <v>132</v>
      </c>
      <c r="F16" s="10" t="s">
        <v>133</v>
      </c>
      <c r="G16" s="225" t="s">
        <v>331</v>
      </c>
      <c r="H16" s="10" t="s">
        <v>134</v>
      </c>
      <c r="I16" s="10" t="s">
        <v>135</v>
      </c>
      <c r="J16" s="10" t="s">
        <v>136</v>
      </c>
      <c r="K16" s="10" t="s">
        <v>137</v>
      </c>
      <c r="L16" s="10" t="s">
        <v>332</v>
      </c>
      <c r="N16" s="183">
        <v>125.001</v>
      </c>
      <c r="O16" s="19">
        <v>1.5</v>
      </c>
      <c r="P16" s="183">
        <v>125.001</v>
      </c>
      <c r="Q16" s="19">
        <v>1.7</v>
      </c>
    </row>
    <row r="17" spans="1:17" s="5" customFormat="1" x14ac:dyDescent="0.25">
      <c r="A17" s="411" t="s">
        <v>138</v>
      </c>
      <c r="B17" s="411"/>
      <c r="C17" s="11" t="s">
        <v>139</v>
      </c>
      <c r="D17" s="11" t="s">
        <v>140</v>
      </c>
      <c r="E17" s="11" t="s">
        <v>141</v>
      </c>
      <c r="F17" s="11" t="s">
        <v>142</v>
      </c>
      <c r="G17" s="11" t="s">
        <v>143</v>
      </c>
      <c r="H17" s="11" t="s">
        <v>144</v>
      </c>
      <c r="I17" s="11" t="s">
        <v>145</v>
      </c>
      <c r="J17" s="11" t="s">
        <v>146</v>
      </c>
      <c r="K17" s="11" t="s">
        <v>147</v>
      </c>
      <c r="L17" s="11" t="s">
        <v>148</v>
      </c>
      <c r="N17" s="183">
        <v>150.001</v>
      </c>
      <c r="O17" s="19">
        <v>1.7</v>
      </c>
      <c r="P17" s="183">
        <v>150.001</v>
      </c>
      <c r="Q17" s="19">
        <v>1.9</v>
      </c>
    </row>
    <row r="18" spans="1:17" s="5" customFormat="1" x14ac:dyDescent="0.25">
      <c r="A18" s="408" t="s">
        <v>0</v>
      </c>
      <c r="B18" s="409"/>
      <c r="C18" s="226" t="s">
        <v>5</v>
      </c>
      <c r="D18" s="226" t="s">
        <v>13</v>
      </c>
      <c r="E18" s="227">
        <f>'INPUT DATA'!O75*1000</f>
        <v>0</v>
      </c>
      <c r="F18" s="227">
        <f>SQRT(5)</f>
        <v>2.2360679774997898</v>
      </c>
      <c r="G18" s="226">
        <f>5-1</f>
        <v>4</v>
      </c>
      <c r="H18" s="228">
        <f>E18/F18</f>
        <v>0</v>
      </c>
      <c r="I18" s="226">
        <v>1</v>
      </c>
      <c r="J18" s="228">
        <f>H18*I18</f>
        <v>0</v>
      </c>
      <c r="K18" s="228">
        <f t="shared" ref="K18:K26" si="0">J18^2</f>
        <v>0</v>
      </c>
      <c r="L18" s="232">
        <f>J18^4/G18</f>
        <v>0</v>
      </c>
      <c r="N18" s="183">
        <v>175.001</v>
      </c>
      <c r="O18" s="16">
        <v>1.9</v>
      </c>
      <c r="P18" s="183">
        <v>175.001</v>
      </c>
      <c r="Q18" s="16">
        <v>2.1</v>
      </c>
    </row>
    <row r="19" spans="1:17" s="5" customFormat="1" x14ac:dyDescent="0.25">
      <c r="A19" s="408" t="s">
        <v>326</v>
      </c>
      <c r="B19" s="409"/>
      <c r="C19" s="226" t="s">
        <v>5</v>
      </c>
      <c r="D19" s="226" t="s">
        <v>14</v>
      </c>
      <c r="E19" s="226">
        <f>'INPUT DATA'!S27*'TABEL DATA'!M5/2*1000</f>
        <v>0</v>
      </c>
      <c r="F19" s="227">
        <f>SQRT(3)</f>
        <v>1.7320508075688772</v>
      </c>
      <c r="G19" s="226">
        <v>200</v>
      </c>
      <c r="H19" s="228">
        <f t="shared" ref="H19:H26" si="1">E19/F19</f>
        <v>0</v>
      </c>
      <c r="I19" s="226">
        <v>1</v>
      </c>
      <c r="J19" s="228">
        <f t="shared" ref="J19:J26" si="2">H19*I19</f>
        <v>0</v>
      </c>
      <c r="K19" s="228">
        <f t="shared" si="0"/>
        <v>0</v>
      </c>
      <c r="L19" s="232">
        <f t="shared" ref="L19:L26" si="3">J19^4/G19</f>
        <v>0</v>
      </c>
      <c r="N19" s="183">
        <v>200.001</v>
      </c>
      <c r="O19" s="16">
        <v>1.9</v>
      </c>
      <c r="P19" s="183">
        <v>200.001</v>
      </c>
      <c r="Q19" s="16">
        <v>2.2999999999999998</v>
      </c>
    </row>
    <row r="20" spans="1:17" s="5" customFormat="1" x14ac:dyDescent="0.25">
      <c r="A20" s="408" t="s">
        <v>327</v>
      </c>
      <c r="B20" s="409"/>
      <c r="C20" s="226" t="s">
        <v>5</v>
      </c>
      <c r="D20" s="226" t="s">
        <v>13</v>
      </c>
      <c r="E20" s="227">
        <f>'Pilih Standar'!AR59</f>
        <v>0.14000000000000001</v>
      </c>
      <c r="F20" s="227">
        <v>2</v>
      </c>
      <c r="G20" s="226">
        <v>60</v>
      </c>
      <c r="H20" s="228">
        <f>E20/F20</f>
        <v>7.0000000000000007E-2</v>
      </c>
      <c r="I20" s="226">
        <v>1</v>
      </c>
      <c r="J20" s="228">
        <f t="shared" si="2"/>
        <v>7.0000000000000007E-2</v>
      </c>
      <c r="K20" s="228">
        <f t="shared" si="0"/>
        <v>4.9000000000000007E-3</v>
      </c>
      <c r="L20" s="232">
        <f t="shared" si="3"/>
        <v>4.0016666666666675E-7</v>
      </c>
      <c r="N20" s="183">
        <v>225.001</v>
      </c>
      <c r="O20" s="16">
        <v>2.2000000000000002</v>
      </c>
      <c r="P20" s="183">
        <v>225.001</v>
      </c>
      <c r="Q20" s="16">
        <v>2.4</v>
      </c>
    </row>
    <row r="21" spans="1:17" s="5" customFormat="1" ht="13.8" x14ac:dyDescent="0.3">
      <c r="A21" s="408" t="s">
        <v>328</v>
      </c>
      <c r="B21" s="409"/>
      <c r="C21" s="226" t="s">
        <v>336</v>
      </c>
      <c r="D21" s="226" t="s">
        <v>14</v>
      </c>
      <c r="E21" s="227" t="e">
        <f ca="1">ABS(20-'INPUT DATA'!H42)</f>
        <v>#DIV/0!</v>
      </c>
      <c r="F21" s="227">
        <v>1.73</v>
      </c>
      <c r="G21" s="226">
        <v>200</v>
      </c>
      <c r="H21" s="228" t="e">
        <f ca="1">E21/F21</f>
        <v>#DIV/0!</v>
      </c>
      <c r="I21" s="227">
        <f>C15*1000*K12</f>
        <v>0</v>
      </c>
      <c r="J21" s="228" t="e">
        <f t="shared" ref="J21:J22" ca="1" si="4">H21*I21</f>
        <v>#DIV/0!</v>
      </c>
      <c r="K21" s="228" t="e">
        <f t="shared" ref="K21:K22" ca="1" si="5">J21^2</f>
        <v>#DIV/0!</v>
      </c>
      <c r="L21" s="232" t="e">
        <f t="shared" ref="L21:L22" ca="1" si="6">J21^4/G21</f>
        <v>#DIV/0!</v>
      </c>
      <c r="N21" s="183">
        <v>250.001</v>
      </c>
      <c r="O21" s="16">
        <v>2.2999999999999998</v>
      </c>
      <c r="P21" s="183">
        <v>250.001</v>
      </c>
      <c r="Q21" s="16">
        <v>2.7</v>
      </c>
    </row>
    <row r="22" spans="1:17" s="5" customFormat="1" ht="13.8" x14ac:dyDescent="0.3">
      <c r="A22" s="408" t="s">
        <v>149</v>
      </c>
      <c r="B22" s="409"/>
      <c r="C22" s="226" t="s">
        <v>336</v>
      </c>
      <c r="D22" s="226" t="s">
        <v>14</v>
      </c>
      <c r="E22" s="226">
        <v>0.1</v>
      </c>
      <c r="F22" s="227">
        <f>SQRT(3)</f>
        <v>1.7320508075688772</v>
      </c>
      <c r="G22" s="226">
        <v>200</v>
      </c>
      <c r="H22" s="228">
        <f t="shared" ref="H22" si="7">E22/F22</f>
        <v>5.7735026918962581E-2</v>
      </c>
      <c r="I22" s="227">
        <f>C15*K12*1000</f>
        <v>0</v>
      </c>
      <c r="J22" s="228">
        <f t="shared" si="4"/>
        <v>0</v>
      </c>
      <c r="K22" s="228">
        <f t="shared" si="5"/>
        <v>0</v>
      </c>
      <c r="L22" s="232">
        <f t="shared" si="6"/>
        <v>0</v>
      </c>
      <c r="N22" s="183">
        <v>275.00099999999998</v>
      </c>
      <c r="O22" s="16">
        <v>2.5</v>
      </c>
      <c r="P22" s="183">
        <v>275.00099999999998</v>
      </c>
      <c r="Q22" s="16">
        <v>2.8</v>
      </c>
    </row>
    <row r="23" spans="1:17" s="5" customFormat="1" ht="13.8" x14ac:dyDescent="0.3">
      <c r="A23" s="408" t="s">
        <v>329</v>
      </c>
      <c r="B23" s="409"/>
      <c r="C23" s="226" t="s">
        <v>337</v>
      </c>
      <c r="D23" s="226" t="s">
        <v>14</v>
      </c>
      <c r="E23" s="233">
        <f>K12/10</f>
        <v>1.15E-6</v>
      </c>
      <c r="F23" s="227">
        <f>SQRT(3)</f>
        <v>1.7320508075688772</v>
      </c>
      <c r="G23" s="226">
        <v>200</v>
      </c>
      <c r="H23" s="228">
        <f t="shared" si="1"/>
        <v>6.6395280956806967E-7</v>
      </c>
      <c r="I23" s="234">
        <f>C15*4*1000</f>
        <v>0</v>
      </c>
      <c r="J23" s="228">
        <f t="shared" si="2"/>
        <v>0</v>
      </c>
      <c r="K23" s="228">
        <f t="shared" si="0"/>
        <v>0</v>
      </c>
      <c r="L23" s="232">
        <f t="shared" si="3"/>
        <v>0</v>
      </c>
      <c r="N23" s="183">
        <v>300.00099999999998</v>
      </c>
      <c r="O23" s="16">
        <v>2.7</v>
      </c>
      <c r="P23" s="183">
        <v>300.00099999999998</v>
      </c>
      <c r="Q23" s="16">
        <v>3.1</v>
      </c>
    </row>
    <row r="24" spans="1:17" s="5" customFormat="1" x14ac:dyDescent="0.25">
      <c r="A24" s="408" t="s">
        <v>15</v>
      </c>
      <c r="B24" s="409"/>
      <c r="C24" s="226" t="s">
        <v>5</v>
      </c>
      <c r="D24" s="226" t="s">
        <v>14</v>
      </c>
      <c r="E24" s="228">
        <f>3*(0.02+0.00025*C15)</f>
        <v>0.06</v>
      </c>
      <c r="F24" s="227">
        <f>SQRT(3)</f>
        <v>1.7320508075688772</v>
      </c>
      <c r="G24" s="226">
        <v>200</v>
      </c>
      <c r="H24" s="228">
        <f t="shared" si="1"/>
        <v>3.4641016151377546E-2</v>
      </c>
      <c r="I24" s="226">
        <v>1</v>
      </c>
      <c r="J24" s="228">
        <f t="shared" si="2"/>
        <v>3.4641016151377546E-2</v>
      </c>
      <c r="K24" s="228">
        <f t="shared" si="0"/>
        <v>1.2000000000000001E-3</v>
      </c>
      <c r="L24" s="232">
        <f t="shared" si="3"/>
        <v>7.2000000000000008E-9</v>
      </c>
      <c r="N24" s="18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408" t="s">
        <v>330</v>
      </c>
      <c r="B25" s="409"/>
      <c r="C25" s="226" t="s">
        <v>5</v>
      </c>
      <c r="D25" s="226" t="s">
        <v>14</v>
      </c>
      <c r="E25" s="227">
        <f>SQRT('Pilih Standar'!L59*0.05^2)</f>
        <v>0</v>
      </c>
      <c r="F25" s="227">
        <f>SQRT(3)</f>
        <v>1.7320508075688772</v>
      </c>
      <c r="G25" s="226">
        <v>201</v>
      </c>
      <c r="H25" s="228">
        <f t="shared" ref="H25" si="8">E25/F25</f>
        <v>0</v>
      </c>
      <c r="I25" s="226">
        <v>1</v>
      </c>
      <c r="J25" s="228">
        <f t="shared" ref="J25" si="9">H25*I25</f>
        <v>0</v>
      </c>
      <c r="K25" s="228">
        <f t="shared" ref="K25" si="10">J25^2</f>
        <v>0</v>
      </c>
      <c r="L25" s="232">
        <f t="shared" ref="L25" si="11">J25^4/G25</f>
        <v>0</v>
      </c>
      <c r="N25" s="18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408" t="s">
        <v>150</v>
      </c>
      <c r="B26" s="409"/>
      <c r="C26" s="226" t="s">
        <v>5</v>
      </c>
      <c r="D26" s="226" t="s">
        <v>14</v>
      </c>
      <c r="E26" s="226">
        <f>0.5</f>
        <v>0.5</v>
      </c>
      <c r="F26" s="227">
        <f>SQRT(3)</f>
        <v>1.7320508075688772</v>
      </c>
      <c r="G26" s="226">
        <v>200</v>
      </c>
      <c r="H26" s="228">
        <f t="shared" si="1"/>
        <v>0.28867513459481292</v>
      </c>
      <c r="I26" s="226">
        <v>1</v>
      </c>
      <c r="J26" s="228">
        <f t="shared" si="2"/>
        <v>0.28867513459481292</v>
      </c>
      <c r="K26" s="228">
        <f t="shared" si="0"/>
        <v>8.3333333333333356E-2</v>
      </c>
      <c r="L26" s="232">
        <f t="shared" si="3"/>
        <v>3.4722222222222243E-5</v>
      </c>
      <c r="N26" s="183">
        <v>375.00099999999998</v>
      </c>
      <c r="O26" s="231">
        <v>3</v>
      </c>
      <c r="P26" s="12">
        <v>363</v>
      </c>
      <c r="Q26" s="12">
        <v>3.4</v>
      </c>
    </row>
    <row r="27" spans="1:17" s="5" customFormat="1" x14ac:dyDescent="0.25">
      <c r="A27" s="13" t="s">
        <v>151</v>
      </c>
      <c r="B27" s="14"/>
      <c r="C27" s="14"/>
      <c r="D27" s="14"/>
      <c r="E27" s="14"/>
      <c r="F27" s="14"/>
      <c r="G27" s="14"/>
      <c r="H27" s="14"/>
      <c r="I27" s="15"/>
      <c r="J27" s="222" t="e">
        <f ca="1">SUM(K18:K26)</f>
        <v>#DIV/0!</v>
      </c>
      <c r="K27" s="223"/>
      <c r="L27" s="220" t="e">
        <f ca="1">SUM(L18:L26)</f>
        <v>#DIV/0!</v>
      </c>
      <c r="N27" s="183">
        <v>400.00099999999998</v>
      </c>
      <c r="O27" s="16">
        <v>3.1</v>
      </c>
    </row>
    <row r="28" spans="1:17" s="5" customFormat="1" x14ac:dyDescent="0.25">
      <c r="A28" s="13" t="s">
        <v>152</v>
      </c>
      <c r="B28" s="14"/>
      <c r="C28" s="14"/>
      <c r="D28" s="14"/>
      <c r="E28" s="14"/>
      <c r="F28" s="14"/>
      <c r="G28" s="14"/>
      <c r="H28" s="14"/>
      <c r="I28" s="15"/>
      <c r="J28" s="222" t="e">
        <f ca="1">SQRT(J27)</f>
        <v>#DIV/0!</v>
      </c>
      <c r="K28" s="223"/>
      <c r="L28" s="223"/>
      <c r="N28" s="183">
        <v>425.00099999999998</v>
      </c>
      <c r="O28" s="16">
        <v>3.3</v>
      </c>
    </row>
    <row r="29" spans="1:17" s="5" customFormat="1" x14ac:dyDescent="0.25">
      <c r="A29" s="13" t="s">
        <v>153</v>
      </c>
      <c r="B29" s="14"/>
      <c r="C29" s="14"/>
      <c r="D29" s="14"/>
      <c r="E29" s="14"/>
      <c r="F29" s="14"/>
      <c r="G29" s="14"/>
      <c r="H29" s="14"/>
      <c r="I29" s="15"/>
      <c r="J29" s="236" t="e">
        <f ca="1">J28^4/L27</f>
        <v>#DIV/0!</v>
      </c>
      <c r="K29" s="223"/>
      <c r="L29" s="223"/>
      <c r="N29" s="183">
        <v>450.00099999999998</v>
      </c>
      <c r="O29" s="16">
        <v>3.5</v>
      </c>
    </row>
    <row r="30" spans="1:17" s="5" customFormat="1" x14ac:dyDescent="0.25">
      <c r="A30" s="13" t="s">
        <v>154</v>
      </c>
      <c r="B30" s="14"/>
      <c r="C30" s="14"/>
      <c r="D30" s="14"/>
      <c r="E30" s="14"/>
      <c r="F30" s="14"/>
      <c r="G30" s="14"/>
      <c r="H30" s="14"/>
      <c r="I30" s="15"/>
      <c r="J30" s="221" t="e">
        <f ca="1">TINV(0.05,J29)</f>
        <v>#DIV/0!</v>
      </c>
      <c r="K30" s="223"/>
      <c r="L30" s="223"/>
      <c r="N30" s="183">
        <v>475.00099999999998</v>
      </c>
      <c r="O30" s="16">
        <v>3.7</v>
      </c>
    </row>
    <row r="31" spans="1:17" s="5" customFormat="1" x14ac:dyDescent="0.25">
      <c r="A31" s="13" t="s">
        <v>155</v>
      </c>
      <c r="B31" s="14"/>
      <c r="C31" s="14"/>
      <c r="D31" s="14"/>
      <c r="E31" s="14"/>
      <c r="F31" s="14"/>
      <c r="G31" s="14"/>
      <c r="H31" s="14"/>
      <c r="I31" s="15"/>
      <c r="J31" s="221" t="e">
        <f ca="1">J28*J30</f>
        <v>#DIV/0!</v>
      </c>
      <c r="K31" s="223"/>
      <c r="L31" s="223"/>
      <c r="N31" s="183">
        <v>500.00099999999998</v>
      </c>
      <c r="O31" s="16">
        <v>3.7</v>
      </c>
    </row>
    <row r="32" spans="1:17" x14ac:dyDescent="0.25">
      <c r="K32" s="224"/>
      <c r="L32" s="224"/>
    </row>
    <row r="33" spans="14:19" x14ac:dyDescent="0.25">
      <c r="N33" s="237">
        <f>C15</f>
        <v>0</v>
      </c>
      <c r="O33" s="158">
        <f>VLOOKUP(N33,N11:O31,2)</f>
        <v>0.93</v>
      </c>
      <c r="P33" s="237">
        <f>C15</f>
        <v>0</v>
      </c>
      <c r="Q33" s="158" t="e">
        <f>VLOOKUP(P33,P11:Q23,2)</f>
        <v>#N/A</v>
      </c>
      <c r="R33" s="237">
        <f>C15</f>
        <v>0</v>
      </c>
      <c r="S33" s="158">
        <f>VLOOKUP(R33,R11:S15,2)</f>
        <v>0.93</v>
      </c>
    </row>
    <row r="35" spans="14:19" x14ac:dyDescent="0.25">
      <c r="N35" s="18" t="s">
        <v>338</v>
      </c>
      <c r="O35" s="158">
        <f>O33</f>
        <v>0.93</v>
      </c>
    </row>
    <row r="36" spans="14:19" x14ac:dyDescent="0.25">
      <c r="N36" s="18" t="s">
        <v>339</v>
      </c>
      <c r="O36" s="158" t="e">
        <f>Q33</f>
        <v>#N/A</v>
      </c>
    </row>
    <row r="37" spans="14:19" x14ac:dyDescent="0.25">
      <c r="N37" s="18" t="s">
        <v>343</v>
      </c>
      <c r="O37" s="158">
        <f>S33</f>
        <v>0.93</v>
      </c>
    </row>
    <row r="39" spans="14:19" x14ac:dyDescent="0.25">
      <c r="N39" s="23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0.93</v>
      </c>
    </row>
    <row r="42" spans="14:19" x14ac:dyDescent="0.25">
      <c r="N42" s="239" t="s">
        <v>346</v>
      </c>
      <c r="O42" s="239" t="e">
        <f ca="1">IF(J31&lt;O40,O40,J31)</f>
        <v>#DIV/0!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22" zoomScale="115" zoomScaleNormal="100" zoomScaleSheetLayoutView="115" workbookViewId="0">
      <selection activeCell="J37" sqref="J37:J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16384" width="3.6640625" style="45"/>
  </cols>
  <sheetData>
    <row r="1" spans="1:29" ht="30" customHeight="1" x14ac:dyDescent="0.25">
      <c r="A1" s="389" t="s">
        <v>196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</row>
    <row r="2" spans="1:29" ht="13.95" customHeight="1" x14ac:dyDescent="0.25">
      <c r="A2" s="395" t="s">
        <v>50</v>
      </c>
      <c r="B2" s="395"/>
      <c r="C2" s="395"/>
      <c r="D2" s="395"/>
      <c r="E2" s="53" t="s">
        <v>11</v>
      </c>
      <c r="F2" s="391" t="str">
        <f>SERTIFIKAT!C2</f>
        <v>PAS-K25-999999</v>
      </c>
      <c r="G2" s="391"/>
      <c r="H2" s="391"/>
      <c r="I2" s="391"/>
      <c r="J2" s="391"/>
      <c r="K2" s="391"/>
      <c r="L2" s="391"/>
      <c r="M2" s="391"/>
      <c r="N2" s="391"/>
      <c r="O2" s="425" t="s">
        <v>74</v>
      </c>
      <c r="P2" s="425"/>
      <c r="Q2" s="392" t="s">
        <v>11</v>
      </c>
      <c r="R2" s="390">
        <v>2</v>
      </c>
      <c r="S2" s="392" t="s">
        <v>42</v>
      </c>
      <c r="T2" s="392"/>
      <c r="U2" s="390">
        <v>2</v>
      </c>
      <c r="W2" s="45">
        <v>0</v>
      </c>
    </row>
    <row r="3" spans="1:29" ht="13.95" customHeight="1" x14ac:dyDescent="0.25">
      <c r="A3" s="395" t="s">
        <v>377</v>
      </c>
      <c r="B3" s="395"/>
      <c r="C3" s="395"/>
      <c r="D3" s="395"/>
      <c r="E3" s="53" t="s">
        <v>11</v>
      </c>
      <c r="F3" s="45" t="str">
        <f>IF('INPUT DATA'!E39="Lab. Kalibrasi PT Pananjung Anugrah Solution.",CONCATENATE('INPUT DATA'!E37," ",'INPUT DATA'!F37," ",'INPUT DATA'!H37),LAMPIRAN!F5)</f>
        <v xml:space="preserve">  </v>
      </c>
      <c r="O3" s="426" t="s">
        <v>19</v>
      </c>
      <c r="P3" s="426"/>
      <c r="Q3" s="392"/>
      <c r="R3" s="390"/>
      <c r="S3" s="393" t="s">
        <v>41</v>
      </c>
      <c r="T3" s="393"/>
      <c r="U3" s="390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95" t="s">
        <v>7</v>
      </c>
      <c r="B5" s="395"/>
      <c r="C5" s="395"/>
      <c r="D5" s="395"/>
      <c r="E5" s="53" t="s">
        <v>11</v>
      </c>
      <c r="F5" s="45" t="str">
        <f>CONCATENATE('INPUT DATA'!E38," ",'INPUT DATA'!F38," ",'INPUT DATA'!H38)</f>
        <v xml:space="preserve">  </v>
      </c>
      <c r="O5" s="59"/>
      <c r="P5" s="427" t="s">
        <v>75</v>
      </c>
      <c r="Q5" s="428"/>
      <c r="R5" s="428"/>
      <c r="S5" s="428"/>
      <c r="T5" s="428"/>
      <c r="U5" s="429"/>
      <c r="W5" s="45">
        <v>0</v>
      </c>
    </row>
    <row r="6" spans="1:29" ht="13.95" customHeight="1" x14ac:dyDescent="0.25">
      <c r="A6" s="395" t="s">
        <v>8</v>
      </c>
      <c r="B6" s="395"/>
      <c r="C6" s="395"/>
      <c r="D6" s="395"/>
      <c r="E6" s="53" t="s">
        <v>11</v>
      </c>
      <c r="F6" s="400">
        <f>'INPUT DATA'!E39</f>
        <v>0</v>
      </c>
      <c r="G6" s="400"/>
      <c r="H6" s="400"/>
      <c r="I6" s="400"/>
      <c r="J6" s="400"/>
      <c r="K6" s="400"/>
      <c r="L6" s="400"/>
      <c r="M6" s="400"/>
      <c r="N6" s="400"/>
      <c r="O6" s="417"/>
      <c r="P6" s="56" t="s">
        <v>200</v>
      </c>
      <c r="Q6" s="54" t="s">
        <v>11</v>
      </c>
      <c r="R6" s="57" t="e">
        <f ca="1">"("&amp;FIXED('INPUT DATA'!H42,1)</f>
        <v>#DIV/0!</v>
      </c>
      <c r="S6" s="57" t="s">
        <v>16</v>
      </c>
      <c r="T6" s="58" t="e">
        <f>FIXED('INPUT DATA'!J42,1)&amp;")"</f>
        <v>#DIV/0!</v>
      </c>
      <c r="U6" s="59" t="s">
        <v>350</v>
      </c>
      <c r="W6" s="45">
        <v>0</v>
      </c>
    </row>
    <row r="7" spans="1:29" ht="13.95" customHeight="1" x14ac:dyDescent="0.25">
      <c r="A7" s="395"/>
      <c r="B7" s="395"/>
      <c r="C7" s="395"/>
      <c r="D7" s="395"/>
      <c r="E7" s="53"/>
      <c r="F7" s="400"/>
      <c r="G7" s="400"/>
      <c r="H7" s="400"/>
      <c r="I7" s="400"/>
      <c r="J7" s="400"/>
      <c r="K7" s="400"/>
      <c r="L7" s="400"/>
      <c r="M7" s="400"/>
      <c r="N7" s="400"/>
      <c r="O7" s="417"/>
      <c r="P7" s="60" t="s">
        <v>201</v>
      </c>
      <c r="Q7" s="61" t="s">
        <v>11</v>
      </c>
      <c r="R7" s="62" t="e">
        <f ca="1">"("&amp;FIXED('INPUT DATA'!H43,1)</f>
        <v>#DIV/0!</v>
      </c>
      <c r="S7" s="62" t="s">
        <v>16</v>
      </c>
      <c r="T7" s="63" t="e">
        <f>FIXED('INPUT DATA'!J43,1)&amp;")"</f>
        <v>#DIV/0!</v>
      </c>
      <c r="U7" s="64" t="s">
        <v>52</v>
      </c>
      <c r="W7" s="45">
        <v>0</v>
      </c>
    </row>
    <row r="8" spans="1:29" ht="13.95" customHeight="1" x14ac:dyDescent="0.25">
      <c r="A8" s="395"/>
      <c r="B8" s="395"/>
      <c r="C8" s="395"/>
      <c r="D8" s="395"/>
      <c r="E8" s="53"/>
      <c r="F8" s="138"/>
      <c r="W8" s="45">
        <v>0</v>
      </c>
    </row>
    <row r="9" spans="1:29" ht="13.95" customHeight="1" x14ac:dyDescent="0.25">
      <c r="A9" s="396" t="s">
        <v>76</v>
      </c>
      <c r="B9" s="396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6"/>
      <c r="R9" s="396"/>
      <c r="S9" s="396"/>
      <c r="T9" s="396"/>
      <c r="U9" s="396"/>
      <c r="W9" s="45">
        <v>0</v>
      </c>
    </row>
    <row r="10" spans="1:29" ht="13.95" customHeight="1" x14ac:dyDescent="0.25">
      <c r="A10" s="413" t="s">
        <v>46</v>
      </c>
      <c r="B10" s="413"/>
      <c r="C10" s="413"/>
      <c r="D10" s="413"/>
      <c r="E10" s="413"/>
      <c r="F10" s="413"/>
      <c r="G10" s="413"/>
      <c r="H10" s="413"/>
      <c r="I10" s="413"/>
      <c r="J10" s="413"/>
      <c r="K10" s="413"/>
      <c r="L10" s="413"/>
      <c r="M10" s="413"/>
      <c r="N10" s="413"/>
      <c r="O10" s="413"/>
      <c r="P10" s="413"/>
      <c r="Q10" s="413"/>
      <c r="R10" s="413"/>
      <c r="S10" s="413"/>
      <c r="T10" s="413"/>
      <c r="U10" s="413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349</v>
      </c>
    </row>
    <row r="12" spans="1:29" ht="13.95" customHeight="1" x14ac:dyDescent="0.25">
      <c r="A12" s="65"/>
      <c r="B12" s="65"/>
      <c r="C12" s="65"/>
      <c r="D12" s="433" t="s">
        <v>354</v>
      </c>
      <c r="E12" s="434"/>
      <c r="F12" s="434"/>
      <c r="G12" s="434"/>
      <c r="H12" s="434"/>
      <c r="I12" s="434"/>
      <c r="J12" s="434"/>
      <c r="K12" s="434"/>
      <c r="L12" s="434"/>
      <c r="M12" s="434"/>
      <c r="N12" s="434"/>
      <c r="O12" s="434"/>
      <c r="P12" s="434"/>
      <c r="Q12" s="434"/>
      <c r="R12" s="435"/>
      <c r="S12" s="65"/>
      <c r="T12" s="65"/>
      <c r="U12" s="65"/>
      <c r="W12" s="45" t="s">
        <v>349</v>
      </c>
      <c r="Y12" s="268" t="s">
        <v>354</v>
      </c>
      <c r="Z12" s="269"/>
      <c r="AA12" s="269"/>
      <c r="AB12" s="269"/>
      <c r="AC12" s="270"/>
    </row>
    <row r="13" spans="1:29" ht="13.95" customHeight="1" x14ac:dyDescent="0.35">
      <c r="A13" s="71"/>
      <c r="B13" s="71"/>
      <c r="C13" s="71"/>
      <c r="D13" s="421" t="s">
        <v>159</v>
      </c>
      <c r="E13" s="422"/>
      <c r="F13" s="422"/>
      <c r="G13" s="422"/>
      <c r="H13" s="423"/>
      <c r="I13" s="421" t="s">
        <v>158</v>
      </c>
      <c r="J13" s="422"/>
      <c r="K13" s="422"/>
      <c r="L13" s="422"/>
      <c r="M13" s="423"/>
      <c r="N13" s="421" t="s">
        <v>162</v>
      </c>
      <c r="O13" s="422"/>
      <c r="P13" s="422"/>
      <c r="Q13" s="422"/>
      <c r="R13" s="423"/>
      <c r="S13" s="71"/>
      <c r="T13" s="71"/>
      <c r="U13" s="71"/>
      <c r="W13" s="45" t="s">
        <v>349</v>
      </c>
      <c r="Y13" s="241" t="s">
        <v>348</v>
      </c>
      <c r="Z13" s="242"/>
      <c r="AB13" s="242" t="s">
        <v>360</v>
      </c>
      <c r="AC13" s="243">
        <f>'TABEL DATA'!K4</f>
        <v>1</v>
      </c>
    </row>
    <row r="14" spans="1:29" ht="13.95" customHeight="1" x14ac:dyDescent="0.35">
      <c r="A14" s="71"/>
      <c r="B14" s="71"/>
      <c r="C14" s="71"/>
      <c r="D14" s="414" t="str">
        <f>"( "&amp;'TABEL DATA'!K5&amp;" )"</f>
        <v>( mm )</v>
      </c>
      <c r="E14" s="415"/>
      <c r="F14" s="415"/>
      <c r="G14" s="415"/>
      <c r="H14" s="416"/>
      <c r="I14" s="414" t="str">
        <f>"( "&amp;'TABEL DATA'!L5&amp;" )"</f>
        <v>( μm )</v>
      </c>
      <c r="J14" s="415"/>
      <c r="K14" s="415"/>
      <c r="L14" s="415"/>
      <c r="M14" s="416"/>
      <c r="N14" s="414" t="str">
        <f>I14</f>
        <v>( μm )</v>
      </c>
      <c r="O14" s="415"/>
      <c r="P14" s="415"/>
      <c r="Q14" s="415"/>
      <c r="R14" s="416"/>
      <c r="S14" s="71"/>
      <c r="T14" s="71"/>
      <c r="U14" s="71"/>
      <c r="V14" s="66"/>
      <c r="W14" s="45" t="s">
        <v>349</v>
      </c>
      <c r="X14" s="66"/>
      <c r="Y14" s="260" t="s">
        <v>1</v>
      </c>
      <c r="Z14" s="260">
        <v>2</v>
      </c>
      <c r="AA14" s="445">
        <f>INDEX(Z14:Z15,AC13)</f>
        <v>2</v>
      </c>
      <c r="AB14" s="242"/>
    </row>
    <row r="15" spans="1:29" s="68" customFormat="1" ht="18" customHeight="1" x14ac:dyDescent="0.25">
      <c r="A15" s="123"/>
      <c r="B15" s="123"/>
      <c r="C15" s="123"/>
      <c r="D15" s="424" t="str">
        <f>FIXED('INPUT DATA'!Q52,AA14)</f>
        <v>0.00</v>
      </c>
      <c r="E15" s="424"/>
      <c r="F15" s="424"/>
      <c r="G15" s="424"/>
      <c r="H15" s="424"/>
      <c r="I15" s="424" t="str">
        <f>FIXED('INPUT DATA'!R52,AA14)</f>
        <v>0.00</v>
      </c>
      <c r="J15" s="424"/>
      <c r="K15" s="424"/>
      <c r="L15" s="424"/>
      <c r="M15" s="424"/>
      <c r="N15" s="424" t="str">
        <f>FIXED('INPUT DATA'!S52,AA14)</f>
        <v>0.00</v>
      </c>
      <c r="O15" s="424"/>
      <c r="P15" s="424"/>
      <c r="Q15" s="424"/>
      <c r="R15" s="424"/>
      <c r="S15" s="123"/>
      <c r="T15" s="123"/>
      <c r="U15" s="123"/>
      <c r="V15" s="124"/>
      <c r="W15" s="45" t="s">
        <v>349</v>
      </c>
      <c r="X15" s="124"/>
      <c r="Y15" s="260" t="s">
        <v>304</v>
      </c>
      <c r="Z15" s="260">
        <v>3</v>
      </c>
      <c r="AA15" s="446"/>
    </row>
    <row r="16" spans="1:29" s="48" customFormat="1" ht="13.95" customHeight="1" x14ac:dyDescent="0.35">
      <c r="A16" s="71"/>
      <c r="B16" s="71"/>
      <c r="C16" s="71"/>
      <c r="D16" s="420"/>
      <c r="E16" s="420"/>
      <c r="F16" s="420"/>
      <c r="G16" s="420"/>
      <c r="H16" s="420"/>
      <c r="I16" s="420"/>
      <c r="J16" s="420"/>
      <c r="K16" s="420"/>
      <c r="L16" s="420"/>
      <c r="M16" s="420"/>
      <c r="N16" s="420"/>
      <c r="O16" s="420"/>
      <c r="P16" s="420"/>
      <c r="Q16" s="420"/>
      <c r="R16" s="420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430" t="s">
        <v>355</v>
      </c>
      <c r="E17" s="431"/>
      <c r="F17" s="431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1"/>
      <c r="R17" s="432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421" t="s">
        <v>264</v>
      </c>
      <c r="E18" s="422"/>
      <c r="F18" s="422"/>
      <c r="G18" s="422"/>
      <c r="H18" s="423"/>
      <c r="I18" s="421" t="s">
        <v>202</v>
      </c>
      <c r="J18" s="422"/>
      <c r="K18" s="422"/>
      <c r="L18" s="422"/>
      <c r="M18" s="423"/>
      <c r="N18" s="421" t="s">
        <v>10</v>
      </c>
      <c r="O18" s="422"/>
      <c r="P18" s="422"/>
      <c r="Q18" s="422"/>
      <c r="R18" s="423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36" t="s">
        <v>265</v>
      </c>
      <c r="E19" s="437"/>
      <c r="F19" s="437"/>
      <c r="G19" s="437"/>
      <c r="H19" s="438"/>
      <c r="I19" s="436" t="s">
        <v>203</v>
      </c>
      <c r="J19" s="437"/>
      <c r="K19" s="437"/>
      <c r="L19" s="437"/>
      <c r="M19" s="438"/>
      <c r="N19" s="436" t="s">
        <v>44</v>
      </c>
      <c r="O19" s="437"/>
      <c r="P19" s="437"/>
      <c r="Q19" s="437"/>
      <c r="R19" s="438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414" t="str">
        <f>"( "&amp;'TABEL DATA'!K5&amp;" )"</f>
        <v>( mm )</v>
      </c>
      <c r="E20" s="415"/>
      <c r="F20" s="415"/>
      <c r="G20" s="415"/>
      <c r="H20" s="416"/>
      <c r="I20" s="414" t="str">
        <f>D20</f>
        <v>( mm )</v>
      </c>
      <c r="J20" s="415"/>
      <c r="K20" s="415"/>
      <c r="L20" s="415"/>
      <c r="M20" s="416"/>
      <c r="N20" s="414" t="str">
        <f>D20</f>
        <v>( mm )</v>
      </c>
      <c r="O20" s="415"/>
      <c r="P20" s="415"/>
      <c r="Q20" s="415"/>
      <c r="R20" s="416"/>
      <c r="S20" s="71"/>
      <c r="T20" s="71"/>
      <c r="U20" s="71"/>
      <c r="V20" s="66"/>
      <c r="W20" s="45">
        <v>0</v>
      </c>
      <c r="X20" s="66"/>
      <c r="Y20" s="268" t="s">
        <v>355</v>
      </c>
      <c r="Z20" s="266"/>
      <c r="AA20" s="266"/>
      <c r="AB20" s="266"/>
      <c r="AC20" s="266"/>
    </row>
    <row r="21" spans="1:29" s="55" customFormat="1" ht="18" customHeight="1" x14ac:dyDescent="0.25">
      <c r="A21" s="74"/>
      <c r="B21" s="74"/>
      <c r="C21" s="74"/>
      <c r="D21" s="419" t="str">
        <f>IF('INPUT DATA'!Q58="","",FIXED('INPUT DATA'!Q58,$AA$22))</f>
        <v>0.000</v>
      </c>
      <c r="E21" s="419"/>
      <c r="F21" s="419"/>
      <c r="G21" s="419"/>
      <c r="H21" s="419"/>
      <c r="I21" s="419" t="e">
        <f>IF(D21="","",FIXED('INPUT DATA'!R58,$AA$22))</f>
        <v>#VALUE!</v>
      </c>
      <c r="J21" s="419"/>
      <c r="K21" s="419"/>
      <c r="L21" s="419"/>
      <c r="M21" s="419"/>
      <c r="N21" s="419" t="e">
        <f>IF(D21="","",FIXED('INPUT DATA'!S58,$AA$22))</f>
        <v>#VALUE!</v>
      </c>
      <c r="O21" s="419"/>
      <c r="P21" s="419"/>
      <c r="Q21" s="419"/>
      <c r="R21" s="419"/>
      <c r="S21" s="74"/>
      <c r="T21" s="74"/>
      <c r="U21" s="74"/>
      <c r="V21" s="75"/>
      <c r="W21" s="45">
        <v>1</v>
      </c>
      <c r="X21" s="240"/>
      <c r="Y21" s="241" t="s">
        <v>348</v>
      </c>
      <c r="Z21" s="242"/>
      <c r="AA21" s="242"/>
      <c r="AB21" s="242" t="s">
        <v>360</v>
      </c>
      <c r="AC21" s="243">
        <f>'TABEL DATA'!K4</f>
        <v>1</v>
      </c>
    </row>
    <row r="22" spans="1:29" s="55" customFormat="1" ht="18" customHeight="1" x14ac:dyDescent="0.25">
      <c r="A22" s="74"/>
      <c r="B22" s="74"/>
      <c r="C22" s="74"/>
      <c r="D22" s="419" t="str">
        <f>IF('INPUT DATA'!Q59="","",FIXED('INPUT DATA'!Q59,$AA$22))</f>
        <v>2.500</v>
      </c>
      <c r="E22" s="419"/>
      <c r="F22" s="419"/>
      <c r="G22" s="419"/>
      <c r="H22" s="419"/>
      <c r="I22" s="419" t="e">
        <f>IF(D22="","",FIXED('INPUT DATA'!R59,$AA$22))</f>
        <v>#VALUE!</v>
      </c>
      <c r="J22" s="419"/>
      <c r="K22" s="419"/>
      <c r="L22" s="419"/>
      <c r="M22" s="419"/>
      <c r="N22" s="419" t="e">
        <f>IF(D22="","",FIXED('INPUT DATA'!S59,$AA$22))</f>
        <v>#VALUE!</v>
      </c>
      <c r="O22" s="419"/>
      <c r="P22" s="419"/>
      <c r="Q22" s="419"/>
      <c r="R22" s="419"/>
      <c r="S22" s="74"/>
      <c r="T22" s="74"/>
      <c r="U22" s="74"/>
      <c r="V22" s="75"/>
      <c r="W22" s="45">
        <v>2</v>
      </c>
      <c r="X22" s="75"/>
      <c r="Y22" s="260" t="s">
        <v>1</v>
      </c>
      <c r="Z22" s="260">
        <v>3</v>
      </c>
      <c r="AA22" s="445">
        <f>INDEX(Z22:Z23,AC21)</f>
        <v>3</v>
      </c>
      <c r="AB22" s="242"/>
    </row>
    <row r="23" spans="1:29" s="55" customFormat="1" ht="18" customHeight="1" x14ac:dyDescent="0.25">
      <c r="A23" s="74"/>
      <c r="B23" s="74"/>
      <c r="C23" s="74"/>
      <c r="D23" s="419" t="str">
        <f>IF('INPUT DATA'!Q60="","",FIXED('INPUT DATA'!Q60,$AA$22))</f>
        <v>5.100</v>
      </c>
      <c r="E23" s="419"/>
      <c r="F23" s="419"/>
      <c r="G23" s="419"/>
      <c r="H23" s="419"/>
      <c r="I23" s="419" t="e">
        <f>IF(D23="","",FIXED('INPUT DATA'!R60,$AA$22))</f>
        <v>#VALUE!</v>
      </c>
      <c r="J23" s="419"/>
      <c r="K23" s="419"/>
      <c r="L23" s="419"/>
      <c r="M23" s="419"/>
      <c r="N23" s="419" t="e">
        <f>IF(D23="","",FIXED('INPUT DATA'!S60,$AA$22))</f>
        <v>#VALUE!</v>
      </c>
      <c r="O23" s="419"/>
      <c r="P23" s="419"/>
      <c r="Q23" s="419"/>
      <c r="R23" s="419"/>
      <c r="S23" s="74"/>
      <c r="T23" s="74"/>
      <c r="U23" s="74"/>
      <c r="V23" s="75"/>
      <c r="W23" s="45">
        <v>3</v>
      </c>
      <c r="X23" s="75"/>
      <c r="Y23" s="260" t="s">
        <v>304</v>
      </c>
      <c r="Z23" s="260">
        <v>5</v>
      </c>
      <c r="AA23" s="446"/>
      <c r="AB23" s="242"/>
    </row>
    <row r="24" spans="1:29" s="55" customFormat="1" ht="18" customHeight="1" x14ac:dyDescent="0.25">
      <c r="A24" s="74"/>
      <c r="B24" s="74"/>
      <c r="C24" s="74"/>
      <c r="D24" s="419" t="str">
        <f>IF('INPUT DATA'!Q61="","",FIXED('INPUT DATA'!Q61,$AA$22))</f>
        <v>7.700</v>
      </c>
      <c r="E24" s="419"/>
      <c r="F24" s="419"/>
      <c r="G24" s="419"/>
      <c r="H24" s="419"/>
      <c r="I24" s="419" t="e">
        <f>IF(D24="","",FIXED('INPUT DATA'!R61,$AA$22))</f>
        <v>#VALUE!</v>
      </c>
      <c r="J24" s="419"/>
      <c r="K24" s="419"/>
      <c r="L24" s="419"/>
      <c r="M24" s="419"/>
      <c r="N24" s="419" t="e">
        <f>IF(D24="","",FIXED('INPUT DATA'!S61,$AA$22))</f>
        <v>#VALUE!</v>
      </c>
      <c r="O24" s="419"/>
      <c r="P24" s="419"/>
      <c r="Q24" s="419"/>
      <c r="R24" s="419"/>
      <c r="S24" s="74"/>
      <c r="T24" s="74"/>
      <c r="U24" s="74"/>
      <c r="V24" s="75"/>
      <c r="W24" s="45">
        <v>4</v>
      </c>
      <c r="X24" s="75"/>
      <c r="AA24" s="52"/>
    </row>
    <row r="25" spans="1:29" s="55" customFormat="1" ht="18" customHeight="1" x14ac:dyDescent="0.25">
      <c r="A25" s="74"/>
      <c r="B25" s="74"/>
      <c r="C25" s="74"/>
      <c r="D25" s="419" t="str">
        <f>IF('INPUT DATA'!Q62="","",FIXED('INPUT DATA'!Q62,$AA$22))</f>
        <v>10.300</v>
      </c>
      <c r="E25" s="419"/>
      <c r="F25" s="419"/>
      <c r="G25" s="419"/>
      <c r="H25" s="419"/>
      <c r="I25" s="419" t="e">
        <f>IF(D25="","",FIXED('INPUT DATA'!R62,$AA$22))</f>
        <v>#VALUE!</v>
      </c>
      <c r="J25" s="419"/>
      <c r="K25" s="419"/>
      <c r="L25" s="419"/>
      <c r="M25" s="419"/>
      <c r="N25" s="419" t="e">
        <f>IF(D25="","",FIXED('INPUT DATA'!S62,$AA$22))</f>
        <v>#VALUE!</v>
      </c>
      <c r="O25" s="419"/>
      <c r="P25" s="419"/>
      <c r="Q25" s="419"/>
      <c r="R25" s="419"/>
      <c r="S25" s="74"/>
      <c r="T25" s="74"/>
      <c r="U25" s="74"/>
      <c r="V25" s="75"/>
      <c r="W25" s="45">
        <v>5</v>
      </c>
      <c r="X25" s="75"/>
    </row>
    <row r="26" spans="1:29" s="55" customFormat="1" ht="18" customHeight="1" x14ac:dyDescent="0.25">
      <c r="A26" s="74"/>
      <c r="B26" s="74"/>
      <c r="C26" s="74"/>
      <c r="D26" s="419" t="str">
        <f>IF('INPUT DATA'!Q63="","",FIXED('INPUT DATA'!Q63,$AA$22))</f>
        <v>12.900</v>
      </c>
      <c r="E26" s="419"/>
      <c r="F26" s="419"/>
      <c r="G26" s="419"/>
      <c r="H26" s="419"/>
      <c r="I26" s="419" t="e">
        <f>IF(D26="","",FIXED('INPUT DATA'!R63,$AA$22))</f>
        <v>#VALUE!</v>
      </c>
      <c r="J26" s="419"/>
      <c r="K26" s="419"/>
      <c r="L26" s="419"/>
      <c r="M26" s="419"/>
      <c r="N26" s="419" t="e">
        <f>IF(D26="","",FIXED('INPUT DATA'!S63,$AA$22))</f>
        <v>#VALUE!</v>
      </c>
      <c r="O26" s="419"/>
      <c r="P26" s="419"/>
      <c r="Q26" s="419"/>
      <c r="R26" s="419"/>
      <c r="S26" s="74"/>
      <c r="T26" s="74"/>
      <c r="U26" s="74"/>
      <c r="V26" s="75"/>
      <c r="W26" s="45">
        <v>6</v>
      </c>
      <c r="X26" s="75"/>
    </row>
    <row r="27" spans="1:29" s="55" customFormat="1" ht="18" customHeight="1" x14ac:dyDescent="0.25">
      <c r="A27" s="74"/>
      <c r="B27" s="74"/>
      <c r="C27" s="74"/>
      <c r="D27" s="419" t="str">
        <f>IF('INPUT DATA'!Q64="","",FIXED('INPUT DATA'!Q64,$AA$22))</f>
        <v>15.000</v>
      </c>
      <c r="E27" s="419"/>
      <c r="F27" s="419"/>
      <c r="G27" s="419"/>
      <c r="H27" s="419"/>
      <c r="I27" s="419" t="e">
        <f>IF(D27="","",FIXED('INPUT DATA'!R64,$AA$22))</f>
        <v>#VALUE!</v>
      </c>
      <c r="J27" s="419"/>
      <c r="K27" s="419"/>
      <c r="L27" s="419"/>
      <c r="M27" s="419"/>
      <c r="N27" s="419" t="e">
        <f>IF(D27="","",FIXED('INPUT DATA'!S64,$AA$22))</f>
        <v>#VALUE!</v>
      </c>
      <c r="O27" s="419"/>
      <c r="P27" s="419"/>
      <c r="Q27" s="419"/>
      <c r="R27" s="419"/>
      <c r="S27" s="74"/>
      <c r="T27" s="74"/>
      <c r="U27" s="74"/>
      <c r="V27" s="75"/>
      <c r="W27" s="45">
        <v>7</v>
      </c>
      <c r="X27" s="75"/>
    </row>
    <row r="28" spans="1:29" s="55" customFormat="1" ht="18" customHeight="1" x14ac:dyDescent="0.25">
      <c r="A28" s="74"/>
      <c r="B28" s="74"/>
      <c r="C28" s="74"/>
      <c r="D28" s="419" t="str">
        <f>IF('INPUT DATA'!Q65="","",FIXED('INPUT DATA'!Q65,$AA$22))</f>
        <v>17.600</v>
      </c>
      <c r="E28" s="419"/>
      <c r="F28" s="419"/>
      <c r="G28" s="419"/>
      <c r="H28" s="419"/>
      <c r="I28" s="419" t="e">
        <f>IF(D28="","",FIXED('INPUT DATA'!R65,$AA$22))</f>
        <v>#VALUE!</v>
      </c>
      <c r="J28" s="419"/>
      <c r="K28" s="419"/>
      <c r="L28" s="419"/>
      <c r="M28" s="419"/>
      <c r="N28" s="419" t="e">
        <f>IF(D28="","",FIXED('INPUT DATA'!S65,$AA$22))</f>
        <v>#VALUE!</v>
      </c>
      <c r="O28" s="419"/>
      <c r="P28" s="419"/>
      <c r="Q28" s="419"/>
      <c r="R28" s="419"/>
      <c r="S28" s="74"/>
      <c r="T28" s="74"/>
      <c r="U28" s="74"/>
      <c r="V28" s="75"/>
      <c r="W28" s="45">
        <v>8</v>
      </c>
      <c r="X28" s="75"/>
    </row>
    <row r="29" spans="1:29" s="73" customFormat="1" ht="18" customHeight="1" x14ac:dyDescent="0.25">
      <c r="A29" s="74"/>
      <c r="B29" s="74"/>
      <c r="C29" s="74"/>
      <c r="D29" s="419" t="str">
        <f>IF('INPUT DATA'!Q66="","",FIXED('INPUT DATA'!Q66,$AA$22))</f>
        <v>20.200</v>
      </c>
      <c r="E29" s="419"/>
      <c r="F29" s="419"/>
      <c r="G29" s="419"/>
      <c r="H29" s="419"/>
      <c r="I29" s="419" t="e">
        <f>IF(D29="","",FIXED('INPUT DATA'!R66,$AA$22))</f>
        <v>#VALUE!</v>
      </c>
      <c r="J29" s="419"/>
      <c r="K29" s="419"/>
      <c r="L29" s="419"/>
      <c r="M29" s="419"/>
      <c r="N29" s="419" t="e">
        <f>IF(D29="","",FIXED('INPUT DATA'!S66,$AA$22))</f>
        <v>#VALUE!</v>
      </c>
      <c r="O29" s="419"/>
      <c r="P29" s="419"/>
      <c r="Q29" s="419"/>
      <c r="R29" s="419"/>
      <c r="S29" s="74"/>
      <c r="T29" s="74"/>
      <c r="U29" s="74"/>
      <c r="V29" s="70"/>
      <c r="W29" s="45">
        <v>9</v>
      </c>
      <c r="X29" s="70"/>
      <c r="Y29" s="55"/>
    </row>
    <row r="30" spans="1:29" s="54" customFormat="1" ht="18" customHeight="1" x14ac:dyDescent="0.25">
      <c r="A30" s="74"/>
      <c r="B30" s="74"/>
      <c r="C30" s="74"/>
      <c r="D30" s="419" t="str">
        <f>IF('INPUT DATA'!Q67="","",FIXED('INPUT DATA'!Q67,$AA$22))</f>
        <v>22.800</v>
      </c>
      <c r="E30" s="419"/>
      <c r="F30" s="419"/>
      <c r="G30" s="419"/>
      <c r="H30" s="419"/>
      <c r="I30" s="419" t="e">
        <f>IF(D30="","",FIXED('INPUT DATA'!R67,$AA$22))</f>
        <v>#VALUE!</v>
      </c>
      <c r="J30" s="419"/>
      <c r="K30" s="419"/>
      <c r="L30" s="419"/>
      <c r="M30" s="419"/>
      <c r="N30" s="419" t="e">
        <f>IF(D30="","",FIXED('INPUT DATA'!S67,$AA$22))</f>
        <v>#VALUE!</v>
      </c>
      <c r="O30" s="419"/>
      <c r="P30" s="419"/>
      <c r="Q30" s="419"/>
      <c r="R30" s="419"/>
      <c r="S30" s="74"/>
      <c r="T30" s="74"/>
      <c r="U30" s="74"/>
      <c r="W30" s="45">
        <v>10</v>
      </c>
      <c r="Y30" s="55"/>
      <c r="Z30" s="261"/>
      <c r="AA30" s="261"/>
    </row>
    <row r="31" spans="1:29" s="54" customFormat="1" ht="18" customHeight="1" x14ac:dyDescent="0.25">
      <c r="A31" s="74"/>
      <c r="B31" s="74"/>
      <c r="C31" s="74"/>
      <c r="D31" s="419" t="str">
        <f>IF('INPUT DATA'!Q68="","",FIXED('INPUT DATA'!Q68,$AA$22))</f>
        <v>25.000</v>
      </c>
      <c r="E31" s="419"/>
      <c r="F31" s="419"/>
      <c r="G31" s="419"/>
      <c r="H31" s="419"/>
      <c r="I31" s="419" t="e">
        <f>IF(D31="","",FIXED('INPUT DATA'!R68,$AA$22))</f>
        <v>#VALUE!</v>
      </c>
      <c r="J31" s="419"/>
      <c r="K31" s="419"/>
      <c r="L31" s="419"/>
      <c r="M31" s="419"/>
      <c r="N31" s="419" t="e">
        <f>IF(D31="","",FIXED('INPUT DATA'!S68,$AA$22))</f>
        <v>#VALUE!</v>
      </c>
      <c r="O31" s="419"/>
      <c r="P31" s="419"/>
      <c r="Q31" s="419"/>
      <c r="R31" s="419"/>
      <c r="S31" s="74"/>
      <c r="T31" s="74"/>
      <c r="U31" s="74"/>
      <c r="V31" s="75"/>
      <c r="W31" s="45">
        <v>11</v>
      </c>
      <c r="X31" s="75"/>
      <c r="Y31" s="55"/>
      <c r="Z31" s="261"/>
      <c r="AA31" s="261"/>
    </row>
    <row r="32" spans="1:29" s="54" customFormat="1" ht="18" hidden="1" customHeight="1" x14ac:dyDescent="0.25">
      <c r="A32" s="74"/>
      <c r="B32" s="74"/>
      <c r="C32" s="74"/>
      <c r="D32" s="419" t="str">
        <f>IF('INPUT DATA'!Q69="","",FIXED('INPUT DATA'!Q69,$AA$22))</f>
        <v/>
      </c>
      <c r="E32" s="419"/>
      <c r="F32" s="419"/>
      <c r="G32" s="419"/>
      <c r="H32" s="419"/>
      <c r="I32" s="419" t="str">
        <f>IF(D32="","",FIXED('INPUT DATA'!R69,$AA$22))</f>
        <v/>
      </c>
      <c r="J32" s="419"/>
      <c r="K32" s="419"/>
      <c r="L32" s="419"/>
      <c r="M32" s="419"/>
      <c r="N32" s="419" t="str">
        <f>IF(D32="","",FIXED('INPUT DATA'!S69,$AA$22))</f>
        <v/>
      </c>
      <c r="O32" s="419"/>
      <c r="P32" s="419"/>
      <c r="Q32" s="419"/>
      <c r="R32" s="419"/>
      <c r="S32" s="74"/>
      <c r="T32" s="74"/>
      <c r="U32" s="74"/>
      <c r="V32" s="75"/>
      <c r="W32" s="45">
        <v>12</v>
      </c>
      <c r="X32" s="75"/>
      <c r="Y32" s="55"/>
    </row>
    <row r="33" spans="1:38" s="54" customFormat="1" ht="18" hidden="1" customHeight="1" x14ac:dyDescent="0.25">
      <c r="A33" s="74"/>
      <c r="B33" s="74"/>
      <c r="C33" s="74"/>
      <c r="D33" s="419" t="str">
        <f>IF('INPUT DATA'!Q70="","",FIXED('INPUT DATA'!Q70,$AA$22))</f>
        <v/>
      </c>
      <c r="E33" s="419"/>
      <c r="F33" s="419"/>
      <c r="G33" s="419"/>
      <c r="H33" s="419"/>
      <c r="I33" s="419" t="str">
        <f>IF(D33="","",FIXED('INPUT DATA'!R70,$AA$22))</f>
        <v/>
      </c>
      <c r="J33" s="419"/>
      <c r="K33" s="419"/>
      <c r="L33" s="419"/>
      <c r="M33" s="419"/>
      <c r="N33" s="419" t="str">
        <f>IF(D33="","",FIXED('INPUT DATA'!S70,$AA$22))</f>
        <v/>
      </c>
      <c r="O33" s="419"/>
      <c r="P33" s="419"/>
      <c r="Q33" s="419"/>
      <c r="R33" s="419"/>
      <c r="S33" s="74"/>
      <c r="T33" s="74"/>
      <c r="U33" s="74"/>
      <c r="V33" s="75"/>
      <c r="W33" s="45">
        <v>13</v>
      </c>
      <c r="X33" s="75"/>
    </row>
    <row r="34" spans="1:38" s="54" customFormat="1" ht="18" hidden="1" customHeight="1" x14ac:dyDescent="0.25">
      <c r="A34" s="74"/>
      <c r="B34" s="74"/>
      <c r="C34" s="74"/>
      <c r="D34" s="419" t="str">
        <f>IF('INPUT DATA'!Q71="","",FIXED('INPUT DATA'!Q71,$AA$22))</f>
        <v/>
      </c>
      <c r="E34" s="419"/>
      <c r="F34" s="419"/>
      <c r="G34" s="419"/>
      <c r="H34" s="419"/>
      <c r="I34" s="419" t="str">
        <f>IF(D34="","",FIXED('INPUT DATA'!R71,$AA$22))</f>
        <v/>
      </c>
      <c r="J34" s="419"/>
      <c r="K34" s="419"/>
      <c r="L34" s="419"/>
      <c r="M34" s="419"/>
      <c r="N34" s="419" t="str">
        <f>IF(D34="","",FIXED('INPUT DATA'!S71,$AA$22))</f>
        <v/>
      </c>
      <c r="O34" s="419"/>
      <c r="P34" s="419"/>
      <c r="Q34" s="419"/>
      <c r="R34" s="419"/>
      <c r="S34" s="74"/>
      <c r="T34" s="74"/>
      <c r="U34" s="74"/>
      <c r="V34" s="75"/>
      <c r="W34" s="45">
        <v>14</v>
      </c>
      <c r="X34" s="75"/>
    </row>
    <row r="35" spans="1:38" s="54" customFormat="1" ht="18" hidden="1" customHeight="1" x14ac:dyDescent="0.25">
      <c r="A35" s="74"/>
      <c r="B35" s="74"/>
      <c r="C35" s="74"/>
      <c r="D35" s="419" t="str">
        <f>IF('INPUT DATA'!Q72="","",FIXED('INPUT DATA'!Q72,$AA$22))</f>
        <v/>
      </c>
      <c r="E35" s="419"/>
      <c r="F35" s="419"/>
      <c r="G35" s="419"/>
      <c r="H35" s="419"/>
      <c r="I35" s="419" t="str">
        <f>IF(D35="","",FIXED('INPUT DATA'!R72,$AA$22))</f>
        <v/>
      </c>
      <c r="J35" s="419"/>
      <c r="K35" s="419"/>
      <c r="L35" s="419"/>
      <c r="M35" s="419"/>
      <c r="N35" s="419" t="str">
        <f>IF(D35="","",FIXED('INPUT DATA'!S72,$AA$22))</f>
        <v/>
      </c>
      <c r="O35" s="419"/>
      <c r="P35" s="419"/>
      <c r="Q35" s="419"/>
      <c r="R35" s="419"/>
      <c r="S35" s="74"/>
      <c r="T35" s="74"/>
      <c r="U35" s="74"/>
      <c r="V35" s="75"/>
      <c r="W35" s="45">
        <v>15</v>
      </c>
      <c r="X35" s="75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62" t="s">
        <v>347</v>
      </c>
      <c r="Z36" s="263"/>
      <c r="AA36" s="263"/>
      <c r="AB36" s="264"/>
    </row>
    <row r="37" spans="1:38" s="48" customFormat="1" ht="13.95" customHeight="1" x14ac:dyDescent="0.35">
      <c r="A37" s="71"/>
      <c r="B37" s="71"/>
      <c r="C37" s="71"/>
      <c r="D37" s="441" t="s">
        <v>256</v>
      </c>
      <c r="E37" s="441"/>
      <c r="F37" s="441"/>
      <c r="G37" s="441"/>
      <c r="H37" s="441"/>
      <c r="I37" s="441"/>
      <c r="J37" s="439" t="s">
        <v>16</v>
      </c>
      <c r="K37" s="443" t="e">
        <f ca="1">IF(Y37="","",ROUND(Y37,IF(Y37&lt;10,ABS(INT(LOG10(ABS(Y37))))+1,0)))</f>
        <v>#DIV/0!</v>
      </c>
      <c r="L37" s="443"/>
      <c r="M37" s="444" t="str">
        <f>'TABEL DATA'!L5</f>
        <v>μm</v>
      </c>
      <c r="N37" s="444"/>
      <c r="O37" s="114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65" t="e">
        <f ca="1">KETIDAKPASTIAN!O42/'TABEL DATA'!M5</f>
        <v>#DIV/0!</v>
      </c>
      <c r="Z37" s="266"/>
      <c r="AA37" s="266"/>
      <c r="AB37" s="267"/>
    </row>
    <row r="38" spans="1:38" s="69" customFormat="1" ht="15" customHeight="1" x14ac:dyDescent="0.35">
      <c r="A38" s="71"/>
      <c r="B38" s="71"/>
      <c r="C38" s="71"/>
      <c r="D38" s="442" t="s">
        <v>204</v>
      </c>
      <c r="E38" s="442"/>
      <c r="F38" s="442"/>
      <c r="G38" s="442"/>
      <c r="H38" s="442"/>
      <c r="I38" s="442"/>
      <c r="J38" s="440"/>
      <c r="K38" s="443"/>
      <c r="L38" s="443"/>
      <c r="M38" s="444"/>
      <c r="N38" s="444"/>
      <c r="O38" s="114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19" customFormat="1" ht="12.9" customHeight="1" x14ac:dyDescent="0.25">
      <c r="A40" s="117" t="s">
        <v>45</v>
      </c>
      <c r="B40" s="118"/>
      <c r="W40" s="45">
        <v>0</v>
      </c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</row>
    <row r="41" spans="1:38" s="119" customFormat="1" ht="11.1" customHeight="1" x14ac:dyDescent="0.25">
      <c r="A41" s="119" t="s">
        <v>263</v>
      </c>
      <c r="W41" s="45">
        <v>0</v>
      </c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</row>
    <row r="42" spans="1:38" s="119" customFormat="1" ht="11.1" customHeight="1" x14ac:dyDescent="0.25">
      <c r="A42" s="121" t="s">
        <v>262</v>
      </c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W42" s="45">
        <v>0</v>
      </c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</row>
    <row r="43" spans="1:38" s="119" customFormat="1" ht="5.0999999999999996" customHeight="1" x14ac:dyDescent="0.25">
      <c r="W43" s="45">
        <v>0</v>
      </c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</row>
    <row r="44" spans="1:38" s="119" customFormat="1" ht="11.1" customHeight="1" x14ac:dyDescent="0.25">
      <c r="A44" s="119" t="s">
        <v>77</v>
      </c>
      <c r="W44" s="45">
        <v>0</v>
      </c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</row>
    <row r="45" spans="1:38" s="119" customFormat="1" ht="11.1" customHeight="1" x14ac:dyDescent="0.25">
      <c r="A45" s="121" t="s">
        <v>78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W45" s="45">
        <v>0</v>
      </c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</row>
    <row r="46" spans="1:38" s="119" customFormat="1" ht="5.0999999999999996" customHeight="1" x14ac:dyDescent="0.25">
      <c r="W46" s="45">
        <v>0</v>
      </c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</row>
    <row r="47" spans="1:38" s="119" customFormat="1" ht="11.1" customHeight="1" x14ac:dyDescent="0.25">
      <c r="A47" s="119" t="s">
        <v>109</v>
      </c>
      <c r="W47" s="45">
        <v>0</v>
      </c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</row>
    <row r="48" spans="1:38" s="119" customFormat="1" ht="11.1" customHeight="1" x14ac:dyDescent="0.25">
      <c r="A48" s="121" t="s">
        <v>110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W48" s="45">
        <v>0</v>
      </c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</row>
    <row r="49" spans="1:38" s="119" customFormat="1" ht="5.0999999999999996" customHeight="1" x14ac:dyDescent="0.25">
      <c r="W49" s="45">
        <v>0</v>
      </c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</row>
    <row r="50" spans="1:38" s="119" customFormat="1" ht="10.95" customHeight="1" x14ac:dyDescent="0.25">
      <c r="A50" s="119" t="str">
        <f>IF('TABEL DATA'!K4=1,"","*  Faktor Konversi : 1 inch = 25.4 mm")</f>
        <v/>
      </c>
      <c r="W50" s="45">
        <v>0</v>
      </c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</row>
    <row r="51" spans="1:38" s="119" customFormat="1" ht="10.95" customHeight="1" x14ac:dyDescent="0.25">
      <c r="A51" s="121"/>
      <c r="W51" s="45">
        <v>0</v>
      </c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</row>
    <row r="52" spans="1:38" s="119" customFormat="1" ht="11.1" customHeight="1" x14ac:dyDescent="0.25">
      <c r="A52" s="418" t="s">
        <v>261</v>
      </c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  <c r="Q52" s="418"/>
      <c r="R52" s="418"/>
      <c r="S52" s="418"/>
      <c r="T52" s="418"/>
      <c r="U52" s="418"/>
      <c r="W52" s="45">
        <v>0</v>
      </c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</row>
    <row r="53" spans="1:38" s="119" customFormat="1" ht="11.1" customHeight="1" x14ac:dyDescent="0.25">
      <c r="A53" s="121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W53" s="45">
        <v>0</v>
      </c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phoneticPr fontId="14" type="noConversion"/>
  <conditionalFormatting sqref="A52">
    <cfRule type="expression" dxfId="0" priority="1">
      <formula>OR($Y$2=1,$Y$2=3)</formula>
    </cfRule>
  </conditionalFormatting>
  <printOptions horizontalCentered="1"/>
  <pageMargins left="0" right="0" top="1.1023622047244095" bottom="0.78740157480314965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2"/>
  <sheetViews>
    <sheetView topLeftCell="F1" workbookViewId="0">
      <selection activeCell="P5" sqref="P5"/>
    </sheetView>
  </sheetViews>
  <sheetFormatPr defaultColWidth="10.6640625" defaultRowHeight="11.4" x14ac:dyDescent="0.25"/>
  <cols>
    <col min="1" max="2" width="10.6640625" style="101"/>
    <col min="3" max="3" width="30" style="101" customWidth="1"/>
    <col min="4" max="4" width="15.6640625" style="101" customWidth="1"/>
    <col min="5" max="5" width="49.109375" style="101" bestFit="1" customWidth="1"/>
    <col min="6" max="16" width="10.6640625" style="101"/>
    <col min="17" max="17" width="16.5546875" style="101" customWidth="1"/>
    <col min="18" max="16384" width="10.6640625" style="101"/>
  </cols>
  <sheetData>
    <row r="1" spans="1:18" s="108" customFormat="1" ht="19.95" customHeight="1" x14ac:dyDescent="0.25">
      <c r="A1" s="106" t="s">
        <v>221</v>
      </c>
      <c r="B1" s="106" t="s">
        <v>222</v>
      </c>
      <c r="C1" s="107" t="s">
        <v>167</v>
      </c>
      <c r="D1" s="107" t="s">
        <v>226</v>
      </c>
      <c r="E1" s="107" t="s">
        <v>227</v>
      </c>
      <c r="F1" s="106" t="s">
        <v>223</v>
      </c>
      <c r="G1" s="106" t="s">
        <v>178</v>
      </c>
      <c r="H1" s="106" t="s">
        <v>232</v>
      </c>
      <c r="I1" s="106" t="s">
        <v>133</v>
      </c>
      <c r="J1" s="193" t="s">
        <v>302</v>
      </c>
      <c r="K1" s="193" t="s">
        <v>4</v>
      </c>
      <c r="L1" s="193" t="s">
        <v>305</v>
      </c>
      <c r="M1" s="193" t="s">
        <v>308</v>
      </c>
      <c r="N1" s="193" t="s">
        <v>316</v>
      </c>
      <c r="O1" s="193" t="s">
        <v>324</v>
      </c>
      <c r="P1" s="193" t="s">
        <v>344</v>
      </c>
      <c r="Q1" s="193" t="s">
        <v>356</v>
      </c>
      <c r="R1" s="193" t="s">
        <v>362</v>
      </c>
    </row>
    <row r="2" spans="1:18" ht="13.2" x14ac:dyDescent="0.25">
      <c r="A2" s="109" t="s">
        <v>53</v>
      </c>
      <c r="B2" s="110" t="s">
        <v>54</v>
      </c>
      <c r="C2" s="110" t="s">
        <v>228</v>
      </c>
      <c r="D2" s="110" t="s">
        <v>243</v>
      </c>
      <c r="E2" s="136" t="s">
        <v>246</v>
      </c>
      <c r="F2" s="111" t="s">
        <v>169</v>
      </c>
      <c r="G2" s="110">
        <v>100</v>
      </c>
      <c r="H2" s="110">
        <v>0.01</v>
      </c>
      <c r="I2" s="194">
        <v>0.1</v>
      </c>
      <c r="J2" s="110">
        <v>0</v>
      </c>
      <c r="K2" s="110" t="s">
        <v>1</v>
      </c>
      <c r="L2" s="110" t="s">
        <v>307</v>
      </c>
      <c r="M2" s="110">
        <v>1</v>
      </c>
      <c r="N2" s="110">
        <v>3</v>
      </c>
      <c r="O2" s="16">
        <v>0</v>
      </c>
      <c r="P2" s="18" t="s">
        <v>338</v>
      </c>
      <c r="Q2" s="18" t="s">
        <v>189</v>
      </c>
      <c r="R2" s="18" t="s">
        <v>364</v>
      </c>
    </row>
    <row r="3" spans="1:18" ht="13.2" x14ac:dyDescent="0.25">
      <c r="A3" s="109" t="s">
        <v>55</v>
      </c>
      <c r="B3" s="110" t="s">
        <v>56</v>
      </c>
      <c r="C3" s="110" t="s">
        <v>83</v>
      </c>
      <c r="D3" s="110" t="s">
        <v>244</v>
      </c>
      <c r="E3" s="136" t="str">
        <f>CONCATENATE('INPUT DATA'!E30)</f>
        <v/>
      </c>
      <c r="F3" s="110" t="s">
        <v>170</v>
      </c>
      <c r="G3" s="110">
        <v>150</v>
      </c>
      <c r="H3" s="110">
        <v>1E-3</v>
      </c>
      <c r="I3" s="194">
        <v>0.5</v>
      </c>
      <c r="J3" s="110">
        <v>2.5</v>
      </c>
      <c r="K3" s="110" t="s">
        <v>304</v>
      </c>
      <c r="L3" s="110" t="s">
        <v>306</v>
      </c>
      <c r="M3" s="110">
        <v>25.4</v>
      </c>
      <c r="N3" s="110">
        <v>5</v>
      </c>
      <c r="O3" s="16">
        <v>25</v>
      </c>
      <c r="P3" s="18" t="s">
        <v>339</v>
      </c>
      <c r="Q3" s="18" t="s">
        <v>357</v>
      </c>
      <c r="R3" s="18" t="s">
        <v>364</v>
      </c>
    </row>
    <row r="4" spans="1:18" ht="13.2" x14ac:dyDescent="0.25">
      <c r="A4" s="109" t="s">
        <v>57</v>
      </c>
      <c r="B4" s="110" t="s">
        <v>58</v>
      </c>
      <c r="C4" s="110" t="s">
        <v>229</v>
      </c>
      <c r="D4" s="16" t="s">
        <v>245</v>
      </c>
      <c r="E4"/>
      <c r="F4" s="110" t="s">
        <v>172</v>
      </c>
      <c r="G4" s="110">
        <v>200</v>
      </c>
      <c r="H4" s="110">
        <v>1E-4</v>
      </c>
      <c r="I4" s="194">
        <v>1</v>
      </c>
      <c r="J4" s="110">
        <v>5.0999999999999996</v>
      </c>
      <c r="K4" s="219">
        <v>1</v>
      </c>
      <c r="O4" s="16">
        <v>50</v>
      </c>
      <c r="P4" s="18" t="s">
        <v>343</v>
      </c>
      <c r="Q4" s="18" t="s">
        <v>358</v>
      </c>
      <c r="R4" s="18" t="s">
        <v>363</v>
      </c>
    </row>
    <row r="5" spans="1:18" ht="13.2" x14ac:dyDescent="0.25">
      <c r="A5" s="109" t="s">
        <v>59</v>
      </c>
      <c r="B5" s="110" t="s">
        <v>60</v>
      </c>
      <c r="C5" s="110" t="s">
        <v>230</v>
      </c>
      <c r="D5"/>
      <c r="E5"/>
      <c r="F5" s="110" t="s">
        <v>173</v>
      </c>
      <c r="G5" s="110">
        <v>300</v>
      </c>
      <c r="H5" s="110">
        <v>5.0000000000000002E-5</v>
      </c>
      <c r="I5" s="195">
        <v>1</v>
      </c>
      <c r="J5" s="110">
        <v>7.7</v>
      </c>
      <c r="K5" s="198" t="str">
        <f>INDEX(K2:K3,$K4)</f>
        <v>mm</v>
      </c>
      <c r="L5" s="198" t="str">
        <f t="shared" ref="L5:N5" si="0">INDEX(L2:L3,$K4)</f>
        <v>μm</v>
      </c>
      <c r="M5" s="198">
        <f t="shared" si="0"/>
        <v>1</v>
      </c>
      <c r="N5" s="198">
        <f t="shared" si="0"/>
        <v>3</v>
      </c>
      <c r="O5" s="16">
        <v>75</v>
      </c>
    </row>
    <row r="6" spans="1:18" ht="13.2" x14ac:dyDescent="0.25">
      <c r="A6" s="109" t="s">
        <v>61</v>
      </c>
      <c r="B6" s="110" t="s">
        <v>62</v>
      </c>
      <c r="C6" s="110" t="s">
        <v>231</v>
      </c>
      <c r="D6"/>
      <c r="E6"/>
      <c r="F6" s="110" t="s">
        <v>171</v>
      </c>
      <c r="I6" s="197">
        <f>INDEX(I2:I4,I5)</f>
        <v>0.1</v>
      </c>
      <c r="J6" s="110">
        <v>10.3</v>
      </c>
      <c r="O6" s="16">
        <v>100</v>
      </c>
      <c r="P6" s="219">
        <v>1</v>
      </c>
      <c r="Q6" s="198" t="str">
        <f>INDEX(Q2:Q4,P6)</f>
        <v>PAS-IK-1102-02</v>
      </c>
      <c r="R6" s="198" t="str">
        <f>INDEX(R2:R4,P6)</f>
        <v>JIS B 7502:2016 (JMA/JSA); SNSU PK.P-01:2020.</v>
      </c>
    </row>
    <row r="7" spans="1:18" ht="13.2" x14ac:dyDescent="0.25">
      <c r="A7" s="109" t="s">
        <v>63</v>
      </c>
      <c r="B7" s="110" t="s">
        <v>224</v>
      </c>
      <c r="C7" s="110" t="str">
        <f>CONCATENATE('INPUT DATA'!E16)</f>
        <v/>
      </c>
      <c r="D7"/>
      <c r="E7"/>
      <c r="F7" s="110" t="s">
        <v>174</v>
      </c>
      <c r="J7" s="110">
        <v>12.9</v>
      </c>
      <c r="O7" s="16">
        <v>125</v>
      </c>
    </row>
    <row r="8" spans="1:18" ht="13.2" x14ac:dyDescent="0.25">
      <c r="A8" s="109" t="s">
        <v>64</v>
      </c>
      <c r="B8" s="110" t="s">
        <v>65</v>
      </c>
      <c r="C8" s="110" t="str">
        <f>CONCATENATE('INPUT DATA'!E17)</f>
        <v/>
      </c>
      <c r="D8"/>
      <c r="E8"/>
      <c r="F8" s="110" t="s">
        <v>175</v>
      </c>
      <c r="J8" s="110">
        <v>15</v>
      </c>
      <c r="O8" s="16">
        <v>150</v>
      </c>
    </row>
    <row r="9" spans="1:18" ht="13.2" x14ac:dyDescent="0.25">
      <c r="A9" s="109" t="s">
        <v>66</v>
      </c>
      <c r="B9" s="110" t="s">
        <v>67</v>
      </c>
      <c r="F9" s="110" t="s">
        <v>51</v>
      </c>
      <c r="J9" s="110">
        <v>17.600000000000001</v>
      </c>
      <c r="O9" s="16">
        <v>175</v>
      </c>
    </row>
    <row r="10" spans="1:18" ht="13.2" x14ac:dyDescent="0.25">
      <c r="A10" s="109" t="s">
        <v>49</v>
      </c>
      <c r="B10" s="110" t="s">
        <v>47</v>
      </c>
      <c r="F10" s="110" t="s">
        <v>225</v>
      </c>
      <c r="J10" s="110">
        <v>20.2</v>
      </c>
      <c r="O10" s="16">
        <v>200</v>
      </c>
    </row>
    <row r="11" spans="1:18" ht="13.2" x14ac:dyDescent="0.25">
      <c r="A11" s="109" t="s">
        <v>68</v>
      </c>
      <c r="B11" s="110" t="s">
        <v>69</v>
      </c>
      <c r="J11" s="110">
        <v>22.8</v>
      </c>
      <c r="O11" s="16">
        <v>225</v>
      </c>
    </row>
    <row r="12" spans="1:18" ht="13.2" x14ac:dyDescent="0.25">
      <c r="A12" s="109" t="s">
        <v>70</v>
      </c>
      <c r="B12" s="110" t="s">
        <v>71</v>
      </c>
      <c r="J12" s="110">
        <v>25</v>
      </c>
      <c r="O12" s="16">
        <v>250</v>
      </c>
    </row>
    <row r="13" spans="1:18" ht="13.2" x14ac:dyDescent="0.25">
      <c r="A13" s="109" t="s">
        <v>72</v>
      </c>
      <c r="B13" s="110" t="s">
        <v>73</v>
      </c>
      <c r="O13" s="16">
        <v>275</v>
      </c>
    </row>
    <row r="14" spans="1:18" ht="13.2" x14ac:dyDescent="0.25">
      <c r="A14" s="109" t="s">
        <v>92</v>
      </c>
      <c r="O14" s="16">
        <v>300</v>
      </c>
    </row>
    <row r="15" spans="1:18" ht="13.2" x14ac:dyDescent="0.25">
      <c r="A15" s="109" t="s">
        <v>93</v>
      </c>
      <c r="O15" s="16">
        <v>325</v>
      </c>
    </row>
    <row r="16" spans="1:18" ht="13.2" x14ac:dyDescent="0.25">
      <c r="A16" s="109" t="s">
        <v>94</v>
      </c>
      <c r="O16" s="16">
        <v>350</v>
      </c>
    </row>
    <row r="17" spans="1:15" ht="13.2" x14ac:dyDescent="0.25">
      <c r="A17" s="109" t="s">
        <v>95</v>
      </c>
      <c r="O17" s="16">
        <v>375</v>
      </c>
    </row>
    <row r="18" spans="1:15" ht="13.2" x14ac:dyDescent="0.25">
      <c r="A18" s="109" t="s">
        <v>96</v>
      </c>
      <c r="O18" s="16">
        <v>400</v>
      </c>
    </row>
    <row r="19" spans="1:15" ht="13.2" x14ac:dyDescent="0.25">
      <c r="A19" s="109" t="s">
        <v>97</v>
      </c>
      <c r="O19" s="16">
        <v>425</v>
      </c>
    </row>
    <row r="20" spans="1:15" ht="13.2" x14ac:dyDescent="0.25">
      <c r="A20" s="109" t="s">
        <v>98</v>
      </c>
      <c r="O20" s="16">
        <v>450</v>
      </c>
    </row>
    <row r="21" spans="1:15" ht="13.2" x14ac:dyDescent="0.25">
      <c r="A21" s="109" t="s">
        <v>99</v>
      </c>
      <c r="O21" s="16">
        <v>475</v>
      </c>
    </row>
    <row r="22" spans="1:15" ht="13.2" x14ac:dyDescent="0.25">
      <c r="A22" s="109" t="s">
        <v>84</v>
      </c>
      <c r="O22" s="16">
        <v>500</v>
      </c>
    </row>
    <row r="23" spans="1:15" ht="13.2" x14ac:dyDescent="0.25">
      <c r="A23" s="109" t="s">
        <v>100</v>
      </c>
      <c r="N23" s="101" t="s">
        <v>321</v>
      </c>
      <c r="O23" s="16">
        <f>'INPUT DATA'!C75*'TABEL DATA'!M5</f>
        <v>0</v>
      </c>
    </row>
    <row r="24" spans="1:15" x14ac:dyDescent="0.25">
      <c r="A24" s="109" t="s">
        <v>101</v>
      </c>
    </row>
    <row r="25" spans="1:15" x14ac:dyDescent="0.25">
      <c r="A25" s="109" t="s">
        <v>85</v>
      </c>
      <c r="O25" s="219">
        <v>1</v>
      </c>
    </row>
    <row r="26" spans="1:15" x14ac:dyDescent="0.25">
      <c r="A26" s="109" t="s">
        <v>102</v>
      </c>
      <c r="O26" s="198">
        <f>INDEX(O2:O23,O25)</f>
        <v>0</v>
      </c>
    </row>
    <row r="27" spans="1:15" x14ac:dyDescent="0.25">
      <c r="A27" s="109" t="s">
        <v>87</v>
      </c>
    </row>
    <row r="28" spans="1:15" x14ac:dyDescent="0.25">
      <c r="A28" s="109" t="s">
        <v>86</v>
      </c>
    </row>
    <row r="29" spans="1:15" x14ac:dyDescent="0.25">
      <c r="A29" s="109" t="s">
        <v>103</v>
      </c>
    </row>
    <row r="30" spans="1:15" x14ac:dyDescent="0.25">
      <c r="A30" s="109" t="s">
        <v>104</v>
      </c>
    </row>
    <row r="31" spans="1:15" x14ac:dyDescent="0.25">
      <c r="A31" s="109" t="s">
        <v>105</v>
      </c>
    </row>
    <row r="32" spans="1:15" x14ac:dyDescent="0.25">
      <c r="A32" s="109" t="s">
        <v>106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71836-501F-4EF8-B036-F93557B53B5E}">
  <sheetPr codeName="Sheet7"/>
  <dimension ref="A1:J321"/>
  <sheetViews>
    <sheetView view="pageBreakPreview" topLeftCell="A293" zoomScaleNormal="80" zoomScaleSheetLayoutView="100" workbookViewId="0">
      <selection activeCell="B312" sqref="B312"/>
    </sheetView>
  </sheetViews>
  <sheetFormatPr defaultColWidth="9.33203125" defaultRowHeight="16.2" customHeight="1" x14ac:dyDescent="0.25"/>
  <cols>
    <col min="1" max="1" width="4.5546875" style="83" customWidth="1"/>
    <col min="2" max="2" width="16" style="83" customWidth="1"/>
    <col min="3" max="3" width="15.44140625" style="83" customWidth="1"/>
    <col min="4" max="4" width="13.5546875" style="83" customWidth="1"/>
    <col min="5" max="5" width="9.6640625" style="83" customWidth="1"/>
    <col min="6" max="6" width="5" style="83" customWidth="1"/>
    <col min="7" max="8" width="13.5546875" style="83" customWidth="1"/>
    <col min="9" max="9" width="18.44140625" style="83" customWidth="1"/>
    <col min="10" max="10" width="9.5546875" style="83" customWidth="1"/>
    <col min="11" max="16384" width="9.33203125" style="83"/>
  </cols>
  <sheetData>
    <row r="1" spans="2:10" s="76" customFormat="1" ht="16.2" customHeight="1" x14ac:dyDescent="0.25">
      <c r="B1" s="76" t="s">
        <v>205</v>
      </c>
    </row>
    <row r="3" spans="2:10" s="78" customFormat="1" ht="16.2" customHeight="1" x14ac:dyDescent="0.25">
      <c r="B3" s="77" t="s">
        <v>88</v>
      </c>
      <c r="C3" s="451" t="s">
        <v>233</v>
      </c>
      <c r="D3" s="452"/>
      <c r="G3" s="79" t="s">
        <v>89</v>
      </c>
      <c r="H3" s="80"/>
      <c r="I3" s="453" t="s">
        <v>366</v>
      </c>
      <c r="J3" s="454"/>
    </row>
    <row r="4" spans="2:10" s="78" customFormat="1" ht="16.2" customHeight="1" x14ac:dyDescent="0.25">
      <c r="B4" s="77" t="s">
        <v>206</v>
      </c>
      <c r="C4" s="452" t="s">
        <v>234</v>
      </c>
      <c r="D4" s="452"/>
      <c r="G4" s="79" t="s">
        <v>90</v>
      </c>
      <c r="H4" s="80"/>
      <c r="I4" s="82" t="s">
        <v>258</v>
      </c>
      <c r="J4" s="81"/>
    </row>
    <row r="5" spans="2:10" s="78" customFormat="1" ht="16.2" customHeight="1" x14ac:dyDescent="0.25">
      <c r="B5" s="77" t="s">
        <v>207</v>
      </c>
      <c r="C5" s="451" t="s">
        <v>235</v>
      </c>
      <c r="D5" s="451"/>
    </row>
    <row r="6" spans="2:10" ht="15.6" customHeight="1" x14ac:dyDescent="0.25"/>
    <row r="7" spans="2:10" s="78" customFormat="1" ht="16.2" customHeight="1" x14ac:dyDescent="0.25">
      <c r="B7" s="455" t="s">
        <v>208</v>
      </c>
      <c r="C7" s="456"/>
      <c r="D7" s="457"/>
      <c r="G7" s="455" t="s">
        <v>209</v>
      </c>
      <c r="H7" s="456"/>
      <c r="I7" s="457"/>
    </row>
    <row r="8" spans="2:10" s="85" customFormat="1" ht="27" customHeight="1" x14ac:dyDescent="0.25">
      <c r="B8" s="84" t="s">
        <v>210</v>
      </c>
      <c r="C8" s="84" t="s">
        <v>91</v>
      </c>
      <c r="D8" s="84" t="s">
        <v>211</v>
      </c>
      <c r="G8" s="84" t="s">
        <v>210</v>
      </c>
      <c r="H8" s="84" t="s">
        <v>91</v>
      </c>
      <c r="I8" s="84" t="s">
        <v>211</v>
      </c>
    </row>
    <row r="9" spans="2:10" s="85" customFormat="1" ht="16.2" customHeight="1" x14ac:dyDescent="0.25">
      <c r="B9" s="84" t="s">
        <v>212</v>
      </c>
      <c r="C9" s="84" t="s">
        <v>212</v>
      </c>
      <c r="D9" s="84" t="s">
        <v>212</v>
      </c>
      <c r="G9" s="84" t="s">
        <v>52</v>
      </c>
      <c r="H9" s="84" t="s">
        <v>52</v>
      </c>
      <c r="I9" s="84" t="s">
        <v>52</v>
      </c>
    </row>
    <row r="10" spans="2:10" s="87" customFormat="1" ht="16.2" customHeight="1" x14ac:dyDescent="0.25">
      <c r="B10" s="86">
        <v>15.9</v>
      </c>
      <c r="C10" s="86">
        <v>0</v>
      </c>
      <c r="D10" s="447">
        <v>0.55000000000000004</v>
      </c>
      <c r="G10" s="86">
        <v>25</v>
      </c>
      <c r="H10" s="86">
        <v>-1</v>
      </c>
      <c r="I10" s="450">
        <v>2.8</v>
      </c>
    </row>
    <row r="11" spans="2:10" s="87" customFormat="1" ht="16.2" customHeight="1" x14ac:dyDescent="0.25">
      <c r="B11" s="86">
        <v>19.399999999999999</v>
      </c>
      <c r="C11" s="86">
        <v>0.5</v>
      </c>
      <c r="D11" s="448"/>
      <c r="G11" s="86">
        <v>36</v>
      </c>
      <c r="H11" s="86">
        <v>1</v>
      </c>
      <c r="I11" s="450"/>
    </row>
    <row r="12" spans="2:10" s="87" customFormat="1" ht="16.2" customHeight="1" x14ac:dyDescent="0.25">
      <c r="B12" s="86">
        <v>24.9</v>
      </c>
      <c r="C12" s="86">
        <v>0.1</v>
      </c>
      <c r="D12" s="448"/>
      <c r="G12" s="86">
        <v>42</v>
      </c>
      <c r="H12" s="86">
        <v>4</v>
      </c>
      <c r="I12" s="450"/>
    </row>
    <row r="13" spans="2:10" s="87" customFormat="1" ht="16.2" customHeight="1" x14ac:dyDescent="0.25">
      <c r="B13" s="86">
        <v>29.5</v>
      </c>
      <c r="C13" s="86">
        <v>0.6</v>
      </c>
      <c r="D13" s="448"/>
      <c r="G13" s="86">
        <v>52</v>
      </c>
      <c r="H13" s="86">
        <v>4</v>
      </c>
      <c r="I13" s="450"/>
    </row>
    <row r="14" spans="2:10" ht="16.2" customHeight="1" x14ac:dyDescent="0.25">
      <c r="B14" s="140">
        <v>40.200000000000003</v>
      </c>
      <c r="C14" s="140">
        <v>0.1</v>
      </c>
      <c r="D14" s="448"/>
      <c r="E14" s="87"/>
      <c r="F14" s="87"/>
      <c r="G14" s="86">
        <v>68</v>
      </c>
      <c r="H14" s="86">
        <v>3</v>
      </c>
      <c r="I14" s="450"/>
    </row>
    <row r="15" spans="2:10" ht="16.2" customHeight="1" x14ac:dyDescent="0.25">
      <c r="B15" s="127" t="e">
        <f>B312</f>
        <v>#DIV/0!</v>
      </c>
      <c r="C15" s="88" t="e">
        <f ca="1">FORECAST(B15,OFFSET($C$10:$C$14,MATCH(B15,$B$10:$B$14,1)-1,0,2),OFFSET($B$10:$B$14,MATCH(B15,$B$10:$B$14,1)-1,0,2))</f>
        <v>#DIV/0!</v>
      </c>
      <c r="D15" s="449"/>
      <c r="G15" s="88" t="e">
        <f>G312</f>
        <v>#DIV/0!</v>
      </c>
      <c r="H15" s="88" t="e">
        <f ca="1">FORECAST(G15,OFFSET($H$10:$H$14,MATCH(G15,$G$10:$G$14,1)-1,0,2),OFFSET($G$10:$G$14,MATCH(G15,$G$10:$G$14,1)-1,0,2))</f>
        <v>#DIV/0!</v>
      </c>
      <c r="I15" s="450"/>
    </row>
    <row r="16" spans="2:10" ht="16.2" customHeight="1" x14ac:dyDescent="0.25">
      <c r="B16" s="87"/>
      <c r="C16" s="87"/>
      <c r="D16" s="87"/>
      <c r="E16" s="87"/>
      <c r="F16" s="87"/>
      <c r="G16" s="87"/>
      <c r="H16" s="87"/>
    </row>
    <row r="18" spans="1:10" s="78" customFormat="1" ht="16.2" customHeight="1" x14ac:dyDescent="0.25">
      <c r="B18" s="77" t="s">
        <v>88</v>
      </c>
      <c r="C18" s="451" t="s">
        <v>233</v>
      </c>
      <c r="D18" s="452"/>
      <c r="G18" s="79" t="s">
        <v>89</v>
      </c>
      <c r="H18" s="80"/>
      <c r="I18" s="453" t="s">
        <v>370</v>
      </c>
      <c r="J18" s="454"/>
    </row>
    <row r="19" spans="1:10" s="78" customFormat="1" ht="16.2" customHeight="1" x14ac:dyDescent="0.25">
      <c r="B19" s="77" t="s">
        <v>206</v>
      </c>
      <c r="C19" s="452" t="s">
        <v>234</v>
      </c>
      <c r="D19" s="452"/>
      <c r="G19" s="79" t="s">
        <v>90</v>
      </c>
      <c r="H19" s="80"/>
      <c r="I19" s="82" t="s">
        <v>258</v>
      </c>
      <c r="J19" s="81"/>
    </row>
    <row r="20" spans="1:10" s="78" customFormat="1" ht="16.2" customHeight="1" x14ac:dyDescent="0.25">
      <c r="B20" s="77" t="s">
        <v>207</v>
      </c>
      <c r="C20" s="451" t="s">
        <v>236</v>
      </c>
      <c r="D20" s="451"/>
    </row>
    <row r="21" spans="1:10" ht="15.6" customHeight="1" x14ac:dyDescent="0.25"/>
    <row r="22" spans="1:10" s="78" customFormat="1" ht="16.2" customHeight="1" x14ac:dyDescent="0.25">
      <c r="B22" s="455" t="s">
        <v>208</v>
      </c>
      <c r="C22" s="456"/>
      <c r="D22" s="457"/>
      <c r="G22" s="455" t="s">
        <v>209</v>
      </c>
      <c r="H22" s="456"/>
      <c r="I22" s="457"/>
    </row>
    <row r="23" spans="1:10" s="85" customFormat="1" ht="27" customHeight="1" x14ac:dyDescent="0.25">
      <c r="B23" s="84" t="s">
        <v>210</v>
      </c>
      <c r="C23" s="84" t="s">
        <v>91</v>
      </c>
      <c r="D23" s="84" t="s">
        <v>211</v>
      </c>
      <c r="G23" s="84" t="s">
        <v>210</v>
      </c>
      <c r="H23" s="84" t="s">
        <v>91</v>
      </c>
      <c r="I23" s="84" t="s">
        <v>211</v>
      </c>
    </row>
    <row r="24" spans="1:10" s="85" customFormat="1" ht="16.2" customHeight="1" x14ac:dyDescent="0.25">
      <c r="B24" s="84" t="s">
        <v>212</v>
      </c>
      <c r="C24" s="84" t="s">
        <v>212</v>
      </c>
      <c r="D24" s="84" t="s">
        <v>212</v>
      </c>
      <c r="G24" s="84" t="s">
        <v>52</v>
      </c>
      <c r="H24" s="84" t="s">
        <v>52</v>
      </c>
      <c r="I24" s="84" t="s">
        <v>52</v>
      </c>
    </row>
    <row r="25" spans="1:10" s="87" customFormat="1" ht="16.2" customHeight="1" x14ac:dyDescent="0.25">
      <c r="A25" s="279">
        <v>15</v>
      </c>
      <c r="B25" s="280">
        <f>FORECAST(A25,B26:B29,A26:A29)</f>
        <v>16.374285714285708</v>
      </c>
      <c r="C25" s="280">
        <f>FORECAST(A25,C26:C27,A26:A27)</f>
        <v>-0.3</v>
      </c>
      <c r="D25" s="458">
        <v>0.51</v>
      </c>
      <c r="F25" s="87">
        <v>30</v>
      </c>
      <c r="G25" s="280">
        <f>FORECAST(F25,G26:G27,F26:F27)</f>
        <v>28.999999999999993</v>
      </c>
      <c r="H25" s="280">
        <f>FORECAST(F25,H26:H27,F26:F27)</f>
        <v>1</v>
      </c>
      <c r="I25" s="450">
        <v>2.2000000000000002</v>
      </c>
    </row>
    <row r="26" spans="1:10" s="87" customFormat="1" ht="16.2" customHeight="1" x14ac:dyDescent="0.25">
      <c r="A26" s="281">
        <v>20</v>
      </c>
      <c r="B26" s="86">
        <v>21.2</v>
      </c>
      <c r="C26" s="86">
        <v>-0.3</v>
      </c>
      <c r="D26" s="458"/>
      <c r="F26" s="87">
        <v>40</v>
      </c>
      <c r="G26" s="86">
        <v>40</v>
      </c>
      <c r="H26" s="271">
        <v>0</v>
      </c>
      <c r="I26" s="450"/>
    </row>
    <row r="27" spans="1:10" s="87" customFormat="1" ht="16.2" customHeight="1" x14ac:dyDescent="0.25">
      <c r="A27" s="281">
        <v>25</v>
      </c>
      <c r="B27" s="86">
        <v>26.1</v>
      </c>
      <c r="C27" s="86">
        <v>-0.3</v>
      </c>
      <c r="D27" s="458"/>
      <c r="F27" s="87">
        <v>50</v>
      </c>
      <c r="G27" s="86">
        <v>51</v>
      </c>
      <c r="H27" s="271">
        <v>-1</v>
      </c>
      <c r="I27" s="450"/>
    </row>
    <row r="28" spans="1:10" s="87" customFormat="1" ht="16.2" customHeight="1" x14ac:dyDescent="0.25">
      <c r="A28" s="281">
        <v>30</v>
      </c>
      <c r="B28" s="86">
        <v>30.9</v>
      </c>
      <c r="C28" s="86">
        <v>-0.1</v>
      </c>
      <c r="D28" s="458"/>
      <c r="F28" s="87">
        <v>60</v>
      </c>
      <c r="G28" s="86">
        <v>60</v>
      </c>
      <c r="H28" s="271">
        <v>-1</v>
      </c>
      <c r="I28" s="450"/>
    </row>
    <row r="29" spans="1:10" s="87" customFormat="1" ht="16.2" customHeight="1" x14ac:dyDescent="0.25">
      <c r="A29" s="281">
        <v>40</v>
      </c>
      <c r="B29" s="86">
        <v>40.6</v>
      </c>
      <c r="C29" s="143">
        <v>0</v>
      </c>
      <c r="D29" s="458"/>
      <c r="F29" s="87">
        <v>70</v>
      </c>
      <c r="G29" s="86">
        <v>70</v>
      </c>
      <c r="H29" s="271">
        <v>-1</v>
      </c>
      <c r="I29" s="450"/>
    </row>
    <row r="30" spans="1:10" ht="16.2" customHeight="1" x14ac:dyDescent="0.25">
      <c r="A30" s="279">
        <v>50</v>
      </c>
      <c r="B30" s="280">
        <f>FORECAST(A30,B28:B29,A28:A29)</f>
        <v>50.300000000000004</v>
      </c>
      <c r="C30" s="280">
        <f>FORECAST(A30,C28:C29,A28:A29)</f>
        <v>9.9999999999999978E-2</v>
      </c>
      <c r="D30" s="458"/>
      <c r="E30" s="87"/>
      <c r="F30" s="87">
        <v>80</v>
      </c>
      <c r="G30" s="280">
        <f>FORECAST(F30,G28:G29,F28:F29)</f>
        <v>80</v>
      </c>
      <c r="H30" s="280">
        <f>FORECAST(F30,H28:H29,F28:F29)</f>
        <v>-1</v>
      </c>
      <c r="I30" s="450"/>
    </row>
    <row r="31" spans="1:10" ht="16.2" customHeight="1" x14ac:dyDescent="0.25">
      <c r="B31" s="128" t="e">
        <f>B312</f>
        <v>#DIV/0!</v>
      </c>
      <c r="C31" s="88" t="e">
        <f ca="1">FORECAST(B31,OFFSET($C$25:$C$30,MATCH(B31,$B$25:$B$30,1)-1,0,2),OFFSET($B$25:$B$30,MATCH(B31,$B$25:$B$30,1)-1,0,2))</f>
        <v>#DIV/0!</v>
      </c>
      <c r="D31" s="458"/>
      <c r="G31" s="88" t="e">
        <f>G312</f>
        <v>#DIV/0!</v>
      </c>
      <c r="H31" s="273" t="e">
        <f ca="1">FORECAST(G31,OFFSET($H$25:$H$30,MATCH(G31,$G$25:$G$30,1)-1,0,2),OFFSET($G$25:$G$30,MATCH(G31,$G$25:$G$30,1)-1,0,2))</f>
        <v>#DIV/0!</v>
      </c>
      <c r="I31" s="450"/>
    </row>
    <row r="32" spans="1:10" ht="16.2" customHeight="1" x14ac:dyDescent="0.25">
      <c r="B32" s="87"/>
      <c r="C32" s="87"/>
      <c r="D32" s="87"/>
      <c r="E32" s="87"/>
      <c r="F32" s="87"/>
      <c r="G32" s="87"/>
      <c r="H32" s="87"/>
    </row>
    <row r="34" spans="2:10" s="78" customFormat="1" ht="16.2" customHeight="1" x14ac:dyDescent="0.25">
      <c r="B34" s="77" t="s">
        <v>88</v>
      </c>
      <c r="C34" s="451" t="s">
        <v>233</v>
      </c>
      <c r="D34" s="452"/>
      <c r="G34" s="79" t="s">
        <v>89</v>
      </c>
      <c r="H34" s="80"/>
      <c r="I34" s="453" t="s">
        <v>366</v>
      </c>
      <c r="J34" s="454"/>
    </row>
    <row r="35" spans="2:10" s="78" customFormat="1" ht="16.2" customHeight="1" x14ac:dyDescent="0.25">
      <c r="B35" s="77" t="s">
        <v>206</v>
      </c>
      <c r="C35" s="452" t="s">
        <v>234</v>
      </c>
      <c r="D35" s="452"/>
      <c r="G35" s="79" t="s">
        <v>90</v>
      </c>
      <c r="H35" s="80"/>
      <c r="I35" s="82" t="s">
        <v>258</v>
      </c>
      <c r="J35" s="81"/>
    </row>
    <row r="36" spans="2:10" s="78" customFormat="1" ht="16.2" customHeight="1" x14ac:dyDescent="0.25">
      <c r="B36" s="77" t="s">
        <v>207</v>
      </c>
      <c r="C36" s="451" t="s">
        <v>237</v>
      </c>
      <c r="D36" s="451"/>
    </row>
    <row r="37" spans="2:10" ht="15.6" customHeight="1" x14ac:dyDescent="0.25"/>
    <row r="38" spans="2:10" s="78" customFormat="1" ht="16.2" customHeight="1" x14ac:dyDescent="0.25">
      <c r="B38" s="455" t="s">
        <v>208</v>
      </c>
      <c r="C38" s="456"/>
      <c r="D38" s="457"/>
      <c r="G38" s="455" t="s">
        <v>209</v>
      </c>
      <c r="H38" s="456"/>
      <c r="I38" s="457"/>
    </row>
    <row r="39" spans="2:10" s="85" customFormat="1" ht="27" customHeight="1" x14ac:dyDescent="0.25">
      <c r="B39" s="84" t="s">
        <v>210</v>
      </c>
      <c r="C39" s="84" t="s">
        <v>91</v>
      </c>
      <c r="D39" s="84" t="s">
        <v>211</v>
      </c>
      <c r="G39" s="84" t="s">
        <v>210</v>
      </c>
      <c r="H39" s="84" t="s">
        <v>91</v>
      </c>
      <c r="I39" s="84" t="s">
        <v>211</v>
      </c>
    </row>
    <row r="40" spans="2:10" s="85" customFormat="1" ht="16.2" customHeight="1" x14ac:dyDescent="0.25">
      <c r="B40" s="84" t="s">
        <v>212</v>
      </c>
      <c r="C40" s="84" t="s">
        <v>212</v>
      </c>
      <c r="D40" s="84" t="s">
        <v>212</v>
      </c>
      <c r="G40" s="84" t="s">
        <v>52</v>
      </c>
      <c r="H40" s="84" t="s">
        <v>52</v>
      </c>
      <c r="I40" s="84" t="s">
        <v>52</v>
      </c>
    </row>
    <row r="41" spans="2:10" s="87" customFormat="1" ht="16.2" customHeight="1" x14ac:dyDescent="0.25">
      <c r="B41" s="86">
        <v>15.9</v>
      </c>
      <c r="C41" s="86">
        <v>0</v>
      </c>
      <c r="D41" s="447">
        <v>0.55000000000000004</v>
      </c>
      <c r="G41" s="86">
        <v>26</v>
      </c>
      <c r="H41" s="86">
        <v>-2</v>
      </c>
      <c r="I41" s="450">
        <v>2.8</v>
      </c>
    </row>
    <row r="42" spans="2:10" s="87" customFormat="1" ht="16.2" customHeight="1" x14ac:dyDescent="0.25">
      <c r="B42" s="86">
        <v>19.100000000000001</v>
      </c>
      <c r="C42" s="86">
        <v>0.8</v>
      </c>
      <c r="D42" s="448"/>
      <c r="G42" s="86">
        <v>37</v>
      </c>
      <c r="H42" s="86">
        <v>0</v>
      </c>
      <c r="I42" s="450"/>
    </row>
    <row r="43" spans="2:10" s="87" customFormat="1" ht="16.2" customHeight="1" x14ac:dyDescent="0.25">
      <c r="B43" s="86">
        <v>24.8</v>
      </c>
      <c r="C43" s="86">
        <v>0.2</v>
      </c>
      <c r="D43" s="448"/>
      <c r="G43" s="86">
        <v>43</v>
      </c>
      <c r="H43" s="86">
        <v>3</v>
      </c>
      <c r="I43" s="450"/>
    </row>
    <row r="44" spans="2:10" s="87" customFormat="1" ht="16.2" customHeight="1" x14ac:dyDescent="0.25">
      <c r="B44" s="86">
        <v>29.5</v>
      </c>
      <c r="C44" s="86">
        <v>0.6</v>
      </c>
      <c r="D44" s="448"/>
      <c r="G44" s="86">
        <v>53</v>
      </c>
      <c r="H44" s="86">
        <v>3</v>
      </c>
      <c r="I44" s="450"/>
    </row>
    <row r="45" spans="2:10" ht="16.2" customHeight="1" x14ac:dyDescent="0.25">
      <c r="B45" s="140">
        <v>40.1</v>
      </c>
      <c r="C45" s="140">
        <v>0.2</v>
      </c>
      <c r="D45" s="448"/>
      <c r="E45" s="87"/>
      <c r="F45" s="87"/>
      <c r="G45" s="86">
        <v>70</v>
      </c>
      <c r="H45" s="272">
        <v>1</v>
      </c>
      <c r="I45" s="450"/>
    </row>
    <row r="46" spans="2:10" ht="16.2" customHeight="1" x14ac:dyDescent="0.25">
      <c r="B46" s="129" t="e">
        <f>B312</f>
        <v>#DIV/0!</v>
      </c>
      <c r="C46" s="88" t="e">
        <f ca="1">FORECAST(B46,OFFSET($C$41:$C$45,MATCH(B46,$B$41:$B$45,1)-1,0,2),OFFSET($B$41:$B$45,MATCH(B46,$B$41:$B$45,1)-1,0,2))</f>
        <v>#DIV/0!</v>
      </c>
      <c r="D46" s="449"/>
      <c r="G46" s="88" t="e">
        <f>G312</f>
        <v>#DIV/0!</v>
      </c>
      <c r="H46" s="88" t="e">
        <f ca="1">FORECAST(G46,OFFSET($H$41:$H$45,MATCH(G46,$G$41:$G$45,1)-1,0,2),OFFSET($G$41:$G$45,MATCH(G46,$G$41:$G$45,1)-1,0,2))</f>
        <v>#DIV/0!</v>
      </c>
      <c r="I46" s="450"/>
    </row>
    <row r="47" spans="2:10" ht="16.2" customHeight="1" x14ac:dyDescent="0.25">
      <c r="B47" s="87"/>
      <c r="C47" s="87"/>
      <c r="D47" s="87"/>
      <c r="E47" s="87"/>
      <c r="F47" s="87"/>
      <c r="G47" s="87"/>
      <c r="H47" s="87"/>
    </row>
    <row r="49" spans="1:10" s="78" customFormat="1" ht="16.2" customHeight="1" x14ac:dyDescent="0.25">
      <c r="B49" s="77" t="s">
        <v>88</v>
      </c>
      <c r="C49" s="451" t="s">
        <v>233</v>
      </c>
      <c r="D49" s="452"/>
      <c r="G49" s="79" t="s">
        <v>89</v>
      </c>
      <c r="H49" s="80"/>
      <c r="I49" s="453" t="s">
        <v>386</v>
      </c>
      <c r="J49" s="454"/>
    </row>
    <row r="50" spans="1:10" s="78" customFormat="1" ht="16.2" customHeight="1" x14ac:dyDescent="0.25">
      <c r="B50" s="77" t="s">
        <v>206</v>
      </c>
      <c r="C50" s="452" t="s">
        <v>234</v>
      </c>
      <c r="D50" s="452"/>
      <c r="G50" s="79" t="s">
        <v>90</v>
      </c>
      <c r="H50" s="80"/>
      <c r="I50" s="82" t="s">
        <v>258</v>
      </c>
      <c r="J50" s="81"/>
    </row>
    <row r="51" spans="1:10" s="78" customFormat="1" ht="16.2" customHeight="1" x14ac:dyDescent="0.25">
      <c r="B51" s="77" t="s">
        <v>207</v>
      </c>
      <c r="C51" s="459" t="s">
        <v>238</v>
      </c>
      <c r="D51" s="459"/>
    </row>
    <row r="52" spans="1:10" ht="15.6" customHeight="1" x14ac:dyDescent="0.25"/>
    <row r="53" spans="1:10" s="78" customFormat="1" ht="16.2" customHeight="1" x14ac:dyDescent="0.25">
      <c r="B53" s="455" t="s">
        <v>208</v>
      </c>
      <c r="C53" s="456"/>
      <c r="D53" s="457"/>
      <c r="G53" s="455" t="s">
        <v>209</v>
      </c>
      <c r="H53" s="456"/>
      <c r="I53" s="457"/>
    </row>
    <row r="54" spans="1:10" s="85" customFormat="1" ht="27" customHeight="1" x14ac:dyDescent="0.25">
      <c r="B54" s="84" t="s">
        <v>210</v>
      </c>
      <c r="C54" s="84" t="s">
        <v>91</v>
      </c>
      <c r="D54" s="84" t="s">
        <v>211</v>
      </c>
      <c r="G54" s="84" t="s">
        <v>210</v>
      </c>
      <c r="H54" s="84" t="s">
        <v>91</v>
      </c>
      <c r="I54" s="84" t="s">
        <v>211</v>
      </c>
    </row>
    <row r="55" spans="1:10" s="85" customFormat="1" ht="16.2" customHeight="1" x14ac:dyDescent="0.25">
      <c r="B55" s="84" t="s">
        <v>212</v>
      </c>
      <c r="C55" s="84" t="s">
        <v>212</v>
      </c>
      <c r="D55" s="84" t="s">
        <v>212</v>
      </c>
      <c r="G55" s="84" t="s">
        <v>52</v>
      </c>
      <c r="H55" s="84" t="s">
        <v>52</v>
      </c>
      <c r="I55" s="84" t="s">
        <v>52</v>
      </c>
    </row>
    <row r="56" spans="1:10" s="87" customFormat="1" ht="16.2" customHeight="1" x14ac:dyDescent="0.25">
      <c r="A56" s="87">
        <v>15</v>
      </c>
      <c r="B56" s="280">
        <f>FORECAST(A56,B57:B58,A57:A58)</f>
        <v>6.1333333333333364</v>
      </c>
      <c r="C56" s="280">
        <f>FORECAST(A56,C57:C58,A57:A58)</f>
        <v>-1.533333333333333</v>
      </c>
      <c r="D56" s="458">
        <v>0.57999999999999996</v>
      </c>
      <c r="F56" s="87">
        <v>30</v>
      </c>
      <c r="G56" s="280">
        <f>FORECAST(F56,G57:G58,F57:F58)</f>
        <v>28.999999999999993</v>
      </c>
      <c r="H56" s="280">
        <f>FORECAST(F56,H57:H58,F57:F58)</f>
        <v>-3</v>
      </c>
      <c r="I56" s="450">
        <v>3</v>
      </c>
    </row>
    <row r="57" spans="1:10" s="87" customFormat="1" ht="16.2" customHeight="1" x14ac:dyDescent="0.25">
      <c r="A57" s="87">
        <v>25</v>
      </c>
      <c r="B57" s="86">
        <v>21.8</v>
      </c>
      <c r="C57" s="86">
        <v>-1.2</v>
      </c>
      <c r="D57" s="458"/>
      <c r="F57" s="87">
        <v>40</v>
      </c>
      <c r="G57" s="86">
        <v>40</v>
      </c>
      <c r="H57" s="86">
        <v>-2</v>
      </c>
      <c r="I57" s="450"/>
    </row>
    <row r="58" spans="1:10" s="87" customFormat="1" ht="16.2" customHeight="1" x14ac:dyDescent="0.25">
      <c r="A58" s="87">
        <v>28</v>
      </c>
      <c r="B58" s="86">
        <v>26.5</v>
      </c>
      <c r="C58" s="86">
        <v>-1.1000000000000001</v>
      </c>
      <c r="D58" s="458"/>
      <c r="F58" s="87">
        <v>50</v>
      </c>
      <c r="G58" s="86">
        <v>51</v>
      </c>
      <c r="H58" s="86">
        <v>-1</v>
      </c>
      <c r="I58" s="450"/>
    </row>
    <row r="59" spans="1:10" s="87" customFormat="1" ht="16.2" customHeight="1" x14ac:dyDescent="0.25">
      <c r="A59" s="87">
        <v>30</v>
      </c>
      <c r="B59" s="86">
        <v>30.5</v>
      </c>
      <c r="C59" s="86">
        <v>0.3</v>
      </c>
      <c r="D59" s="458"/>
      <c r="G59" s="86">
        <v>64</v>
      </c>
      <c r="H59" s="86">
        <v>-4</v>
      </c>
      <c r="I59" s="450"/>
    </row>
    <row r="60" spans="1:10" s="87" customFormat="1" ht="16.2" customHeight="1" x14ac:dyDescent="0.25">
      <c r="A60" s="282">
        <v>40</v>
      </c>
      <c r="B60" s="280">
        <v>40</v>
      </c>
      <c r="C60" s="280">
        <v>0.6</v>
      </c>
      <c r="D60" s="458"/>
      <c r="G60" s="86">
        <v>75</v>
      </c>
      <c r="H60" s="86">
        <v>-6</v>
      </c>
      <c r="I60" s="450"/>
    </row>
    <row r="61" spans="1:10" ht="16.2" customHeight="1" x14ac:dyDescent="0.25">
      <c r="B61" s="130" t="e">
        <f>B312</f>
        <v>#DIV/0!</v>
      </c>
      <c r="C61" s="88" t="e">
        <f ca="1">FORECAST(B61,OFFSET($C$56:$C$60,MATCH(B61,$B$56:$B$60,1)-1,0,2),OFFSET($B$56:$B$60,MATCH(B61,$B$56:$B$60,1)-1,0,2))</f>
        <v>#DIV/0!</v>
      </c>
      <c r="D61" s="458"/>
      <c r="E61" s="87"/>
      <c r="F61" s="87"/>
      <c r="G61" s="88" t="e">
        <f>G312</f>
        <v>#DIV/0!</v>
      </c>
      <c r="H61" s="88" t="e">
        <f ca="1">FORECAST(G61,OFFSET($H$56:$H$60,MATCH(G61,$G$56:$G$60,1)-1,0,2),OFFSET($G$56:$G$60,MATCH(G61,$G$56:$G$60,1)-1,0,2))</f>
        <v>#DIV/0!</v>
      </c>
      <c r="I61" s="450"/>
    </row>
    <row r="62" spans="1:10" ht="16.2" customHeight="1" x14ac:dyDescent="0.25">
      <c r="D62" s="144"/>
      <c r="I62" s="142"/>
    </row>
    <row r="63" spans="1:10" ht="16.2" customHeight="1" x14ac:dyDescent="0.25">
      <c r="B63" s="87"/>
      <c r="C63" s="87"/>
      <c r="D63" s="87"/>
      <c r="E63" s="87"/>
      <c r="F63" s="87"/>
      <c r="G63" s="87"/>
      <c r="H63" s="87"/>
    </row>
    <row r="65" spans="2:10" s="78" customFormat="1" ht="16.2" customHeight="1" x14ac:dyDescent="0.25">
      <c r="B65" s="77" t="s">
        <v>88</v>
      </c>
      <c r="C65" s="451" t="s">
        <v>233</v>
      </c>
      <c r="D65" s="452"/>
      <c r="G65" s="79" t="s">
        <v>89</v>
      </c>
      <c r="H65" s="80"/>
      <c r="I65" s="453" t="s">
        <v>366</v>
      </c>
      <c r="J65" s="454"/>
    </row>
    <row r="66" spans="2:10" s="78" customFormat="1" ht="16.2" customHeight="1" x14ac:dyDescent="0.25">
      <c r="B66" s="77" t="s">
        <v>206</v>
      </c>
      <c r="C66" s="452" t="s">
        <v>234</v>
      </c>
      <c r="D66" s="452"/>
      <c r="G66" s="79" t="s">
        <v>90</v>
      </c>
      <c r="H66" s="80"/>
      <c r="I66" s="82" t="s">
        <v>258</v>
      </c>
      <c r="J66" s="81"/>
    </row>
    <row r="67" spans="2:10" s="78" customFormat="1" ht="16.2" customHeight="1" x14ac:dyDescent="0.25">
      <c r="B67" s="77" t="s">
        <v>207</v>
      </c>
      <c r="C67" s="451" t="s">
        <v>239</v>
      </c>
      <c r="D67" s="451"/>
    </row>
    <row r="68" spans="2:10" ht="15.6" customHeight="1" x14ac:dyDescent="0.25"/>
    <row r="69" spans="2:10" s="78" customFormat="1" ht="16.2" customHeight="1" x14ac:dyDescent="0.25">
      <c r="B69" s="455" t="s">
        <v>208</v>
      </c>
      <c r="C69" s="456"/>
      <c r="D69" s="457"/>
      <c r="G69" s="455" t="s">
        <v>209</v>
      </c>
      <c r="H69" s="456"/>
      <c r="I69" s="457"/>
    </row>
    <row r="70" spans="2:10" s="85" customFormat="1" ht="27" customHeight="1" x14ac:dyDescent="0.25">
      <c r="B70" s="84" t="s">
        <v>210</v>
      </c>
      <c r="C70" s="84" t="s">
        <v>91</v>
      </c>
      <c r="D70" s="84" t="s">
        <v>211</v>
      </c>
      <c r="G70" s="84" t="s">
        <v>210</v>
      </c>
      <c r="H70" s="84" t="s">
        <v>91</v>
      </c>
      <c r="I70" s="84" t="s">
        <v>211</v>
      </c>
    </row>
    <row r="71" spans="2:10" s="85" customFormat="1" ht="16.2" customHeight="1" x14ac:dyDescent="0.25">
      <c r="B71" s="84" t="s">
        <v>212</v>
      </c>
      <c r="C71" s="84" t="s">
        <v>212</v>
      </c>
      <c r="D71" s="84" t="s">
        <v>212</v>
      </c>
      <c r="G71" s="84" t="s">
        <v>52</v>
      </c>
      <c r="H71" s="84" t="s">
        <v>52</v>
      </c>
      <c r="I71" s="84" t="s">
        <v>52</v>
      </c>
    </row>
    <row r="72" spans="2:10" s="87" customFormat="1" ht="16.2" customHeight="1" x14ac:dyDescent="0.25">
      <c r="B72" s="86">
        <v>15.4</v>
      </c>
      <c r="C72" s="86">
        <v>0.5</v>
      </c>
      <c r="D72" s="447">
        <v>0.55000000000000004</v>
      </c>
      <c r="G72" s="86">
        <v>24</v>
      </c>
      <c r="H72" s="86">
        <v>0</v>
      </c>
      <c r="I72" s="450">
        <v>2.8</v>
      </c>
    </row>
    <row r="73" spans="2:10" s="87" customFormat="1" ht="16.2" customHeight="1" x14ac:dyDescent="0.25">
      <c r="B73" s="86">
        <v>19.600000000000001</v>
      </c>
      <c r="C73" s="86">
        <v>0.3</v>
      </c>
      <c r="D73" s="448"/>
      <c r="G73" s="86">
        <v>36</v>
      </c>
      <c r="H73" s="86">
        <v>1</v>
      </c>
      <c r="I73" s="450"/>
    </row>
    <row r="74" spans="2:10" s="87" customFormat="1" ht="16.2" customHeight="1" x14ac:dyDescent="0.25">
      <c r="B74" s="86">
        <v>24.9</v>
      </c>
      <c r="C74" s="86">
        <v>0.1</v>
      </c>
      <c r="D74" s="448"/>
      <c r="G74" s="86">
        <v>42</v>
      </c>
      <c r="H74" s="86">
        <v>4</v>
      </c>
      <c r="I74" s="450"/>
    </row>
    <row r="75" spans="2:10" s="87" customFormat="1" ht="16.2" customHeight="1" x14ac:dyDescent="0.25">
      <c r="B75" s="86">
        <v>29.9</v>
      </c>
      <c r="C75" s="86">
        <v>0.2</v>
      </c>
      <c r="D75" s="448"/>
      <c r="G75" s="86">
        <v>52</v>
      </c>
      <c r="H75" s="86">
        <v>4</v>
      </c>
      <c r="I75" s="450"/>
    </row>
    <row r="76" spans="2:10" ht="16.2" customHeight="1" x14ac:dyDescent="0.25">
      <c r="B76" s="140">
        <v>40.4</v>
      </c>
      <c r="C76" s="140">
        <v>-0.1</v>
      </c>
      <c r="D76" s="448"/>
      <c r="E76" s="87"/>
      <c r="F76" s="87"/>
      <c r="G76" s="86">
        <v>70</v>
      </c>
      <c r="H76" s="272">
        <v>1</v>
      </c>
      <c r="I76" s="450"/>
    </row>
    <row r="77" spans="2:10" ht="16.2" customHeight="1" x14ac:dyDescent="0.25">
      <c r="B77" s="88" t="e">
        <f>B312</f>
        <v>#DIV/0!</v>
      </c>
      <c r="C77" s="88" t="e">
        <f ca="1">FORECAST(B77,OFFSET($C$72:$C$76,MATCH(B77,$B$72:$B$76,1)-1,0,2),OFFSET($B$72:$B$76,MATCH(B77,$B$72:$B$76,1)-1,0,2))</f>
        <v>#DIV/0!</v>
      </c>
      <c r="D77" s="449"/>
      <c r="G77" s="88" t="e">
        <f>G312</f>
        <v>#DIV/0!</v>
      </c>
      <c r="H77" s="88" t="e">
        <f ca="1">FORECAST(G77,OFFSET($H$72:$H$76,MATCH(G77,$G$72:$G$76,1)-1,0,2),OFFSET($G$72:$G$76,MATCH(G77,$G$72:$G$76,1)-1,0,2))</f>
        <v>#DIV/0!</v>
      </c>
      <c r="I77" s="450"/>
    </row>
    <row r="78" spans="2:10" ht="16.2" customHeight="1" x14ac:dyDescent="0.25">
      <c r="B78" s="126"/>
      <c r="C78" s="126"/>
      <c r="D78" s="125"/>
      <c r="G78" s="126"/>
      <c r="H78" s="126"/>
      <c r="I78" s="125"/>
    </row>
    <row r="79" spans="2:10" ht="16.2" customHeight="1" x14ac:dyDescent="0.25">
      <c r="B79" s="126"/>
      <c r="C79" s="126"/>
      <c r="D79" s="125"/>
      <c r="G79" s="126"/>
      <c r="H79" s="126"/>
      <c r="I79" s="125"/>
    </row>
    <row r="80" spans="2:10" s="78" customFormat="1" ht="16.2" customHeight="1" x14ac:dyDescent="0.25">
      <c r="B80" s="77" t="s">
        <v>88</v>
      </c>
      <c r="C80" s="451" t="s">
        <v>233</v>
      </c>
      <c r="D80" s="452"/>
      <c r="G80" s="79" t="s">
        <v>89</v>
      </c>
      <c r="H80" s="80"/>
      <c r="I80" s="453" t="s">
        <v>386</v>
      </c>
      <c r="J80" s="454"/>
    </row>
    <row r="81" spans="1:10" s="78" customFormat="1" ht="16.2" customHeight="1" x14ac:dyDescent="0.25">
      <c r="B81" s="77" t="s">
        <v>206</v>
      </c>
      <c r="C81" s="452" t="s">
        <v>234</v>
      </c>
      <c r="D81" s="452"/>
      <c r="G81" s="79" t="s">
        <v>90</v>
      </c>
      <c r="H81" s="80"/>
      <c r="I81" s="82" t="s">
        <v>258</v>
      </c>
      <c r="J81" s="81"/>
    </row>
    <row r="82" spans="1:10" s="78" customFormat="1" ht="16.2" customHeight="1" x14ac:dyDescent="0.25">
      <c r="B82" s="77" t="s">
        <v>207</v>
      </c>
      <c r="C82" s="459" t="s">
        <v>240</v>
      </c>
      <c r="D82" s="459"/>
    </row>
    <row r="83" spans="1:10" ht="15.6" customHeight="1" x14ac:dyDescent="0.25"/>
    <row r="84" spans="1:10" s="78" customFormat="1" ht="16.2" customHeight="1" x14ac:dyDescent="0.25">
      <c r="B84" s="455" t="s">
        <v>208</v>
      </c>
      <c r="C84" s="456"/>
      <c r="D84" s="457"/>
      <c r="G84" s="455" t="s">
        <v>209</v>
      </c>
      <c r="H84" s="456"/>
      <c r="I84" s="457"/>
    </row>
    <row r="85" spans="1:10" s="85" customFormat="1" ht="27" customHeight="1" x14ac:dyDescent="0.25">
      <c r="B85" s="84" t="s">
        <v>210</v>
      </c>
      <c r="C85" s="84" t="s">
        <v>91</v>
      </c>
      <c r="D85" s="84" t="s">
        <v>211</v>
      </c>
      <c r="G85" s="84" t="s">
        <v>210</v>
      </c>
      <c r="H85" s="84" t="s">
        <v>91</v>
      </c>
      <c r="I85" s="84" t="s">
        <v>211</v>
      </c>
    </row>
    <row r="86" spans="1:10" s="85" customFormat="1" ht="16.2" customHeight="1" x14ac:dyDescent="0.25">
      <c r="B86" s="84" t="s">
        <v>212</v>
      </c>
      <c r="C86" s="84" t="s">
        <v>212</v>
      </c>
      <c r="D86" s="84" t="s">
        <v>212</v>
      </c>
      <c r="G86" s="84" t="s">
        <v>52</v>
      </c>
      <c r="H86" s="84" t="s">
        <v>52</v>
      </c>
      <c r="I86" s="84" t="s">
        <v>52</v>
      </c>
    </row>
    <row r="87" spans="1:10" s="87" customFormat="1" ht="16.2" customHeight="1" x14ac:dyDescent="0.25">
      <c r="A87" s="87">
        <v>15</v>
      </c>
      <c r="B87" s="280">
        <f>FORECAST(A87,B88:B89,A88:A89)</f>
        <v>16</v>
      </c>
      <c r="C87" s="280">
        <f>FORECAST(A87,C88:C89,A88:A89)</f>
        <v>-0.19999999999999996</v>
      </c>
      <c r="D87" s="447">
        <v>0.57999999999999996</v>
      </c>
      <c r="F87" s="87">
        <v>30</v>
      </c>
      <c r="G87" s="280">
        <f>FORECAST(F87,G88:G89,F88:F89)</f>
        <v>27.999999999999993</v>
      </c>
      <c r="H87" s="280">
        <f>FORECAST(F87,H88:H89,F88:F89)</f>
        <v>-2</v>
      </c>
      <c r="I87" s="460">
        <v>3</v>
      </c>
    </row>
    <row r="88" spans="1:10" s="87" customFormat="1" ht="16.2" customHeight="1" x14ac:dyDescent="0.25">
      <c r="A88" s="87">
        <v>20</v>
      </c>
      <c r="B88" s="86">
        <v>21.2</v>
      </c>
      <c r="C88" s="86">
        <v>-0.6</v>
      </c>
      <c r="D88" s="448"/>
      <c r="F88" s="87">
        <v>40</v>
      </c>
      <c r="G88" s="86">
        <v>39</v>
      </c>
      <c r="H88" s="86">
        <v>-1</v>
      </c>
      <c r="I88" s="461"/>
    </row>
    <row r="89" spans="1:10" s="87" customFormat="1" ht="16.2" customHeight="1" x14ac:dyDescent="0.25">
      <c r="A89" s="87">
        <v>25</v>
      </c>
      <c r="B89" s="86">
        <v>26.4</v>
      </c>
      <c r="C89" s="86">
        <v>-1</v>
      </c>
      <c r="D89" s="448"/>
      <c r="F89" s="87">
        <v>50</v>
      </c>
      <c r="G89" s="86">
        <v>50</v>
      </c>
      <c r="H89" s="86">
        <v>0</v>
      </c>
      <c r="I89" s="461"/>
    </row>
    <row r="90" spans="1:10" s="87" customFormat="1" ht="16.2" customHeight="1" x14ac:dyDescent="0.25">
      <c r="A90" s="87">
        <v>30</v>
      </c>
      <c r="B90" s="86">
        <v>30.8</v>
      </c>
      <c r="C90" s="86">
        <v>0</v>
      </c>
      <c r="D90" s="448"/>
      <c r="G90" s="86">
        <v>62</v>
      </c>
      <c r="H90" s="86">
        <v>-2</v>
      </c>
      <c r="I90" s="461"/>
    </row>
    <row r="91" spans="1:10" s="87" customFormat="1" ht="16.2" customHeight="1" x14ac:dyDescent="0.25">
      <c r="A91" s="282">
        <v>40</v>
      </c>
      <c r="B91" s="280">
        <v>40.200000000000003</v>
      </c>
      <c r="C91" s="280">
        <v>0.4</v>
      </c>
      <c r="D91" s="448"/>
      <c r="G91" s="86">
        <v>74</v>
      </c>
      <c r="H91" s="86">
        <v>-5</v>
      </c>
      <c r="I91" s="461"/>
    </row>
    <row r="92" spans="1:10" ht="16.2" customHeight="1" x14ac:dyDescent="0.25">
      <c r="B92" s="127" t="e">
        <f>B312</f>
        <v>#DIV/0!</v>
      </c>
      <c r="C92" s="88" t="e">
        <f ca="1">FORECAST(B92,OFFSET($C$87:$C$91,MATCH(B92,$B$87:$B$91,1)-1,0,2),OFFSET($B$87:$B$91,MATCH(B92,$B$87:$B$91,1)-1,0,2))</f>
        <v>#DIV/0!</v>
      </c>
      <c r="D92" s="448"/>
      <c r="E92" s="87"/>
      <c r="F92" s="87"/>
      <c r="G92" s="88" t="e">
        <f>G312</f>
        <v>#DIV/0!</v>
      </c>
      <c r="H92" s="88" t="e">
        <f ca="1">FORECAST(G92,OFFSET($H$87:$H$91,MATCH(G92,$G$87:$G$91,1)-1,0,2),OFFSET($G$87:$G$91,MATCH(G92,$G$87:$G$91,1)-1,0,2))</f>
        <v>#DIV/0!</v>
      </c>
      <c r="I92" s="461"/>
    </row>
    <row r="93" spans="1:10" ht="16.2" customHeight="1" x14ac:dyDescent="0.25">
      <c r="D93" s="145"/>
      <c r="I93" s="142"/>
    </row>
    <row r="94" spans="1:10" ht="16.2" customHeight="1" x14ac:dyDescent="0.25">
      <c r="B94" s="87"/>
      <c r="C94" s="87"/>
      <c r="D94" s="87"/>
      <c r="E94" s="87"/>
      <c r="F94" s="87"/>
      <c r="G94" s="87"/>
      <c r="H94" s="87"/>
    </row>
    <row r="96" spans="1:10" s="78" customFormat="1" ht="16.2" customHeight="1" x14ac:dyDescent="0.25">
      <c r="B96" s="77" t="s">
        <v>88</v>
      </c>
      <c r="C96" s="451" t="s">
        <v>233</v>
      </c>
      <c r="D96" s="452"/>
      <c r="G96" s="79" t="s">
        <v>89</v>
      </c>
      <c r="H96" s="80"/>
      <c r="I96" s="453" t="s">
        <v>366</v>
      </c>
      <c r="J96" s="454"/>
    </row>
    <row r="97" spans="2:10" s="78" customFormat="1" ht="16.2" customHeight="1" x14ac:dyDescent="0.25">
      <c r="B97" s="77" t="s">
        <v>206</v>
      </c>
      <c r="C97" s="452" t="s">
        <v>234</v>
      </c>
      <c r="D97" s="452"/>
      <c r="G97" s="79" t="s">
        <v>90</v>
      </c>
      <c r="H97" s="80"/>
      <c r="I97" s="82" t="s">
        <v>258</v>
      </c>
      <c r="J97" s="81"/>
    </row>
    <row r="98" spans="2:10" s="78" customFormat="1" ht="16.2" customHeight="1" x14ac:dyDescent="0.25">
      <c r="B98" s="77" t="s">
        <v>207</v>
      </c>
      <c r="C98" s="451" t="s">
        <v>241</v>
      </c>
      <c r="D98" s="451"/>
    </row>
    <row r="99" spans="2:10" ht="15.6" customHeight="1" x14ac:dyDescent="0.25"/>
    <row r="100" spans="2:10" s="78" customFormat="1" ht="16.2" customHeight="1" x14ac:dyDescent="0.25">
      <c r="B100" s="455" t="s">
        <v>208</v>
      </c>
      <c r="C100" s="456"/>
      <c r="D100" s="457"/>
      <c r="G100" s="455" t="s">
        <v>209</v>
      </c>
      <c r="H100" s="456"/>
      <c r="I100" s="457"/>
    </row>
    <row r="101" spans="2:10" s="85" customFormat="1" ht="27" customHeight="1" x14ac:dyDescent="0.25">
      <c r="B101" s="84" t="s">
        <v>210</v>
      </c>
      <c r="C101" s="84" t="s">
        <v>91</v>
      </c>
      <c r="D101" s="84" t="s">
        <v>211</v>
      </c>
      <c r="G101" s="84" t="s">
        <v>210</v>
      </c>
      <c r="H101" s="84" t="s">
        <v>91</v>
      </c>
      <c r="I101" s="84" t="s">
        <v>211</v>
      </c>
    </row>
    <row r="102" spans="2:10" s="85" customFormat="1" ht="16.2" customHeight="1" x14ac:dyDescent="0.25">
      <c r="B102" s="84" t="s">
        <v>212</v>
      </c>
      <c r="C102" s="84" t="s">
        <v>212</v>
      </c>
      <c r="D102" s="84" t="s">
        <v>212</v>
      </c>
      <c r="G102" s="84" t="s">
        <v>52</v>
      </c>
      <c r="H102" s="84" t="s">
        <v>52</v>
      </c>
      <c r="I102" s="84" t="s">
        <v>52</v>
      </c>
    </row>
    <row r="103" spans="2:10" s="87" customFormat="1" ht="16.2" customHeight="1" x14ac:dyDescent="0.25">
      <c r="B103" s="86">
        <v>15.7</v>
      </c>
      <c r="C103" s="86">
        <v>0.2</v>
      </c>
      <c r="D103" s="447">
        <v>0.55000000000000004</v>
      </c>
      <c r="G103" s="86">
        <v>27</v>
      </c>
      <c r="H103" s="86">
        <v>-3</v>
      </c>
      <c r="I103" s="450">
        <v>2.8</v>
      </c>
    </row>
    <row r="104" spans="2:10" s="87" customFormat="1" ht="16.2" customHeight="1" x14ac:dyDescent="0.25">
      <c r="B104" s="86">
        <v>19.2</v>
      </c>
      <c r="C104" s="86">
        <v>0.7</v>
      </c>
      <c r="D104" s="448"/>
      <c r="G104" s="86">
        <v>38</v>
      </c>
      <c r="H104" s="86">
        <v>-1</v>
      </c>
      <c r="I104" s="450"/>
    </row>
    <row r="105" spans="2:10" s="87" customFormat="1" ht="16.2" customHeight="1" x14ac:dyDescent="0.25">
      <c r="B105" s="86">
        <v>24.4</v>
      </c>
      <c r="C105" s="86">
        <v>0.6</v>
      </c>
      <c r="D105" s="448"/>
      <c r="G105" s="86">
        <v>45</v>
      </c>
      <c r="H105" s="86">
        <v>-1</v>
      </c>
      <c r="I105" s="450"/>
    </row>
    <row r="106" spans="2:10" s="87" customFormat="1" ht="16.2" customHeight="1" x14ac:dyDescent="0.25">
      <c r="B106" s="86">
        <v>28.9</v>
      </c>
      <c r="C106" s="86">
        <v>1.2</v>
      </c>
      <c r="D106" s="448"/>
      <c r="G106" s="86">
        <v>57</v>
      </c>
      <c r="H106" s="86">
        <v>1</v>
      </c>
      <c r="I106" s="450"/>
    </row>
    <row r="107" spans="2:10" ht="16.2" customHeight="1" x14ac:dyDescent="0.25">
      <c r="B107" s="140">
        <v>39.299999999999997</v>
      </c>
      <c r="C107" s="140">
        <v>1</v>
      </c>
      <c r="D107" s="448"/>
      <c r="E107" s="87"/>
      <c r="F107" s="87"/>
      <c r="G107" s="86">
        <v>72</v>
      </c>
      <c r="H107" s="86">
        <v>-1</v>
      </c>
      <c r="I107" s="450"/>
    </row>
    <row r="108" spans="2:10" ht="16.2" customHeight="1" x14ac:dyDescent="0.25">
      <c r="B108" s="128" t="e">
        <f>B312</f>
        <v>#DIV/0!</v>
      </c>
      <c r="C108" s="88" t="e">
        <f ca="1">FORECAST(B108,OFFSET($C$103:$C$107,MATCH(B108,$B$103:$B$107,1)-1,0,2),OFFSET($B$103:$B$107,MATCH(B108,$B$103:$B$107,1)-1,0,2))</f>
        <v>#DIV/0!</v>
      </c>
      <c r="D108" s="449"/>
      <c r="G108" s="88" t="e">
        <f>G312</f>
        <v>#DIV/0!</v>
      </c>
      <c r="H108" s="88" t="e">
        <f ca="1">FORECAST(G108,OFFSET($H$103:$H$107,MATCH(G108,$G$103:$G$107,1)-1,0,2),OFFSET($G$103:$G$107,MATCH(G108,$G$103:$G$107,1)-1,0,2))</f>
        <v>#DIV/0!</v>
      </c>
      <c r="I108" s="450"/>
    </row>
    <row r="109" spans="2:10" ht="16.2" customHeight="1" x14ac:dyDescent="0.25">
      <c r="B109" s="87"/>
      <c r="C109" s="87"/>
      <c r="D109" s="87"/>
      <c r="E109" s="87"/>
      <c r="F109" s="87"/>
      <c r="G109" s="87"/>
      <c r="H109" s="87"/>
    </row>
    <row r="111" spans="2:10" s="78" customFormat="1" ht="16.2" customHeight="1" x14ac:dyDescent="0.25">
      <c r="B111" s="77" t="s">
        <v>88</v>
      </c>
      <c r="C111" s="451" t="s">
        <v>233</v>
      </c>
      <c r="D111" s="452"/>
      <c r="G111" s="79" t="s">
        <v>89</v>
      </c>
      <c r="H111" s="80"/>
      <c r="I111" s="453" t="s">
        <v>387</v>
      </c>
      <c r="J111" s="454"/>
    </row>
    <row r="112" spans="2:10" s="78" customFormat="1" ht="16.2" customHeight="1" x14ac:dyDescent="0.25">
      <c r="B112" s="77" t="s">
        <v>206</v>
      </c>
      <c r="C112" s="452" t="s">
        <v>234</v>
      </c>
      <c r="D112" s="452"/>
      <c r="G112" s="79" t="s">
        <v>90</v>
      </c>
      <c r="H112" s="80"/>
      <c r="I112" s="82" t="s">
        <v>258</v>
      </c>
      <c r="J112" s="81"/>
    </row>
    <row r="113" spans="1:10" s="78" customFormat="1" ht="16.2" customHeight="1" x14ac:dyDescent="0.25">
      <c r="B113" s="77" t="s">
        <v>207</v>
      </c>
      <c r="C113" s="459" t="s">
        <v>242</v>
      </c>
      <c r="D113" s="459"/>
    </row>
    <row r="114" spans="1:10" ht="15.6" customHeight="1" x14ac:dyDescent="0.25"/>
    <row r="115" spans="1:10" s="78" customFormat="1" ht="16.2" customHeight="1" x14ac:dyDescent="0.25">
      <c r="B115" s="455" t="s">
        <v>208</v>
      </c>
      <c r="C115" s="456"/>
      <c r="D115" s="457"/>
      <c r="G115" s="455" t="s">
        <v>209</v>
      </c>
      <c r="H115" s="456"/>
      <c r="I115" s="457"/>
    </row>
    <row r="116" spans="1:10" s="85" customFormat="1" ht="27" customHeight="1" x14ac:dyDescent="0.25">
      <c r="B116" s="84" t="s">
        <v>210</v>
      </c>
      <c r="C116" s="84" t="s">
        <v>91</v>
      </c>
      <c r="D116" s="84" t="s">
        <v>211</v>
      </c>
      <c r="G116" s="84" t="s">
        <v>210</v>
      </c>
      <c r="H116" s="84" t="s">
        <v>91</v>
      </c>
      <c r="I116" s="84" t="s">
        <v>211</v>
      </c>
    </row>
    <row r="117" spans="1:10" s="85" customFormat="1" ht="16.2" customHeight="1" x14ac:dyDescent="0.25">
      <c r="B117" s="84" t="s">
        <v>212</v>
      </c>
      <c r="C117" s="84" t="s">
        <v>212</v>
      </c>
      <c r="D117" s="84" t="s">
        <v>212</v>
      </c>
      <c r="G117" s="84" t="s">
        <v>52</v>
      </c>
      <c r="H117" s="84" t="s">
        <v>52</v>
      </c>
      <c r="I117" s="84" t="s">
        <v>52</v>
      </c>
    </row>
    <row r="118" spans="1:10" s="87" customFormat="1" ht="16.2" customHeight="1" x14ac:dyDescent="0.25">
      <c r="A118" s="87">
        <v>15</v>
      </c>
      <c r="B118" s="86">
        <v>15.4</v>
      </c>
      <c r="C118" s="86">
        <v>0.6</v>
      </c>
      <c r="D118" s="447">
        <v>0.57999999999999996</v>
      </c>
      <c r="G118" s="86">
        <v>19</v>
      </c>
      <c r="H118" s="86">
        <v>-1</v>
      </c>
      <c r="I118" s="460">
        <v>3</v>
      </c>
    </row>
    <row r="119" spans="1:10" s="87" customFormat="1" ht="16.2" customHeight="1" x14ac:dyDescent="0.25">
      <c r="A119" s="87">
        <v>25</v>
      </c>
      <c r="B119" s="86">
        <v>20.7</v>
      </c>
      <c r="C119" s="86">
        <v>-0.2</v>
      </c>
      <c r="D119" s="448"/>
      <c r="G119" s="86">
        <v>38</v>
      </c>
      <c r="H119" s="86">
        <v>-1</v>
      </c>
      <c r="I119" s="461"/>
    </row>
    <row r="120" spans="1:10" s="87" customFormat="1" ht="16.2" customHeight="1" x14ac:dyDescent="0.25">
      <c r="A120" s="87">
        <v>28</v>
      </c>
      <c r="B120" s="86">
        <v>25.5</v>
      </c>
      <c r="C120" s="86">
        <v>0.2</v>
      </c>
      <c r="D120" s="448"/>
      <c r="G120" s="86">
        <v>54</v>
      </c>
      <c r="H120" s="86">
        <v>-3</v>
      </c>
      <c r="I120" s="461"/>
    </row>
    <row r="121" spans="1:10" s="87" customFormat="1" ht="16.2" customHeight="1" x14ac:dyDescent="0.25">
      <c r="A121" s="87">
        <v>30</v>
      </c>
      <c r="B121" s="86">
        <v>30.5</v>
      </c>
      <c r="C121" s="86">
        <v>0.5</v>
      </c>
      <c r="D121" s="448"/>
      <c r="G121" s="86">
        <v>73</v>
      </c>
      <c r="H121" s="86">
        <v>-5</v>
      </c>
      <c r="I121" s="461"/>
    </row>
    <row r="122" spans="1:10" s="87" customFormat="1" ht="16.2" customHeight="1" x14ac:dyDescent="0.25">
      <c r="A122" s="282">
        <v>40</v>
      </c>
      <c r="B122" s="280">
        <v>40.5</v>
      </c>
      <c r="C122" s="280">
        <v>0.6</v>
      </c>
      <c r="D122" s="448"/>
      <c r="G122" s="86">
        <v>83</v>
      </c>
      <c r="H122" s="86">
        <v>-5</v>
      </c>
      <c r="I122" s="461"/>
    </row>
    <row r="123" spans="1:10" ht="16.2" customHeight="1" x14ac:dyDescent="0.25">
      <c r="B123" s="129" t="e">
        <f>B312</f>
        <v>#DIV/0!</v>
      </c>
      <c r="C123" s="88" t="e">
        <f ca="1">FORECAST(B123,OFFSET($C$118:$C$122,MATCH(B123,$B$118:$B$122,1)-1,0,2),OFFSET($B$118:$B$122,MATCH(B123,$B$118:$B$122,1)-1,0,2))</f>
        <v>#DIV/0!</v>
      </c>
      <c r="D123" s="449"/>
      <c r="E123" s="87"/>
      <c r="F123" s="87"/>
      <c r="G123" s="88" t="e">
        <f>G312</f>
        <v>#DIV/0!</v>
      </c>
      <c r="H123" s="88" t="e">
        <f ca="1">FORECAST(G123,OFFSET($H$118:$H$122,MATCH(G123,$G$118:$G$122,1)-1,0,2),OFFSET($G$118:$G$122,MATCH(G123,$G$118:$G$122,1)-1,0,2))</f>
        <v>#DIV/0!</v>
      </c>
      <c r="I123" s="462"/>
    </row>
    <row r="124" spans="1:10" ht="16.2" customHeight="1" x14ac:dyDescent="0.25">
      <c r="B124" s="87"/>
      <c r="C124" s="87"/>
      <c r="D124" s="87"/>
      <c r="E124" s="87"/>
      <c r="F124" s="87"/>
      <c r="G124" s="87"/>
      <c r="H124" s="87"/>
    </row>
    <row r="126" spans="1:10" s="78" customFormat="1" ht="16.2" customHeight="1" x14ac:dyDescent="0.25">
      <c r="B126" s="77" t="s">
        <v>88</v>
      </c>
      <c r="C126" s="451" t="s">
        <v>233</v>
      </c>
      <c r="D126" s="452"/>
      <c r="G126" s="79" t="s">
        <v>89</v>
      </c>
      <c r="H126" s="80"/>
      <c r="I126" s="453" t="s">
        <v>370</v>
      </c>
      <c r="J126" s="454"/>
    </row>
    <row r="127" spans="1:10" s="78" customFormat="1" ht="16.2" customHeight="1" x14ac:dyDescent="0.25">
      <c r="B127" s="77" t="s">
        <v>206</v>
      </c>
      <c r="C127" s="452" t="s">
        <v>234</v>
      </c>
      <c r="D127" s="452"/>
      <c r="G127" s="79" t="s">
        <v>90</v>
      </c>
      <c r="H127" s="80"/>
      <c r="I127" s="82" t="s">
        <v>258</v>
      </c>
      <c r="J127" s="81"/>
    </row>
    <row r="128" spans="1:10" s="78" customFormat="1" ht="16.2" customHeight="1" x14ac:dyDescent="0.25">
      <c r="B128" s="77" t="s">
        <v>207</v>
      </c>
      <c r="C128" s="451" t="s">
        <v>266</v>
      </c>
      <c r="D128" s="451"/>
    </row>
    <row r="129" spans="1:10" ht="15.6" customHeight="1" x14ac:dyDescent="0.25"/>
    <row r="130" spans="1:10" s="78" customFormat="1" ht="16.2" customHeight="1" x14ac:dyDescent="0.25">
      <c r="B130" s="455" t="s">
        <v>208</v>
      </c>
      <c r="C130" s="456"/>
      <c r="D130" s="457"/>
      <c r="G130" s="455" t="s">
        <v>209</v>
      </c>
      <c r="H130" s="456"/>
      <c r="I130" s="457"/>
    </row>
    <row r="131" spans="1:10" s="85" customFormat="1" ht="27" customHeight="1" x14ac:dyDescent="0.25">
      <c r="B131" s="84" t="s">
        <v>210</v>
      </c>
      <c r="C131" s="84" t="s">
        <v>91</v>
      </c>
      <c r="D131" s="84" t="s">
        <v>211</v>
      </c>
      <c r="G131" s="84" t="s">
        <v>210</v>
      </c>
      <c r="H131" s="84" t="s">
        <v>91</v>
      </c>
      <c r="I131" s="84" t="s">
        <v>211</v>
      </c>
    </row>
    <row r="132" spans="1:10" s="85" customFormat="1" ht="16.2" customHeight="1" x14ac:dyDescent="0.25">
      <c r="B132" s="84" t="s">
        <v>212</v>
      </c>
      <c r="C132" s="84" t="s">
        <v>212</v>
      </c>
      <c r="D132" s="84" t="s">
        <v>212</v>
      </c>
      <c r="G132" s="84" t="s">
        <v>52</v>
      </c>
      <c r="H132" s="84" t="s">
        <v>52</v>
      </c>
      <c r="I132" s="84" t="s">
        <v>52</v>
      </c>
    </row>
    <row r="133" spans="1:10" s="87" customFormat="1" ht="16.2" customHeight="1" x14ac:dyDescent="0.25">
      <c r="A133" s="279">
        <v>15</v>
      </c>
      <c r="B133" s="280">
        <f>FORECAST(A133,B134:B137,A134:A137)</f>
        <v>16.26285714285714</v>
      </c>
      <c r="C133" s="280">
        <f>FORECAST(A133,C134:C135,A134:A135)</f>
        <v>-0.4</v>
      </c>
      <c r="D133" s="447">
        <v>0.51</v>
      </c>
      <c r="F133" s="87">
        <v>30</v>
      </c>
      <c r="G133" s="280">
        <f>FORECAST(F133,G134:G137,F134:F137)</f>
        <v>30.499999999999996</v>
      </c>
      <c r="H133" s="280">
        <f>FORECAST(F133,H134:H135,F134:F135)</f>
        <v>1</v>
      </c>
      <c r="I133" s="450">
        <v>2.2000000000000002</v>
      </c>
    </row>
    <row r="134" spans="1:10" s="87" customFormat="1" ht="16.2" customHeight="1" x14ac:dyDescent="0.25">
      <c r="A134" s="87">
        <v>20</v>
      </c>
      <c r="B134" s="86">
        <v>21.2</v>
      </c>
      <c r="C134" s="86">
        <v>-0.3</v>
      </c>
      <c r="D134" s="448"/>
      <c r="F134" s="87">
        <v>40</v>
      </c>
      <c r="G134" s="86">
        <v>40</v>
      </c>
      <c r="H134" s="271">
        <v>0</v>
      </c>
      <c r="I134" s="450"/>
    </row>
    <row r="135" spans="1:10" s="87" customFormat="1" ht="16.2" customHeight="1" x14ac:dyDescent="0.25">
      <c r="A135" s="87">
        <v>25</v>
      </c>
      <c r="B135" s="86">
        <v>26</v>
      </c>
      <c r="C135" s="86">
        <v>-0.2</v>
      </c>
      <c r="D135" s="448"/>
      <c r="F135" s="87">
        <v>50</v>
      </c>
      <c r="G135" s="86">
        <v>51</v>
      </c>
      <c r="H135" s="271">
        <v>-1</v>
      </c>
      <c r="I135" s="450"/>
    </row>
    <row r="136" spans="1:10" s="87" customFormat="1" ht="16.2" customHeight="1" x14ac:dyDescent="0.25">
      <c r="A136" s="87">
        <v>30</v>
      </c>
      <c r="B136" s="86">
        <v>30.8</v>
      </c>
      <c r="C136" s="86">
        <v>0</v>
      </c>
      <c r="D136" s="448"/>
      <c r="F136" s="87">
        <v>60</v>
      </c>
      <c r="G136" s="86">
        <v>60</v>
      </c>
      <c r="H136" s="271">
        <v>-1</v>
      </c>
      <c r="I136" s="450"/>
    </row>
    <row r="137" spans="1:10" s="87" customFormat="1" ht="16.2" customHeight="1" x14ac:dyDescent="0.25">
      <c r="A137" s="87">
        <v>40</v>
      </c>
      <c r="B137" s="86">
        <v>40.700000000000003</v>
      </c>
      <c r="C137" s="86">
        <v>-0.1</v>
      </c>
      <c r="D137" s="448"/>
      <c r="F137" s="87">
        <v>70</v>
      </c>
      <c r="G137" s="86">
        <v>70</v>
      </c>
      <c r="H137" s="271">
        <v>-1</v>
      </c>
      <c r="I137" s="450"/>
    </row>
    <row r="138" spans="1:10" s="87" customFormat="1" ht="16.2" customHeight="1" x14ac:dyDescent="0.25">
      <c r="A138" s="279">
        <v>50</v>
      </c>
      <c r="B138" s="280">
        <f>FORECAST(A138,B136:B137,A136:A137)</f>
        <v>50.6</v>
      </c>
      <c r="C138" s="280">
        <f>FORECAST(A138,C136:C137,A136:A137)</f>
        <v>-0.19999999999999996</v>
      </c>
      <c r="D138" s="448"/>
      <c r="F138" s="87">
        <v>80</v>
      </c>
      <c r="G138" s="280">
        <f>FORECAST(F138,G136:G137,F136:F137)</f>
        <v>80</v>
      </c>
      <c r="H138" s="280">
        <f>FORECAST(F138,H136:H137,F136:F137)</f>
        <v>-1</v>
      </c>
      <c r="I138" s="450"/>
    </row>
    <row r="139" spans="1:10" ht="16.2" customHeight="1" x14ac:dyDescent="0.25">
      <c r="B139" s="129" t="e">
        <f>B312</f>
        <v>#DIV/0!</v>
      </c>
      <c r="C139" s="88" t="e">
        <f ca="1">FORECAST(B139,OFFSET($C$133:$C$137,MATCH(B139,$B$133:$B$137,1)-1,0,2),OFFSET($B$133:$B$137,MATCH(B139,$B$133:$B$137,1)-1,0,2))</f>
        <v>#DIV/0!</v>
      </c>
      <c r="D139" s="449"/>
      <c r="E139" s="87"/>
      <c r="F139" s="87"/>
      <c r="G139" s="88" t="e">
        <f>G312</f>
        <v>#DIV/0!</v>
      </c>
      <c r="H139" s="273" t="e">
        <f ca="1">FORECAST(G139,OFFSET($H$133:$H$138,MATCH(G139,$G$133:$G$138,1)-1,0,2),OFFSET($G$133:$G$138,MATCH(G139,$G$133:$G$138,1)-1,0,2))</f>
        <v>#DIV/0!</v>
      </c>
      <c r="I139" s="450"/>
    </row>
    <row r="140" spans="1:10" ht="16.2" customHeight="1" x14ac:dyDescent="0.25">
      <c r="B140" s="87"/>
      <c r="C140" s="87"/>
      <c r="D140" s="87"/>
      <c r="E140" s="87"/>
      <c r="F140" s="87"/>
      <c r="G140" s="87"/>
      <c r="H140" s="87"/>
    </row>
    <row r="142" spans="1:10" s="78" customFormat="1" ht="16.2" customHeight="1" x14ac:dyDescent="0.25">
      <c r="B142" s="77" t="s">
        <v>88</v>
      </c>
      <c r="C142" s="451" t="s">
        <v>233</v>
      </c>
      <c r="D142" s="452"/>
      <c r="G142" s="79" t="s">
        <v>89</v>
      </c>
      <c r="H142" s="80"/>
      <c r="I142" s="453" t="s">
        <v>370</v>
      </c>
      <c r="J142" s="454"/>
    </row>
    <row r="143" spans="1:10" s="78" customFormat="1" ht="16.2" customHeight="1" x14ac:dyDescent="0.25">
      <c r="B143" s="77" t="s">
        <v>206</v>
      </c>
      <c r="C143" s="452" t="s">
        <v>234</v>
      </c>
      <c r="D143" s="452"/>
      <c r="G143" s="79" t="s">
        <v>90</v>
      </c>
      <c r="H143" s="80"/>
      <c r="I143" s="82" t="s">
        <v>258</v>
      </c>
      <c r="J143" s="81"/>
    </row>
    <row r="144" spans="1:10" s="78" customFormat="1" ht="16.2" customHeight="1" x14ac:dyDescent="0.25">
      <c r="B144" s="77" t="s">
        <v>207</v>
      </c>
      <c r="C144" s="459" t="s">
        <v>267</v>
      </c>
      <c r="D144" s="459"/>
    </row>
    <row r="145" spans="1:10" ht="15.6" customHeight="1" x14ac:dyDescent="0.25"/>
    <row r="146" spans="1:10" s="78" customFormat="1" ht="16.2" customHeight="1" x14ac:dyDescent="0.25">
      <c r="B146" s="455" t="s">
        <v>208</v>
      </c>
      <c r="C146" s="456"/>
      <c r="D146" s="457"/>
      <c r="G146" s="455" t="s">
        <v>209</v>
      </c>
      <c r="H146" s="456"/>
      <c r="I146" s="457"/>
    </row>
    <row r="147" spans="1:10" s="85" customFormat="1" ht="27" customHeight="1" x14ac:dyDescent="0.25">
      <c r="B147" s="84" t="s">
        <v>210</v>
      </c>
      <c r="C147" s="84" t="s">
        <v>91</v>
      </c>
      <c r="D147" s="84" t="s">
        <v>211</v>
      </c>
      <c r="G147" s="84" t="s">
        <v>210</v>
      </c>
      <c r="H147" s="84" t="s">
        <v>91</v>
      </c>
      <c r="I147" s="84" t="s">
        <v>211</v>
      </c>
    </row>
    <row r="148" spans="1:10" s="85" customFormat="1" ht="16.2" customHeight="1" x14ac:dyDescent="0.25">
      <c r="B148" s="84" t="s">
        <v>212</v>
      </c>
      <c r="C148" s="84" t="s">
        <v>212</v>
      </c>
      <c r="D148" s="84" t="s">
        <v>212</v>
      </c>
      <c r="G148" s="84" t="s">
        <v>52</v>
      </c>
      <c r="H148" s="84" t="s">
        <v>52</v>
      </c>
      <c r="I148" s="84" t="s">
        <v>52</v>
      </c>
    </row>
    <row r="149" spans="1:10" s="87" customFormat="1" ht="16.2" customHeight="1" x14ac:dyDescent="0.25">
      <c r="A149" s="279">
        <v>15</v>
      </c>
      <c r="B149" s="280">
        <f>FORECAST(A149,B150:B153,A150:A153)</f>
        <v>14.880000000000004</v>
      </c>
      <c r="C149" s="280">
        <f>FORECAST(A149,C150:C151,A150:A151)</f>
        <v>0.79999999999999993</v>
      </c>
      <c r="D149" s="447">
        <v>0.51</v>
      </c>
      <c r="F149" s="87">
        <v>30</v>
      </c>
      <c r="G149" s="280">
        <f>FORECAST(F149,G150:G153,F150:F153)</f>
        <v>28.499999999999996</v>
      </c>
      <c r="H149" s="280">
        <f>FORECAST(F149,H150:H151,F150:F151)</f>
        <v>1</v>
      </c>
      <c r="I149" s="460">
        <v>2.2000000000000002</v>
      </c>
    </row>
    <row r="150" spans="1:10" s="87" customFormat="1" ht="16.2" customHeight="1" x14ac:dyDescent="0.25">
      <c r="A150" s="87">
        <v>20</v>
      </c>
      <c r="B150" s="86">
        <v>20.2</v>
      </c>
      <c r="C150" s="86">
        <v>0.7</v>
      </c>
      <c r="D150" s="448"/>
      <c r="F150" s="87">
        <v>40</v>
      </c>
      <c r="G150" s="86">
        <v>38</v>
      </c>
      <c r="H150" s="86">
        <v>2</v>
      </c>
      <c r="I150" s="461"/>
    </row>
    <row r="151" spans="1:10" s="87" customFormat="1" ht="16.2" customHeight="1" x14ac:dyDescent="0.25">
      <c r="A151" s="87">
        <v>25</v>
      </c>
      <c r="B151" s="86">
        <v>25.2</v>
      </c>
      <c r="C151" s="86">
        <v>0.6</v>
      </c>
      <c r="D151" s="448"/>
      <c r="F151" s="87">
        <v>50</v>
      </c>
      <c r="G151" s="86">
        <v>47</v>
      </c>
      <c r="H151" s="86">
        <v>3</v>
      </c>
      <c r="I151" s="461"/>
    </row>
    <row r="152" spans="1:10" s="87" customFormat="1" ht="16.2" customHeight="1" x14ac:dyDescent="0.25">
      <c r="A152" s="87">
        <v>30</v>
      </c>
      <c r="B152" s="86">
        <v>30.2</v>
      </c>
      <c r="C152" s="86">
        <v>0.6</v>
      </c>
      <c r="D152" s="448"/>
      <c r="F152" s="87">
        <v>60</v>
      </c>
      <c r="G152" s="86">
        <v>56</v>
      </c>
      <c r="H152" s="86">
        <v>3</v>
      </c>
      <c r="I152" s="461"/>
    </row>
    <row r="153" spans="1:10" s="87" customFormat="1" ht="16.2" customHeight="1" x14ac:dyDescent="0.25">
      <c r="A153" s="87">
        <v>40</v>
      </c>
      <c r="B153" s="86">
        <v>40.9</v>
      </c>
      <c r="C153" s="86">
        <v>-0.3</v>
      </c>
      <c r="D153" s="448"/>
      <c r="F153" s="87">
        <v>70</v>
      </c>
      <c r="G153" s="86">
        <v>66</v>
      </c>
      <c r="H153" s="86">
        <v>3</v>
      </c>
      <c r="I153" s="461"/>
    </row>
    <row r="154" spans="1:10" s="87" customFormat="1" ht="16.2" customHeight="1" x14ac:dyDescent="0.25">
      <c r="A154" s="279">
        <v>50</v>
      </c>
      <c r="B154" s="280">
        <f>FORECAST(A154,B152:B153,A152:A153)</f>
        <v>51.599999999999994</v>
      </c>
      <c r="C154" s="280">
        <f>FORECAST(A154,C152:C153,A152:A153)</f>
        <v>-1.2000000000000002</v>
      </c>
      <c r="D154" s="448"/>
      <c r="F154" s="87">
        <v>80</v>
      </c>
      <c r="G154" s="280">
        <f>FORECAST(F154,G152:G153,F152:F153)</f>
        <v>76</v>
      </c>
      <c r="H154" s="280">
        <f>FORECAST(F154,H152:H153,F152:F153)</f>
        <v>3</v>
      </c>
      <c r="I154" s="461"/>
    </row>
    <row r="155" spans="1:10" ht="16.2" customHeight="1" x14ac:dyDescent="0.25">
      <c r="B155" s="129" t="e">
        <f>B312</f>
        <v>#DIV/0!</v>
      </c>
      <c r="C155" s="88" t="e">
        <f ca="1">FORECAST(B155,OFFSET($C$149:$C$154,MATCH(B155,$B$149:$B$154,1)-1,0,2),OFFSET($B$149:$B$154,MATCH(B155,$B$149:$B$154,1)-1,0,2))</f>
        <v>#DIV/0!</v>
      </c>
      <c r="D155" s="448"/>
      <c r="E155" s="87"/>
      <c r="F155" s="87"/>
      <c r="G155" s="88" t="e">
        <f>G312</f>
        <v>#DIV/0!</v>
      </c>
      <c r="H155" s="88" t="e">
        <f ca="1">FORECAST(G155,OFFSET($H$149:$H$154,MATCH(G155,$G$149:$G$154,1)-1,0,2),OFFSET($G$149:$G$154,MATCH(G155,$G$149:$G$154,1)-1,0,2))</f>
        <v>#DIV/0!</v>
      </c>
      <c r="I155" s="461"/>
    </row>
    <row r="156" spans="1:10" ht="16.2" customHeight="1" x14ac:dyDescent="0.25">
      <c r="D156" s="145"/>
      <c r="I156" s="142"/>
    </row>
    <row r="158" spans="1:10" s="78" customFormat="1" ht="16.2" customHeight="1" x14ac:dyDescent="0.25">
      <c r="B158" s="77" t="s">
        <v>88</v>
      </c>
      <c r="C158" s="451" t="s">
        <v>233</v>
      </c>
      <c r="D158" s="452"/>
      <c r="G158" s="79" t="s">
        <v>89</v>
      </c>
      <c r="H158" s="80"/>
      <c r="I158" s="453" t="s">
        <v>387</v>
      </c>
      <c r="J158" s="454"/>
    </row>
    <row r="159" spans="1:10" s="78" customFormat="1" ht="16.2" customHeight="1" x14ac:dyDescent="0.25">
      <c r="B159" s="77" t="s">
        <v>206</v>
      </c>
      <c r="C159" s="452" t="s">
        <v>234</v>
      </c>
      <c r="D159" s="452"/>
      <c r="G159" s="79" t="s">
        <v>90</v>
      </c>
      <c r="H159" s="80"/>
      <c r="I159" s="82" t="s">
        <v>258</v>
      </c>
      <c r="J159" s="81"/>
    </row>
    <row r="160" spans="1:10" s="78" customFormat="1" ht="16.2" customHeight="1" x14ac:dyDescent="0.25">
      <c r="B160" s="77" t="s">
        <v>207</v>
      </c>
      <c r="C160" s="451" t="s">
        <v>268</v>
      </c>
      <c r="D160" s="451"/>
    </row>
    <row r="161" spans="1:10" ht="15.6" customHeight="1" x14ac:dyDescent="0.25"/>
    <row r="162" spans="1:10" s="78" customFormat="1" ht="16.2" customHeight="1" x14ac:dyDescent="0.25">
      <c r="B162" s="455" t="s">
        <v>208</v>
      </c>
      <c r="C162" s="456"/>
      <c r="D162" s="457"/>
      <c r="G162" s="455" t="s">
        <v>209</v>
      </c>
      <c r="H162" s="456"/>
      <c r="I162" s="457"/>
    </row>
    <row r="163" spans="1:10" s="85" customFormat="1" ht="27" customHeight="1" x14ac:dyDescent="0.25">
      <c r="B163" s="84" t="s">
        <v>210</v>
      </c>
      <c r="C163" s="84" t="s">
        <v>91</v>
      </c>
      <c r="D163" s="84" t="s">
        <v>211</v>
      </c>
      <c r="G163" s="84" t="s">
        <v>210</v>
      </c>
      <c r="H163" s="84" t="s">
        <v>91</v>
      </c>
      <c r="I163" s="84" t="s">
        <v>211</v>
      </c>
    </row>
    <row r="164" spans="1:10" s="85" customFormat="1" ht="16.2" customHeight="1" x14ac:dyDescent="0.25">
      <c r="B164" s="84" t="s">
        <v>212</v>
      </c>
      <c r="C164" s="84" t="s">
        <v>212</v>
      </c>
      <c r="D164" s="84" t="s">
        <v>212</v>
      </c>
      <c r="G164" s="84" t="s">
        <v>52</v>
      </c>
      <c r="H164" s="84" t="s">
        <v>52</v>
      </c>
      <c r="I164" s="84" t="s">
        <v>52</v>
      </c>
    </row>
    <row r="165" spans="1:10" s="87" customFormat="1" ht="16.2" customHeight="1" x14ac:dyDescent="0.25">
      <c r="A165" s="279">
        <v>15</v>
      </c>
      <c r="B165" s="280">
        <v>15.4</v>
      </c>
      <c r="C165" s="280">
        <f>FORECAST(A165,C166:C167,A166:A167)</f>
        <v>-0.49999999999999989</v>
      </c>
      <c r="D165" s="447">
        <v>0.57999999999999996</v>
      </c>
      <c r="F165" s="87">
        <v>30</v>
      </c>
      <c r="G165" s="280">
        <v>20</v>
      </c>
      <c r="H165" s="280">
        <v>-2</v>
      </c>
      <c r="I165" s="450">
        <v>3</v>
      </c>
    </row>
    <row r="166" spans="1:10" s="87" customFormat="1" ht="16.2" customHeight="1" x14ac:dyDescent="0.25">
      <c r="A166" s="87">
        <v>20</v>
      </c>
      <c r="B166" s="86">
        <v>20.8</v>
      </c>
      <c r="C166" s="86">
        <v>-0.7</v>
      </c>
      <c r="D166" s="448"/>
      <c r="F166" s="87">
        <v>40</v>
      </c>
      <c r="G166" s="86">
        <v>38</v>
      </c>
      <c r="H166" s="86">
        <v>-1</v>
      </c>
      <c r="I166" s="450"/>
    </row>
    <row r="167" spans="1:10" s="87" customFormat="1" ht="16.2" customHeight="1" x14ac:dyDescent="0.25">
      <c r="A167" s="87">
        <v>25</v>
      </c>
      <c r="B167" s="86">
        <v>25.8</v>
      </c>
      <c r="C167" s="86">
        <v>-0.9</v>
      </c>
      <c r="D167" s="448"/>
      <c r="F167" s="87">
        <v>50</v>
      </c>
      <c r="G167" s="86">
        <v>53</v>
      </c>
      <c r="H167" s="86">
        <v>-2</v>
      </c>
      <c r="I167" s="450"/>
    </row>
    <row r="168" spans="1:10" s="87" customFormat="1" ht="16.2" customHeight="1" x14ac:dyDescent="0.25">
      <c r="A168" s="87">
        <v>30</v>
      </c>
      <c r="B168" s="86">
        <v>30.5</v>
      </c>
      <c r="C168" s="86">
        <v>-0.6</v>
      </c>
      <c r="D168" s="448"/>
      <c r="F168" s="87">
        <v>60</v>
      </c>
      <c r="G168" s="86">
        <v>72</v>
      </c>
      <c r="H168" s="86">
        <v>-4</v>
      </c>
      <c r="I168" s="450"/>
    </row>
    <row r="169" spans="1:10" s="87" customFormat="1" ht="16.2" customHeight="1" x14ac:dyDescent="0.25">
      <c r="A169" s="87">
        <v>40</v>
      </c>
      <c r="B169" s="86">
        <v>40.799999999999997</v>
      </c>
      <c r="C169" s="86">
        <v>-0.3</v>
      </c>
      <c r="D169" s="448"/>
      <c r="F169" s="87">
        <v>70</v>
      </c>
      <c r="G169" s="86">
        <v>83</v>
      </c>
      <c r="H169" s="86">
        <v>-5</v>
      </c>
      <c r="I169" s="450"/>
    </row>
    <row r="170" spans="1:10" s="87" customFormat="1" ht="16.2" customHeight="1" x14ac:dyDescent="0.25">
      <c r="A170" s="279">
        <v>50</v>
      </c>
      <c r="B170" s="280">
        <f>FORECAST(A170,B168:B169,A168:A169)</f>
        <v>51.1</v>
      </c>
      <c r="C170" s="280">
        <f>FORECAST(A170,C168:C169,A168:A169)</f>
        <v>0</v>
      </c>
      <c r="D170" s="448"/>
      <c r="F170" s="87">
        <v>80</v>
      </c>
      <c r="G170" s="280">
        <f>FORECAST(F170,G168:G169,F168:F169)</f>
        <v>94</v>
      </c>
      <c r="H170" s="280">
        <f>FORECAST(F170,H168:H169,F168:F169)</f>
        <v>-6</v>
      </c>
      <c r="I170" s="450"/>
    </row>
    <row r="171" spans="1:10" ht="16.2" customHeight="1" x14ac:dyDescent="0.25">
      <c r="B171" s="129" t="e">
        <f>B312</f>
        <v>#DIV/0!</v>
      </c>
      <c r="C171" s="88" t="e">
        <f ca="1">FORECAST(B171,OFFSET($C$165:$C$170,MATCH(B171,$B$165:$B$170,1)-1,0,2),OFFSET($B$165:$B$170,MATCH(B171,$B$165:$B$170,1)-1,0,2))</f>
        <v>#DIV/0!</v>
      </c>
      <c r="D171" s="449"/>
      <c r="E171" s="87"/>
      <c r="F171" s="87"/>
      <c r="G171" s="88" t="e">
        <f>G312</f>
        <v>#DIV/0!</v>
      </c>
      <c r="H171" s="88" t="e">
        <f ca="1">FORECAST(G171,OFFSET($H$165:$H$170,MATCH(G171,$G$165:$G$170,1)-1,0,2),OFFSET($G$165:$G$170,MATCH(G171,$G$165:$G$170,1)-1,0,2))</f>
        <v>#DIV/0!</v>
      </c>
      <c r="I171" s="450"/>
    </row>
    <row r="172" spans="1:10" ht="16.2" customHeight="1" x14ac:dyDescent="0.25">
      <c r="B172" s="87"/>
      <c r="C172" s="87"/>
      <c r="D172" s="87"/>
      <c r="E172" s="87"/>
      <c r="F172" s="87"/>
      <c r="G172" s="87"/>
      <c r="H172" s="87"/>
    </row>
    <row r="174" spans="1:10" s="78" customFormat="1" ht="16.2" customHeight="1" x14ac:dyDescent="0.25">
      <c r="B174" s="77" t="s">
        <v>88</v>
      </c>
      <c r="C174" s="451" t="s">
        <v>233</v>
      </c>
      <c r="D174" s="452"/>
      <c r="G174" s="79" t="s">
        <v>89</v>
      </c>
      <c r="H174" s="80"/>
      <c r="I174" s="453" t="s">
        <v>370</v>
      </c>
      <c r="J174" s="454"/>
    </row>
    <row r="175" spans="1:10" s="78" customFormat="1" ht="16.2" customHeight="1" x14ac:dyDescent="0.25">
      <c r="B175" s="77" t="s">
        <v>206</v>
      </c>
      <c r="C175" s="452" t="s">
        <v>234</v>
      </c>
      <c r="D175" s="452"/>
      <c r="G175" s="79" t="s">
        <v>90</v>
      </c>
      <c r="H175" s="80"/>
      <c r="I175" s="82" t="s">
        <v>258</v>
      </c>
      <c r="J175" s="81"/>
    </row>
    <row r="176" spans="1:10" s="78" customFormat="1" ht="16.2" customHeight="1" x14ac:dyDescent="0.25">
      <c r="B176" s="77" t="s">
        <v>207</v>
      </c>
      <c r="C176" s="451" t="s">
        <v>269</v>
      </c>
      <c r="D176" s="451"/>
    </row>
    <row r="177" spans="1:10" ht="15.6" customHeight="1" x14ac:dyDescent="0.25"/>
    <row r="178" spans="1:10" s="78" customFormat="1" ht="16.2" customHeight="1" x14ac:dyDescent="0.25">
      <c r="B178" s="455" t="s">
        <v>208</v>
      </c>
      <c r="C178" s="456"/>
      <c r="D178" s="457"/>
      <c r="G178" s="455" t="s">
        <v>209</v>
      </c>
      <c r="H178" s="456"/>
      <c r="I178" s="457"/>
    </row>
    <row r="179" spans="1:10" s="85" customFormat="1" ht="27" customHeight="1" x14ac:dyDescent="0.25">
      <c r="B179" s="84" t="s">
        <v>210</v>
      </c>
      <c r="C179" s="84" t="s">
        <v>91</v>
      </c>
      <c r="D179" s="84" t="s">
        <v>211</v>
      </c>
      <c r="G179" s="84" t="s">
        <v>210</v>
      </c>
      <c r="H179" s="84" t="s">
        <v>91</v>
      </c>
      <c r="I179" s="84" t="s">
        <v>211</v>
      </c>
    </row>
    <row r="180" spans="1:10" s="85" customFormat="1" ht="16.2" customHeight="1" x14ac:dyDescent="0.25">
      <c r="B180" s="84" t="s">
        <v>212</v>
      </c>
      <c r="C180" s="84" t="s">
        <v>212</v>
      </c>
      <c r="D180" s="84" t="s">
        <v>212</v>
      </c>
      <c r="G180" s="84" t="s">
        <v>52</v>
      </c>
      <c r="H180" s="84" t="s">
        <v>52</v>
      </c>
      <c r="I180" s="84" t="s">
        <v>52</v>
      </c>
    </row>
    <row r="181" spans="1:10" s="87" customFormat="1" ht="16.2" customHeight="1" x14ac:dyDescent="0.25">
      <c r="A181" s="279">
        <v>15</v>
      </c>
      <c r="B181" s="280">
        <f>FORECAST(A181,B182:B185,A182:A185)</f>
        <v>15.297142857142859</v>
      </c>
      <c r="C181" s="280">
        <f>FORECAST(A181,C182:C183,A182:A183)</f>
        <v>0.4</v>
      </c>
      <c r="D181" s="447">
        <v>0.51</v>
      </c>
      <c r="F181" s="87">
        <v>30</v>
      </c>
      <c r="G181" s="280">
        <f>FORECAST(F181,G182:G185,F182:F185)</f>
        <v>31.499999999999996</v>
      </c>
      <c r="H181" s="280">
        <f>FORECAST(F181,H182:H183,F182:F183)</f>
        <v>0</v>
      </c>
      <c r="I181" s="450">
        <v>2.2000000000000002</v>
      </c>
    </row>
    <row r="182" spans="1:10" s="87" customFormat="1" ht="16.2" customHeight="1" x14ac:dyDescent="0.25">
      <c r="A182" s="87">
        <v>20</v>
      </c>
      <c r="B182" s="86">
        <v>20.5</v>
      </c>
      <c r="C182" s="86">
        <v>0.4</v>
      </c>
      <c r="D182" s="448"/>
      <c r="F182" s="87">
        <v>40</v>
      </c>
      <c r="G182" s="86">
        <v>41</v>
      </c>
      <c r="H182" s="86">
        <v>-1</v>
      </c>
      <c r="I182" s="450"/>
    </row>
    <row r="183" spans="1:10" s="87" customFormat="1" ht="16.2" customHeight="1" x14ac:dyDescent="0.25">
      <c r="A183" s="87">
        <v>25</v>
      </c>
      <c r="B183" s="86">
        <v>25.4</v>
      </c>
      <c r="C183" s="86">
        <v>0.4</v>
      </c>
      <c r="D183" s="448"/>
      <c r="F183" s="87">
        <v>50</v>
      </c>
      <c r="G183" s="86">
        <v>52</v>
      </c>
      <c r="H183" s="86">
        <v>-2</v>
      </c>
      <c r="I183" s="450"/>
    </row>
    <row r="184" spans="1:10" s="87" customFormat="1" ht="16.2" customHeight="1" x14ac:dyDescent="0.25">
      <c r="A184" s="87">
        <v>30</v>
      </c>
      <c r="B184" s="86">
        <v>30.4</v>
      </c>
      <c r="C184" s="86">
        <v>0.4</v>
      </c>
      <c r="D184" s="448"/>
      <c r="F184" s="87">
        <v>60</v>
      </c>
      <c r="G184" s="86">
        <v>61</v>
      </c>
      <c r="H184" s="86">
        <v>-2</v>
      </c>
      <c r="I184" s="450"/>
    </row>
    <row r="185" spans="1:10" s="87" customFormat="1" ht="16.2" customHeight="1" x14ac:dyDescent="0.25">
      <c r="A185" s="87">
        <v>40</v>
      </c>
      <c r="B185" s="86">
        <v>40.799999999999997</v>
      </c>
      <c r="C185" s="86">
        <v>-0.2</v>
      </c>
      <c r="D185" s="448"/>
      <c r="F185" s="87">
        <v>70</v>
      </c>
      <c r="G185" s="86">
        <v>71</v>
      </c>
      <c r="H185" s="86">
        <v>-2</v>
      </c>
      <c r="I185" s="450"/>
    </row>
    <row r="186" spans="1:10" s="87" customFormat="1" ht="16.2" customHeight="1" x14ac:dyDescent="0.25">
      <c r="A186" s="279">
        <v>50</v>
      </c>
      <c r="B186" s="280">
        <f>FORECAST(A186,B184:B185,A184:A185)</f>
        <v>51.199999999999996</v>
      </c>
      <c r="C186" s="280">
        <f>FORECAST(A186,C184:C185,A184:A185)</f>
        <v>-0.79999999999999982</v>
      </c>
      <c r="D186" s="448"/>
      <c r="F186" s="87">
        <v>80</v>
      </c>
      <c r="G186" s="280">
        <f>FORECAST(F186,G184:G185,F184:F185)</f>
        <v>81</v>
      </c>
      <c r="H186" s="280">
        <f>FORECAST(F186,H184:H185,F184:F185)</f>
        <v>-2</v>
      </c>
      <c r="I186" s="450"/>
    </row>
    <row r="187" spans="1:10" ht="16.2" customHeight="1" x14ac:dyDescent="0.25">
      <c r="B187" s="129" t="e">
        <f>B312</f>
        <v>#DIV/0!</v>
      </c>
      <c r="C187" s="88" t="e">
        <f ca="1">FORECAST(B187,OFFSET($C$181:$C$185,MATCH(B187,$B$181:$B$185,1)-1,0,2),OFFSET($B$181:$B$185,MATCH(B187,$B$181:$B$185,1)-1,0,2))</f>
        <v>#DIV/0!</v>
      </c>
      <c r="D187" s="449"/>
      <c r="E187" s="87"/>
      <c r="F187" s="87"/>
      <c r="G187" s="88" t="e">
        <f>G312</f>
        <v>#DIV/0!</v>
      </c>
      <c r="H187" s="88" t="e">
        <f ca="1">FORECAST(G187,OFFSET($H$181:$H$186,MATCH(G187,$G$181:$G$186,1)-1,0,2),OFFSET($G$181:$G$186,MATCH(G187,$G$181:$G$186,1)-1,0,2))</f>
        <v>#DIV/0!</v>
      </c>
      <c r="I187" s="450"/>
    </row>
    <row r="188" spans="1:10" ht="16.2" customHeight="1" x14ac:dyDescent="0.25">
      <c r="B188" s="87"/>
      <c r="C188" s="87"/>
      <c r="D188" s="87"/>
      <c r="E188" s="87"/>
      <c r="F188" s="87"/>
      <c r="G188" s="87"/>
      <c r="H188" s="87"/>
    </row>
    <row r="190" spans="1:10" s="78" customFormat="1" ht="16.2" customHeight="1" x14ac:dyDescent="0.25">
      <c r="B190" s="77" t="s">
        <v>88</v>
      </c>
      <c r="C190" s="451" t="s">
        <v>233</v>
      </c>
      <c r="D190" s="452"/>
      <c r="G190" s="79" t="s">
        <v>89</v>
      </c>
      <c r="H190" s="80"/>
      <c r="I190" s="453" t="s">
        <v>370</v>
      </c>
      <c r="J190" s="454"/>
    </row>
    <row r="191" spans="1:10" s="78" customFormat="1" ht="16.2" customHeight="1" x14ac:dyDescent="0.25">
      <c r="B191" s="77" t="s">
        <v>206</v>
      </c>
      <c r="C191" s="452" t="s">
        <v>234</v>
      </c>
      <c r="D191" s="452"/>
      <c r="G191" s="79" t="s">
        <v>90</v>
      </c>
      <c r="H191" s="80"/>
      <c r="I191" s="82" t="s">
        <v>258</v>
      </c>
      <c r="J191" s="81"/>
    </row>
    <row r="192" spans="1:10" s="78" customFormat="1" ht="16.2" customHeight="1" x14ac:dyDescent="0.25">
      <c r="B192" s="77" t="s">
        <v>207</v>
      </c>
      <c r="C192" s="451" t="s">
        <v>270</v>
      </c>
      <c r="D192" s="451"/>
    </row>
    <row r="193" spans="1:10" ht="15.6" customHeight="1" x14ac:dyDescent="0.25"/>
    <row r="194" spans="1:10" s="78" customFormat="1" ht="16.2" customHeight="1" x14ac:dyDescent="0.25">
      <c r="B194" s="455" t="s">
        <v>208</v>
      </c>
      <c r="C194" s="456"/>
      <c r="D194" s="457"/>
      <c r="G194" s="455" t="s">
        <v>209</v>
      </c>
      <c r="H194" s="456"/>
      <c r="I194" s="457"/>
    </row>
    <row r="195" spans="1:10" s="85" customFormat="1" ht="27" customHeight="1" x14ac:dyDescent="0.25">
      <c r="B195" s="84" t="s">
        <v>210</v>
      </c>
      <c r="C195" s="84" t="s">
        <v>91</v>
      </c>
      <c r="D195" s="84" t="s">
        <v>211</v>
      </c>
      <c r="G195" s="84" t="s">
        <v>210</v>
      </c>
      <c r="H195" s="84" t="s">
        <v>91</v>
      </c>
      <c r="I195" s="84" t="s">
        <v>211</v>
      </c>
    </row>
    <row r="196" spans="1:10" s="85" customFormat="1" ht="16.2" customHeight="1" x14ac:dyDescent="0.25">
      <c r="B196" s="84" t="s">
        <v>212</v>
      </c>
      <c r="C196" s="84" t="s">
        <v>212</v>
      </c>
      <c r="D196" s="84" t="s">
        <v>212</v>
      </c>
      <c r="G196" s="84" t="s">
        <v>52</v>
      </c>
      <c r="H196" s="84" t="s">
        <v>52</v>
      </c>
      <c r="I196" s="84" t="s">
        <v>52</v>
      </c>
    </row>
    <row r="197" spans="1:10" s="87" customFormat="1" ht="16.2" customHeight="1" x14ac:dyDescent="0.25">
      <c r="A197" s="279">
        <v>15</v>
      </c>
      <c r="B197" s="280">
        <f>FORECAST(A197,B198:B201,A198:A201)</f>
        <v>16.60857142857143</v>
      </c>
      <c r="C197" s="280">
        <f>FORECAST(A197,C198:C199,A198:A199)</f>
        <v>-0.70000000000000007</v>
      </c>
      <c r="D197" s="447">
        <v>0.51</v>
      </c>
      <c r="F197" s="87">
        <v>30</v>
      </c>
      <c r="G197" s="280">
        <f>FORECAST(F197,G198:G201,F198:F201)</f>
        <v>29.000000000000004</v>
      </c>
      <c r="H197" s="280">
        <f>FORECAST(F197,H198:H199,F198:F199)</f>
        <v>2</v>
      </c>
      <c r="I197" s="450">
        <v>2.2000000000000002</v>
      </c>
    </row>
    <row r="198" spans="1:10" s="87" customFormat="1" ht="16.2" customHeight="1" x14ac:dyDescent="0.25">
      <c r="A198" s="87">
        <v>20</v>
      </c>
      <c r="B198" s="86">
        <v>21.5</v>
      </c>
      <c r="C198" s="86">
        <v>-0.6</v>
      </c>
      <c r="D198" s="448"/>
      <c r="F198" s="87">
        <v>40</v>
      </c>
      <c r="G198" s="86">
        <v>39</v>
      </c>
      <c r="H198" s="86">
        <v>1</v>
      </c>
      <c r="I198" s="450"/>
    </row>
    <row r="199" spans="1:10" s="87" customFormat="1" ht="16.2" customHeight="1" x14ac:dyDescent="0.25">
      <c r="A199" s="87">
        <v>25</v>
      </c>
      <c r="B199" s="86">
        <v>26.3</v>
      </c>
      <c r="C199" s="86">
        <v>-0.5</v>
      </c>
      <c r="D199" s="448"/>
      <c r="F199" s="87">
        <v>50</v>
      </c>
      <c r="G199" s="86">
        <v>50</v>
      </c>
      <c r="H199" s="86">
        <v>0</v>
      </c>
      <c r="I199" s="450"/>
    </row>
    <row r="200" spans="1:10" s="87" customFormat="1" ht="16.2" customHeight="1" x14ac:dyDescent="0.25">
      <c r="A200" s="87">
        <v>30</v>
      </c>
      <c r="B200" s="86">
        <v>31.1</v>
      </c>
      <c r="C200" s="86">
        <v>-0.3</v>
      </c>
      <c r="D200" s="448"/>
      <c r="F200" s="87">
        <v>60</v>
      </c>
      <c r="G200" s="86">
        <v>60</v>
      </c>
      <c r="H200" s="86">
        <v>-1</v>
      </c>
      <c r="I200" s="450"/>
    </row>
    <row r="201" spans="1:10" s="87" customFormat="1" ht="16.2" customHeight="1" x14ac:dyDescent="0.25">
      <c r="A201" s="87">
        <v>40</v>
      </c>
      <c r="B201" s="86">
        <v>40.9</v>
      </c>
      <c r="C201" s="86">
        <v>-0.3</v>
      </c>
      <c r="D201" s="448"/>
      <c r="F201" s="87">
        <v>70</v>
      </c>
      <c r="G201" s="86">
        <v>70</v>
      </c>
      <c r="H201" s="86">
        <v>-1</v>
      </c>
      <c r="I201" s="450"/>
    </row>
    <row r="202" spans="1:10" s="87" customFormat="1" ht="16.2" customHeight="1" x14ac:dyDescent="0.25">
      <c r="A202" s="279">
        <v>50</v>
      </c>
      <c r="B202" s="280">
        <f>FORECAST(A202,B200:B201,A200:A201)</f>
        <v>50.699999999999996</v>
      </c>
      <c r="C202" s="280">
        <f>FORECAST(A202,C200:C201,A200:A201)</f>
        <v>-0.3</v>
      </c>
      <c r="D202" s="448"/>
      <c r="F202" s="87">
        <v>80</v>
      </c>
      <c r="G202" s="280">
        <f>FORECAST(F202,G200:G201,F200:F201)</f>
        <v>80</v>
      </c>
      <c r="H202" s="280">
        <f>FORECAST(F202,H200:H201,F200:F201)</f>
        <v>-1</v>
      </c>
      <c r="I202" s="450"/>
    </row>
    <row r="203" spans="1:10" ht="16.2" customHeight="1" x14ac:dyDescent="0.25">
      <c r="B203" s="129" t="e">
        <f>B$312</f>
        <v>#DIV/0!</v>
      </c>
      <c r="C203" s="88" t="e">
        <f ca="1">FORECAST(B203,OFFSET($C$197:$C$202,MATCH(B203,$B$197:$B$202,1)-1,0,2),OFFSET($B$197:$B$202,MATCH(B203,$B$197:$B$202,1)-1,0,2))</f>
        <v>#DIV/0!</v>
      </c>
      <c r="D203" s="449"/>
      <c r="E203" s="87"/>
      <c r="F203" s="87"/>
      <c r="G203" s="88" t="e">
        <f>G$312</f>
        <v>#DIV/0!</v>
      </c>
      <c r="H203" s="88" t="e">
        <f ca="1">FORECAST(G203,OFFSET($H$197:$H$202,MATCH(G203,$G$197:$G$202,1)-1,0,2),OFFSET($G$197:$G$202,MATCH(G203,$G$197:$G$202,1)-1,0,2))</f>
        <v>#DIV/0!</v>
      </c>
      <c r="I203" s="450"/>
    </row>
    <row r="204" spans="1:10" ht="16.2" customHeight="1" x14ac:dyDescent="0.25">
      <c r="B204" s="126"/>
      <c r="C204" s="126"/>
      <c r="D204" s="125"/>
      <c r="G204" s="126"/>
      <c r="H204" s="126"/>
      <c r="I204" s="125"/>
    </row>
    <row r="206" spans="1:10" s="78" customFormat="1" ht="16.2" customHeight="1" x14ac:dyDescent="0.25">
      <c r="B206" s="77" t="s">
        <v>88</v>
      </c>
      <c r="C206" s="451" t="s">
        <v>233</v>
      </c>
      <c r="D206" s="452"/>
      <c r="G206" s="79" t="s">
        <v>89</v>
      </c>
      <c r="H206" s="80"/>
      <c r="I206" s="453" t="s">
        <v>371</v>
      </c>
      <c r="J206" s="454"/>
    </row>
    <row r="207" spans="1:10" s="78" customFormat="1" ht="16.2" customHeight="1" x14ac:dyDescent="0.25">
      <c r="B207" s="77" t="s">
        <v>206</v>
      </c>
      <c r="C207" s="452" t="s">
        <v>234</v>
      </c>
      <c r="D207" s="452"/>
      <c r="G207" s="79" t="s">
        <v>90</v>
      </c>
      <c r="H207" s="80"/>
      <c r="I207" s="82" t="s">
        <v>258</v>
      </c>
      <c r="J207" s="81"/>
    </row>
    <row r="208" spans="1:10" s="78" customFormat="1" ht="16.2" customHeight="1" x14ac:dyDescent="0.25">
      <c r="B208" s="77" t="s">
        <v>207</v>
      </c>
      <c r="C208" s="451" t="s">
        <v>372</v>
      </c>
      <c r="D208" s="451"/>
    </row>
    <row r="209" spans="1:10" ht="15.6" customHeight="1" x14ac:dyDescent="0.25"/>
    <row r="210" spans="1:10" s="78" customFormat="1" ht="16.2" customHeight="1" x14ac:dyDescent="0.25">
      <c r="B210" s="455" t="s">
        <v>208</v>
      </c>
      <c r="C210" s="456"/>
      <c r="D210" s="457"/>
      <c r="G210" s="455" t="s">
        <v>209</v>
      </c>
      <c r="H210" s="456"/>
      <c r="I210" s="457"/>
    </row>
    <row r="211" spans="1:10" s="85" customFormat="1" ht="27" customHeight="1" x14ac:dyDescent="0.25">
      <c r="B211" s="84" t="s">
        <v>210</v>
      </c>
      <c r="C211" s="84" t="s">
        <v>91</v>
      </c>
      <c r="D211" s="84" t="s">
        <v>211</v>
      </c>
      <c r="G211" s="84" t="s">
        <v>210</v>
      </c>
      <c r="H211" s="84" t="s">
        <v>91</v>
      </c>
      <c r="I211" s="84" t="s">
        <v>211</v>
      </c>
    </row>
    <row r="212" spans="1:10" s="85" customFormat="1" ht="16.2" customHeight="1" x14ac:dyDescent="0.25">
      <c r="B212" s="84" t="s">
        <v>212</v>
      </c>
      <c r="C212" s="84" t="s">
        <v>212</v>
      </c>
      <c r="D212" s="84" t="s">
        <v>212</v>
      </c>
      <c r="G212" s="84" t="s">
        <v>52</v>
      </c>
      <c r="H212" s="84" t="s">
        <v>52</v>
      </c>
      <c r="I212" s="84" t="s">
        <v>52</v>
      </c>
    </row>
    <row r="213" spans="1:10" s="87" customFormat="1" ht="16.2" customHeight="1" x14ac:dyDescent="0.25">
      <c r="A213" s="279">
        <v>15</v>
      </c>
      <c r="B213" s="280">
        <f>FORECAST(A213,B214:B217,A214:A217)</f>
        <v>15.222857142857142</v>
      </c>
      <c r="C213" s="280">
        <f>FORECAST(A213,C214:C215,A214:A215)</f>
        <v>1.4000000000000004</v>
      </c>
      <c r="D213" s="447">
        <v>0.51</v>
      </c>
      <c r="F213" s="87">
        <v>30</v>
      </c>
      <c r="G213" s="280">
        <f>FORECAST(F213,G214:G217,F214:F217)</f>
        <v>27.499999999999993</v>
      </c>
      <c r="H213" s="280">
        <f>FORECAST(F213,H214:H215,F214:F215)</f>
        <v>1</v>
      </c>
      <c r="I213" s="450">
        <v>2.2000000000000002</v>
      </c>
    </row>
    <row r="214" spans="1:10" s="87" customFormat="1" ht="16.2" customHeight="1" x14ac:dyDescent="0.25">
      <c r="A214" s="87">
        <v>20</v>
      </c>
      <c r="B214" s="86">
        <v>20.2</v>
      </c>
      <c r="C214" s="86">
        <v>0.4</v>
      </c>
      <c r="D214" s="448"/>
      <c r="F214" s="87">
        <v>40</v>
      </c>
      <c r="G214" s="86">
        <v>40</v>
      </c>
      <c r="H214" s="86">
        <v>0</v>
      </c>
      <c r="I214" s="450"/>
    </row>
    <row r="215" spans="1:10" s="87" customFormat="1" ht="16.2" customHeight="1" x14ac:dyDescent="0.25">
      <c r="A215" s="87">
        <v>25</v>
      </c>
      <c r="B215" s="86">
        <v>25.6</v>
      </c>
      <c r="C215" s="86">
        <v>-0.6</v>
      </c>
      <c r="D215" s="448"/>
      <c r="F215" s="87">
        <v>50</v>
      </c>
      <c r="G215" s="86">
        <v>52</v>
      </c>
      <c r="H215" s="86">
        <v>-1</v>
      </c>
      <c r="I215" s="450"/>
    </row>
    <row r="216" spans="1:10" s="87" customFormat="1" ht="16.2" customHeight="1" x14ac:dyDescent="0.25">
      <c r="A216" s="87">
        <v>30</v>
      </c>
      <c r="B216" s="86">
        <v>30.8</v>
      </c>
      <c r="C216" s="86">
        <v>0</v>
      </c>
      <c r="D216" s="448"/>
      <c r="F216" s="87">
        <v>60</v>
      </c>
      <c r="G216" s="86">
        <v>64</v>
      </c>
      <c r="H216" s="86">
        <v>-3</v>
      </c>
      <c r="I216" s="450"/>
    </row>
    <row r="217" spans="1:10" s="87" customFormat="1" ht="16.2" customHeight="1" x14ac:dyDescent="0.25">
      <c r="A217" s="87">
        <v>40</v>
      </c>
      <c r="B217" s="86">
        <v>40.799999999999997</v>
      </c>
      <c r="C217" s="86">
        <v>0.2</v>
      </c>
      <c r="D217" s="448"/>
      <c r="F217" s="87">
        <v>70</v>
      </c>
      <c r="G217" s="86">
        <v>77</v>
      </c>
      <c r="H217" s="86">
        <v>-3</v>
      </c>
      <c r="I217" s="450"/>
    </row>
    <row r="218" spans="1:10" s="87" customFormat="1" ht="16.2" customHeight="1" x14ac:dyDescent="0.25">
      <c r="A218" s="279">
        <v>50</v>
      </c>
      <c r="B218" s="280">
        <f>FORECAST(A218,B216:B217,A216:A217)</f>
        <v>50.8</v>
      </c>
      <c r="C218" s="280">
        <f>FORECAST(A218,C216:C217,A216:A217)</f>
        <v>0.39999999999999991</v>
      </c>
      <c r="D218" s="448"/>
      <c r="F218" s="87">
        <v>80</v>
      </c>
      <c r="G218" s="280">
        <f>FORECAST(F218,G216:G217,F216:F217)</f>
        <v>90</v>
      </c>
      <c r="H218" s="280">
        <f>FORECAST(F218,H216:H217,F216:F217)</f>
        <v>-3</v>
      </c>
      <c r="I218" s="450"/>
    </row>
    <row r="219" spans="1:10" ht="16.2" customHeight="1" x14ac:dyDescent="0.25">
      <c r="B219" s="129" t="e">
        <f>B$312</f>
        <v>#DIV/0!</v>
      </c>
      <c r="C219" s="88" t="e">
        <f ca="1">FORECAST(B219,OFFSET($C$213:$C$218,MATCH(B219,$B$213:$B$218,1)-1,0,2),OFFSET($B$213:$B$218,MATCH(B219,$B$213:$B$218,1)-1,0,2))</f>
        <v>#DIV/0!</v>
      </c>
      <c r="D219" s="449"/>
      <c r="E219" s="87"/>
      <c r="F219" s="87"/>
      <c r="G219" s="88" t="e">
        <f>G$312</f>
        <v>#DIV/0!</v>
      </c>
      <c r="H219" s="88" t="e">
        <f ca="1">FORECAST(G219,OFFSET($H$213:$H$218,MATCH(G219,$G$213:$G$218,1)-1,0,2),OFFSET($G$213:$G$218,MATCH(G219,$G$213:$G$218,1)-1,0,2))</f>
        <v>#DIV/0!</v>
      </c>
      <c r="I219" s="450"/>
    </row>
    <row r="220" spans="1:10" ht="16.2" customHeight="1" x14ac:dyDescent="0.25">
      <c r="B220" s="126"/>
      <c r="C220" s="126"/>
      <c r="D220" s="125"/>
      <c r="G220" s="126"/>
      <c r="H220" s="126"/>
      <c r="I220" s="125"/>
    </row>
    <row r="222" spans="1:10" s="78" customFormat="1" ht="16.2" customHeight="1" x14ac:dyDescent="0.25">
      <c r="B222" s="77" t="s">
        <v>88</v>
      </c>
      <c r="C222" s="451" t="s">
        <v>233</v>
      </c>
      <c r="D222" s="452"/>
      <c r="G222" s="79" t="s">
        <v>89</v>
      </c>
      <c r="H222" s="80"/>
      <c r="I222" s="453" t="s">
        <v>371</v>
      </c>
      <c r="J222" s="454"/>
    </row>
    <row r="223" spans="1:10" s="78" customFormat="1" ht="16.2" customHeight="1" x14ac:dyDescent="0.25">
      <c r="B223" s="77" t="s">
        <v>206</v>
      </c>
      <c r="C223" s="452" t="s">
        <v>234</v>
      </c>
      <c r="D223" s="452"/>
      <c r="G223" s="79" t="s">
        <v>90</v>
      </c>
      <c r="H223" s="80"/>
      <c r="I223" s="82" t="s">
        <v>258</v>
      </c>
      <c r="J223" s="81"/>
    </row>
    <row r="224" spans="1:10" s="78" customFormat="1" ht="16.2" customHeight="1" x14ac:dyDescent="0.25">
      <c r="B224" s="77" t="s">
        <v>207</v>
      </c>
      <c r="C224" s="451" t="s">
        <v>373</v>
      </c>
      <c r="D224" s="451"/>
    </row>
    <row r="225" spans="1:10" ht="15.6" customHeight="1" x14ac:dyDescent="0.25"/>
    <row r="226" spans="1:10" s="78" customFormat="1" ht="16.2" customHeight="1" x14ac:dyDescent="0.25">
      <c r="B226" s="455" t="s">
        <v>208</v>
      </c>
      <c r="C226" s="456"/>
      <c r="D226" s="457"/>
      <c r="G226" s="455" t="s">
        <v>209</v>
      </c>
      <c r="H226" s="456"/>
      <c r="I226" s="457"/>
    </row>
    <row r="227" spans="1:10" s="85" customFormat="1" ht="27" customHeight="1" x14ac:dyDescent="0.25">
      <c r="B227" s="84" t="s">
        <v>210</v>
      </c>
      <c r="C227" s="84" t="s">
        <v>91</v>
      </c>
      <c r="D227" s="84" t="s">
        <v>211</v>
      </c>
      <c r="G227" s="84" t="s">
        <v>210</v>
      </c>
      <c r="H227" s="84" t="s">
        <v>91</v>
      </c>
      <c r="I227" s="84" t="s">
        <v>211</v>
      </c>
    </row>
    <row r="228" spans="1:10" s="85" customFormat="1" ht="16.2" customHeight="1" x14ac:dyDescent="0.25">
      <c r="B228" s="84" t="s">
        <v>212</v>
      </c>
      <c r="C228" s="84" t="s">
        <v>212</v>
      </c>
      <c r="D228" s="84" t="s">
        <v>212</v>
      </c>
      <c r="G228" s="84" t="s">
        <v>52</v>
      </c>
      <c r="H228" s="84" t="s">
        <v>52</v>
      </c>
      <c r="I228" s="84" t="s">
        <v>52</v>
      </c>
    </row>
    <row r="229" spans="1:10" s="87" customFormat="1" ht="16.2" customHeight="1" x14ac:dyDescent="0.25">
      <c r="A229" s="279">
        <v>15</v>
      </c>
      <c r="B229" s="280">
        <f>FORECAST(A229,B230:B233,A230:A233)</f>
        <v>15.800000000000002</v>
      </c>
      <c r="C229" s="280">
        <f>FORECAST(A229,C230:C231,A230:A231)</f>
        <v>0</v>
      </c>
      <c r="D229" s="447">
        <v>0.51</v>
      </c>
      <c r="F229" s="87">
        <v>30</v>
      </c>
      <c r="G229" s="280">
        <f>FORECAST(F229,G230:G233,F230:F233)</f>
        <v>27.499999999999993</v>
      </c>
      <c r="H229" s="280">
        <f>FORECAST(F229,H230:H231,F230:F231)</f>
        <v>1</v>
      </c>
      <c r="I229" s="450">
        <v>2.2000000000000002</v>
      </c>
    </row>
    <row r="230" spans="1:10" s="87" customFormat="1" ht="16.2" customHeight="1" x14ac:dyDescent="0.25">
      <c r="A230" s="87">
        <v>20</v>
      </c>
      <c r="B230" s="86">
        <v>20.9</v>
      </c>
      <c r="C230" s="86">
        <v>-0.3</v>
      </c>
      <c r="D230" s="448"/>
      <c r="F230" s="87">
        <v>40</v>
      </c>
      <c r="G230" s="86">
        <v>40</v>
      </c>
      <c r="H230" s="86">
        <v>0</v>
      </c>
      <c r="I230" s="450"/>
    </row>
    <row r="231" spans="1:10" s="87" customFormat="1" ht="16.2" customHeight="1" x14ac:dyDescent="0.25">
      <c r="A231" s="87">
        <v>25</v>
      </c>
      <c r="B231" s="86">
        <v>25.6</v>
      </c>
      <c r="C231" s="86">
        <v>-0.6</v>
      </c>
      <c r="D231" s="448"/>
      <c r="F231" s="87">
        <v>50</v>
      </c>
      <c r="G231" s="86">
        <v>52</v>
      </c>
      <c r="H231" s="86">
        <v>-1</v>
      </c>
      <c r="I231" s="450"/>
    </row>
    <row r="232" spans="1:10" s="87" customFormat="1" ht="16.2" customHeight="1" x14ac:dyDescent="0.25">
      <c r="A232" s="87">
        <v>30</v>
      </c>
      <c r="B232" s="86">
        <v>30.9</v>
      </c>
      <c r="C232" s="86">
        <v>-0.1</v>
      </c>
      <c r="D232" s="448"/>
      <c r="F232" s="87">
        <v>60</v>
      </c>
      <c r="G232" s="86">
        <v>64</v>
      </c>
      <c r="H232" s="86">
        <v>-3</v>
      </c>
      <c r="I232" s="450"/>
    </row>
    <row r="233" spans="1:10" s="87" customFormat="1" ht="16.2" customHeight="1" x14ac:dyDescent="0.25">
      <c r="A233" s="87">
        <v>40</v>
      </c>
      <c r="B233" s="86">
        <v>40.799999999999997</v>
      </c>
      <c r="C233" s="86">
        <v>0.2</v>
      </c>
      <c r="D233" s="448"/>
      <c r="F233" s="87">
        <v>70</v>
      </c>
      <c r="G233" s="86">
        <v>77</v>
      </c>
      <c r="H233" s="86">
        <v>-3</v>
      </c>
      <c r="I233" s="450"/>
    </row>
    <row r="234" spans="1:10" s="87" customFormat="1" ht="16.2" customHeight="1" x14ac:dyDescent="0.25">
      <c r="A234" s="279">
        <v>50</v>
      </c>
      <c r="B234" s="280">
        <f>FORECAST(A234,B232:B233,A232:A233)</f>
        <v>50.699999999999989</v>
      </c>
      <c r="C234" s="280">
        <f>FORECAST(A234,C232:C233,A232:A233)</f>
        <v>0.5</v>
      </c>
      <c r="D234" s="448"/>
      <c r="F234" s="87">
        <v>80</v>
      </c>
      <c r="G234" s="280">
        <f>FORECAST(F234,G232:G233,F232:F233)</f>
        <v>90</v>
      </c>
      <c r="H234" s="280">
        <f>FORECAST(F234,H232:H233,F232:F233)</f>
        <v>-3</v>
      </c>
      <c r="I234" s="450"/>
    </row>
    <row r="235" spans="1:10" ht="16.2" customHeight="1" x14ac:dyDescent="0.25">
      <c r="B235" s="129" t="e">
        <f>B$312</f>
        <v>#DIV/0!</v>
      </c>
      <c r="C235" s="88" t="e">
        <f ca="1">FORECAST(B235,OFFSET($C$229:$C$234,MATCH(B235,$B$229:$B$234,1)-1,0,2),OFFSET($B$229:$B$234,MATCH(B235,$B$229:$B$234,1)-1,0,2))</f>
        <v>#DIV/0!</v>
      </c>
      <c r="D235" s="449"/>
      <c r="E235" s="87"/>
      <c r="F235" s="87"/>
      <c r="G235" s="88" t="e">
        <f>G$312</f>
        <v>#DIV/0!</v>
      </c>
      <c r="H235" s="88" t="e">
        <f ca="1">FORECAST(G235,OFFSET($H$229:$H$234,MATCH(G235,$G$229:$G$234,1)-1,0,2),OFFSET($G$229:$G$234,MATCH(G235,$G$229:$G$234,1)-1,0,2))</f>
        <v>#DIV/0!</v>
      </c>
      <c r="I235" s="450"/>
    </row>
    <row r="236" spans="1:10" ht="16.2" customHeight="1" x14ac:dyDescent="0.25">
      <c r="B236" s="126"/>
      <c r="C236" s="126"/>
      <c r="D236" s="125"/>
      <c r="G236" s="126"/>
      <c r="H236" s="126"/>
      <c r="I236" s="125"/>
    </row>
    <row r="238" spans="1:10" s="78" customFormat="1" ht="16.2" customHeight="1" x14ac:dyDescent="0.25">
      <c r="B238" s="77" t="s">
        <v>88</v>
      </c>
      <c r="C238" s="451" t="s">
        <v>233</v>
      </c>
      <c r="D238" s="452"/>
      <c r="G238" s="79" t="s">
        <v>89</v>
      </c>
      <c r="H238" s="80"/>
      <c r="I238" s="453" t="s">
        <v>371</v>
      </c>
      <c r="J238" s="454"/>
    </row>
    <row r="239" spans="1:10" s="78" customFormat="1" ht="16.2" customHeight="1" x14ac:dyDescent="0.25">
      <c r="B239" s="77" t="s">
        <v>206</v>
      </c>
      <c r="C239" s="452" t="s">
        <v>234</v>
      </c>
      <c r="D239" s="452"/>
      <c r="G239" s="79" t="s">
        <v>90</v>
      </c>
      <c r="H239" s="80"/>
      <c r="I239" s="82" t="s">
        <v>258</v>
      </c>
      <c r="J239" s="81"/>
    </row>
    <row r="240" spans="1:10" s="78" customFormat="1" ht="16.2" customHeight="1" x14ac:dyDescent="0.25">
      <c r="B240" s="77" t="s">
        <v>207</v>
      </c>
      <c r="C240" s="451" t="s">
        <v>374</v>
      </c>
      <c r="D240" s="451"/>
    </row>
    <row r="241" spans="1:10" ht="15.6" customHeight="1" x14ac:dyDescent="0.25"/>
    <row r="242" spans="1:10" s="78" customFormat="1" ht="16.2" customHeight="1" x14ac:dyDescent="0.25">
      <c r="B242" s="455" t="s">
        <v>208</v>
      </c>
      <c r="C242" s="456"/>
      <c r="D242" s="457"/>
      <c r="G242" s="455" t="s">
        <v>209</v>
      </c>
      <c r="H242" s="456"/>
      <c r="I242" s="457"/>
    </row>
    <row r="243" spans="1:10" s="85" customFormat="1" ht="27" customHeight="1" x14ac:dyDescent="0.25">
      <c r="B243" s="84" t="s">
        <v>210</v>
      </c>
      <c r="C243" s="84" t="s">
        <v>91</v>
      </c>
      <c r="D243" s="84" t="s">
        <v>211</v>
      </c>
      <c r="G243" s="84" t="s">
        <v>210</v>
      </c>
      <c r="H243" s="84" t="s">
        <v>91</v>
      </c>
      <c r="I243" s="84" t="s">
        <v>211</v>
      </c>
    </row>
    <row r="244" spans="1:10" s="85" customFormat="1" ht="16.2" customHeight="1" x14ac:dyDescent="0.25">
      <c r="B244" s="84" t="s">
        <v>212</v>
      </c>
      <c r="C244" s="84" t="s">
        <v>212</v>
      </c>
      <c r="D244" s="84" t="s">
        <v>212</v>
      </c>
      <c r="G244" s="84" t="s">
        <v>52</v>
      </c>
      <c r="H244" s="84" t="s">
        <v>52</v>
      </c>
      <c r="I244" s="84" t="s">
        <v>52</v>
      </c>
    </row>
    <row r="245" spans="1:10" s="87" customFormat="1" ht="16.2" customHeight="1" x14ac:dyDescent="0.25">
      <c r="A245" s="279">
        <v>15</v>
      </c>
      <c r="B245" s="280">
        <f>FORECAST(A245,B246:B249,A246:A249)</f>
        <v>16.074285714285715</v>
      </c>
      <c r="C245" s="280">
        <f>FORECAST(A245,C246:C247,A246:A247)</f>
        <v>0.60000000000000009</v>
      </c>
      <c r="D245" s="447">
        <v>0.51</v>
      </c>
      <c r="F245" s="87">
        <v>30</v>
      </c>
      <c r="G245" s="280">
        <f>FORECAST(F245,G246:G249,F246:F249)</f>
        <v>25.5</v>
      </c>
      <c r="H245" s="280">
        <f>FORECAST(F245,H246:H247,F246:F247)</f>
        <v>2</v>
      </c>
      <c r="I245" s="450">
        <v>2.2000000000000002</v>
      </c>
    </row>
    <row r="246" spans="1:10" s="87" customFormat="1" ht="16.2" customHeight="1" x14ac:dyDescent="0.25">
      <c r="A246" s="87">
        <v>20</v>
      </c>
      <c r="B246" s="86">
        <v>20.9</v>
      </c>
      <c r="C246" s="86">
        <v>-0.3</v>
      </c>
      <c r="D246" s="448"/>
      <c r="F246" s="87">
        <v>40</v>
      </c>
      <c r="G246" s="86">
        <v>39</v>
      </c>
      <c r="H246" s="86">
        <v>1</v>
      </c>
      <c r="I246" s="450"/>
    </row>
    <row r="247" spans="1:10" s="87" customFormat="1" ht="16.2" customHeight="1" x14ac:dyDescent="0.25">
      <c r="A247" s="87">
        <v>25</v>
      </c>
      <c r="B247" s="86">
        <v>26.2</v>
      </c>
      <c r="C247" s="86">
        <v>-1.2</v>
      </c>
      <c r="D247" s="448"/>
      <c r="F247" s="87">
        <v>50</v>
      </c>
      <c r="G247" s="86">
        <v>51</v>
      </c>
      <c r="H247" s="86">
        <v>0</v>
      </c>
      <c r="I247" s="450"/>
    </row>
    <row r="248" spans="1:10" s="87" customFormat="1" ht="16.2" customHeight="1" x14ac:dyDescent="0.25">
      <c r="A248" s="87">
        <v>30</v>
      </c>
      <c r="B248" s="86">
        <v>30.8</v>
      </c>
      <c r="C248" s="86">
        <v>0</v>
      </c>
      <c r="D248" s="448"/>
      <c r="F248" s="87">
        <v>60</v>
      </c>
      <c r="G248" s="86">
        <v>63</v>
      </c>
      <c r="H248" s="86">
        <v>-2</v>
      </c>
      <c r="I248" s="450"/>
    </row>
    <row r="249" spans="1:10" s="87" customFormat="1" ht="16.2" customHeight="1" x14ac:dyDescent="0.25">
      <c r="A249" s="87">
        <v>40</v>
      </c>
      <c r="B249" s="86">
        <v>40.799999999999997</v>
      </c>
      <c r="C249" s="86">
        <v>0.2</v>
      </c>
      <c r="D249" s="448"/>
      <c r="F249" s="87">
        <v>70</v>
      </c>
      <c r="G249" s="86">
        <v>78</v>
      </c>
      <c r="H249" s="86">
        <v>-4</v>
      </c>
      <c r="I249" s="450"/>
    </row>
    <row r="250" spans="1:10" s="87" customFormat="1" ht="16.2" customHeight="1" x14ac:dyDescent="0.25">
      <c r="A250" s="279">
        <v>50</v>
      </c>
      <c r="B250" s="280">
        <f>FORECAST(A250,B248:B249,A248:A249)</f>
        <v>50.8</v>
      </c>
      <c r="C250" s="280">
        <f>FORECAST(A250,C248:C249,A248:A249)</f>
        <v>0.39999999999999991</v>
      </c>
      <c r="D250" s="448"/>
      <c r="F250" s="87">
        <v>80</v>
      </c>
      <c r="G250" s="280">
        <f>FORECAST(F250,G248:G249,F248:F249)</f>
        <v>93</v>
      </c>
      <c r="H250" s="280">
        <f>FORECAST(F250,H248:H249,F248:F249)</f>
        <v>-6</v>
      </c>
      <c r="I250" s="450"/>
    </row>
    <row r="251" spans="1:10" ht="16.2" customHeight="1" x14ac:dyDescent="0.25">
      <c r="B251" s="129" t="e">
        <f>B$312</f>
        <v>#DIV/0!</v>
      </c>
      <c r="C251" s="88" t="e">
        <f ca="1">FORECAST(B251,OFFSET($C$245:$C$250,MATCH(B251,$B$245:$B$250,1)-1,0,2),OFFSET($B$245:$B$250,MATCH(B251,$B$245:$B$250,1)-1,0,2))</f>
        <v>#DIV/0!</v>
      </c>
      <c r="D251" s="449"/>
      <c r="E251" s="87"/>
      <c r="F251" s="87"/>
      <c r="G251" s="88" t="e">
        <f>G$312</f>
        <v>#DIV/0!</v>
      </c>
      <c r="H251" s="88" t="e">
        <f ca="1">FORECAST(G251,OFFSET($H$245:$H$250,MATCH(G251,$G$245:$G$250,1)-1,0,2),OFFSET($G$245:$G$250,MATCH(G251,$G$245:$G$250,1)-1,0,2))</f>
        <v>#DIV/0!</v>
      </c>
      <c r="I251" s="450"/>
    </row>
    <row r="252" spans="1:10" ht="16.2" customHeight="1" x14ac:dyDescent="0.25">
      <c r="B252" s="126"/>
      <c r="C252" s="126"/>
      <c r="D252" s="125"/>
      <c r="G252" s="126"/>
      <c r="H252" s="126"/>
      <c r="I252" s="125"/>
    </row>
    <row r="254" spans="1:10" s="78" customFormat="1" ht="16.2" customHeight="1" x14ac:dyDescent="0.25">
      <c r="B254" s="77" t="s">
        <v>88</v>
      </c>
      <c r="C254" s="451" t="s">
        <v>233</v>
      </c>
      <c r="D254" s="452"/>
      <c r="G254" s="79" t="s">
        <v>89</v>
      </c>
      <c r="H254" s="80"/>
      <c r="I254" s="453" t="s">
        <v>371</v>
      </c>
      <c r="J254" s="454"/>
    </row>
    <row r="255" spans="1:10" s="78" customFormat="1" ht="16.2" customHeight="1" x14ac:dyDescent="0.25">
      <c r="B255" s="77" t="s">
        <v>206</v>
      </c>
      <c r="C255" s="452" t="s">
        <v>234</v>
      </c>
      <c r="D255" s="452"/>
      <c r="G255" s="79" t="s">
        <v>90</v>
      </c>
      <c r="H255" s="80"/>
      <c r="I255" s="82" t="s">
        <v>258</v>
      </c>
      <c r="J255" s="81"/>
    </row>
    <row r="256" spans="1:10" s="78" customFormat="1" ht="16.2" customHeight="1" x14ac:dyDescent="0.25">
      <c r="B256" s="77" t="s">
        <v>207</v>
      </c>
      <c r="C256" s="451" t="s">
        <v>375</v>
      </c>
      <c r="D256" s="451"/>
    </row>
    <row r="257" spans="1:10" ht="15.6" customHeight="1" x14ac:dyDescent="0.25"/>
    <row r="258" spans="1:10" s="78" customFormat="1" ht="16.2" customHeight="1" x14ac:dyDescent="0.25">
      <c r="B258" s="455" t="s">
        <v>208</v>
      </c>
      <c r="C258" s="456"/>
      <c r="D258" s="457"/>
      <c r="G258" s="455" t="s">
        <v>209</v>
      </c>
      <c r="H258" s="456"/>
      <c r="I258" s="457"/>
    </row>
    <row r="259" spans="1:10" s="85" customFormat="1" ht="27" customHeight="1" x14ac:dyDescent="0.25">
      <c r="B259" s="84" t="s">
        <v>210</v>
      </c>
      <c r="C259" s="84" t="s">
        <v>91</v>
      </c>
      <c r="D259" s="84" t="s">
        <v>211</v>
      </c>
      <c r="G259" s="84" t="s">
        <v>210</v>
      </c>
      <c r="H259" s="84" t="s">
        <v>91</v>
      </c>
      <c r="I259" s="84" t="s">
        <v>211</v>
      </c>
    </row>
    <row r="260" spans="1:10" s="85" customFormat="1" ht="16.2" customHeight="1" x14ac:dyDescent="0.25">
      <c r="B260" s="84" t="s">
        <v>212</v>
      </c>
      <c r="C260" s="84" t="s">
        <v>212</v>
      </c>
      <c r="D260" s="84" t="s">
        <v>212</v>
      </c>
      <c r="G260" s="84" t="s">
        <v>52</v>
      </c>
      <c r="H260" s="84" t="s">
        <v>52</v>
      </c>
      <c r="I260" s="84" t="s">
        <v>52</v>
      </c>
    </row>
    <row r="261" spans="1:10" s="87" customFormat="1" ht="16.2" customHeight="1" x14ac:dyDescent="0.25">
      <c r="A261" s="279">
        <v>15</v>
      </c>
      <c r="B261" s="280">
        <f>FORECAST(A261,B262:B265,A262:A265)</f>
        <v>15.837142857142853</v>
      </c>
      <c r="C261" s="280">
        <f>FORECAST(A261,C262:C263,A262:A263)</f>
        <v>0.89999999999999991</v>
      </c>
      <c r="D261" s="447">
        <v>0.51</v>
      </c>
      <c r="F261" s="87">
        <v>30</v>
      </c>
      <c r="G261" s="280">
        <f>FORECAST(F261,G262:G265,F262:F265)</f>
        <v>25.5</v>
      </c>
      <c r="H261" s="280">
        <f>FORECAST(F261,H262:H263,F262:F263)</f>
        <v>2</v>
      </c>
      <c r="I261" s="450">
        <v>2.2000000000000002</v>
      </c>
    </row>
    <row r="262" spans="1:10" s="87" customFormat="1" ht="16.2" customHeight="1" x14ac:dyDescent="0.25">
      <c r="A262" s="87">
        <v>20</v>
      </c>
      <c r="B262" s="86">
        <v>20.7</v>
      </c>
      <c r="C262" s="86">
        <v>-0.1</v>
      </c>
      <c r="D262" s="448"/>
      <c r="F262" s="87">
        <v>40</v>
      </c>
      <c r="G262" s="86">
        <v>39</v>
      </c>
      <c r="H262" s="86">
        <v>1</v>
      </c>
      <c r="I262" s="450"/>
    </row>
    <row r="263" spans="1:10" s="87" customFormat="1" ht="16.2" customHeight="1" x14ac:dyDescent="0.25">
      <c r="A263" s="87">
        <v>25</v>
      </c>
      <c r="B263" s="86">
        <v>26.1</v>
      </c>
      <c r="C263" s="86">
        <v>-1.1000000000000001</v>
      </c>
      <c r="D263" s="448"/>
      <c r="F263" s="87">
        <v>50</v>
      </c>
      <c r="G263" s="86">
        <v>51</v>
      </c>
      <c r="H263" s="86">
        <v>0</v>
      </c>
      <c r="I263" s="450"/>
    </row>
    <row r="264" spans="1:10" s="87" customFormat="1" ht="16.2" customHeight="1" x14ac:dyDescent="0.25">
      <c r="A264" s="87">
        <v>30</v>
      </c>
      <c r="B264" s="86">
        <v>30.9</v>
      </c>
      <c r="C264" s="86">
        <v>-0.1</v>
      </c>
      <c r="D264" s="448"/>
      <c r="F264" s="87">
        <v>60</v>
      </c>
      <c r="G264" s="86">
        <v>63</v>
      </c>
      <c r="H264" s="86">
        <v>-2</v>
      </c>
      <c r="I264" s="450"/>
    </row>
    <row r="265" spans="1:10" s="87" customFormat="1" ht="16.2" customHeight="1" x14ac:dyDescent="0.25">
      <c r="A265" s="87">
        <v>40</v>
      </c>
      <c r="B265" s="86">
        <v>40.9</v>
      </c>
      <c r="C265" s="86">
        <v>0.1</v>
      </c>
      <c r="D265" s="448"/>
      <c r="F265" s="87">
        <v>70</v>
      </c>
      <c r="G265" s="86">
        <v>78</v>
      </c>
      <c r="H265" s="86">
        <v>-4</v>
      </c>
      <c r="I265" s="450"/>
    </row>
    <row r="266" spans="1:10" s="87" customFormat="1" ht="16.2" customHeight="1" x14ac:dyDescent="0.25">
      <c r="A266" s="279">
        <v>50</v>
      </c>
      <c r="B266" s="280">
        <f>FORECAST(A266,B264:B265,A264:A265)</f>
        <v>50.9</v>
      </c>
      <c r="C266" s="280">
        <f>FORECAST(A266,C264:C265,A264:A265)</f>
        <v>0.29999999999999993</v>
      </c>
      <c r="D266" s="448"/>
      <c r="F266" s="87">
        <v>80</v>
      </c>
      <c r="G266" s="280">
        <f>FORECAST(F266,G264:G265,F264:F265)</f>
        <v>93</v>
      </c>
      <c r="H266" s="280">
        <f>FORECAST(F266,H264:H265,F264:F265)</f>
        <v>-6</v>
      </c>
      <c r="I266" s="450"/>
    </row>
    <row r="267" spans="1:10" ht="16.2" customHeight="1" x14ac:dyDescent="0.25">
      <c r="B267" s="129" t="e">
        <f>B$312</f>
        <v>#DIV/0!</v>
      </c>
      <c r="C267" s="88" t="e">
        <f ca="1">FORECAST(B267,OFFSET($C$261:$C$266,MATCH(B267,$B$261:$B$266,1)-1,0,2),OFFSET($B$261:$B$266,MATCH(B267,$B$261:$B$266,1)-1,0,2))</f>
        <v>#DIV/0!</v>
      </c>
      <c r="D267" s="449"/>
      <c r="E267" s="87"/>
      <c r="F267" s="87"/>
      <c r="G267" s="88" t="e">
        <f>G$312</f>
        <v>#DIV/0!</v>
      </c>
      <c r="H267" s="88" t="e">
        <f ca="1">FORECAST(G267,OFFSET($H$261:$H$266,MATCH(G267,$G$261:$G$266,1)-1,0,2),OFFSET($G$261:$G$266,MATCH(G267,$G$261:$G$266,1)-1,0,2))</f>
        <v>#DIV/0!</v>
      </c>
      <c r="I267" s="450"/>
    </row>
    <row r="268" spans="1:10" ht="16.2" customHeight="1" x14ac:dyDescent="0.25">
      <c r="B268" s="126"/>
      <c r="C268" s="126"/>
      <c r="D268" s="125"/>
      <c r="G268" s="126"/>
      <c r="H268" s="126"/>
      <c r="I268" s="125"/>
    </row>
    <row r="270" spans="1:10" s="78" customFormat="1" ht="16.2" customHeight="1" x14ac:dyDescent="0.25">
      <c r="B270" s="77" t="s">
        <v>88</v>
      </c>
      <c r="C270" s="451" t="s">
        <v>233</v>
      </c>
      <c r="D270" s="452"/>
      <c r="G270" s="79" t="s">
        <v>89</v>
      </c>
      <c r="H270" s="80"/>
      <c r="I270" s="453" t="s">
        <v>371</v>
      </c>
      <c r="J270" s="454"/>
    </row>
    <row r="271" spans="1:10" s="78" customFormat="1" ht="16.2" customHeight="1" x14ac:dyDescent="0.25">
      <c r="B271" s="77" t="s">
        <v>206</v>
      </c>
      <c r="C271" s="452" t="s">
        <v>234</v>
      </c>
      <c r="D271" s="452"/>
      <c r="G271" s="79" t="s">
        <v>90</v>
      </c>
      <c r="H271" s="80"/>
      <c r="I271" s="82" t="s">
        <v>258</v>
      </c>
      <c r="J271" s="81"/>
    </row>
    <row r="272" spans="1:10" s="78" customFormat="1" ht="16.2" customHeight="1" x14ac:dyDescent="0.25">
      <c r="B272" s="77" t="s">
        <v>207</v>
      </c>
      <c r="C272" s="451" t="s">
        <v>376</v>
      </c>
      <c r="D272" s="451"/>
    </row>
    <row r="273" spans="1:9" ht="15.6" customHeight="1" x14ac:dyDescent="0.25"/>
    <row r="274" spans="1:9" s="78" customFormat="1" ht="16.2" customHeight="1" x14ac:dyDescent="0.25">
      <c r="B274" s="455" t="s">
        <v>208</v>
      </c>
      <c r="C274" s="456"/>
      <c r="D274" s="457"/>
      <c r="G274" s="455" t="s">
        <v>209</v>
      </c>
      <c r="H274" s="456"/>
      <c r="I274" s="457"/>
    </row>
    <row r="275" spans="1:9" s="85" customFormat="1" ht="27" customHeight="1" x14ac:dyDescent="0.25">
      <c r="B275" s="84" t="s">
        <v>210</v>
      </c>
      <c r="C275" s="84" t="s">
        <v>91</v>
      </c>
      <c r="D275" s="84" t="s">
        <v>211</v>
      </c>
      <c r="G275" s="84" t="s">
        <v>210</v>
      </c>
      <c r="H275" s="84" t="s">
        <v>91</v>
      </c>
      <c r="I275" s="84" t="s">
        <v>211</v>
      </c>
    </row>
    <row r="276" spans="1:9" s="85" customFormat="1" ht="16.2" customHeight="1" x14ac:dyDescent="0.25">
      <c r="B276" s="84" t="s">
        <v>212</v>
      </c>
      <c r="C276" s="84" t="s">
        <v>212</v>
      </c>
      <c r="D276" s="84" t="s">
        <v>212</v>
      </c>
      <c r="G276" s="84" t="s">
        <v>52</v>
      </c>
      <c r="H276" s="84" t="s">
        <v>52</v>
      </c>
      <c r="I276" s="84" t="s">
        <v>52</v>
      </c>
    </row>
    <row r="277" spans="1:9" s="87" customFormat="1" ht="16.2" customHeight="1" x14ac:dyDescent="0.25">
      <c r="A277" s="279">
        <v>15</v>
      </c>
      <c r="B277" s="280">
        <f>FORECAST(A277,B278:B281,A278:A281)</f>
        <v>15.254285714285714</v>
      </c>
      <c r="C277" s="280">
        <f>FORECAST(A277,C278:C279,A278:A279)</f>
        <v>1.1000000000000001</v>
      </c>
      <c r="D277" s="447">
        <v>0.51</v>
      </c>
      <c r="F277" s="87">
        <v>30</v>
      </c>
      <c r="G277" s="280">
        <f>FORECAST(F277,G278:G281,F278:F281)</f>
        <v>24.5</v>
      </c>
      <c r="H277" s="280">
        <f>FORECAST(F277,H278:H279,F278:F279)</f>
        <v>3</v>
      </c>
      <c r="I277" s="450">
        <v>2.2000000000000002</v>
      </c>
    </row>
    <row r="278" spans="1:9" s="87" customFormat="1" ht="16.2" customHeight="1" x14ac:dyDescent="0.25">
      <c r="A278" s="87">
        <v>20</v>
      </c>
      <c r="B278" s="86">
        <v>20.3</v>
      </c>
      <c r="C278" s="86">
        <v>0.3</v>
      </c>
      <c r="D278" s="448"/>
      <c r="F278" s="87">
        <v>40</v>
      </c>
      <c r="G278" s="86">
        <v>38</v>
      </c>
      <c r="H278" s="86">
        <v>2</v>
      </c>
      <c r="I278" s="450"/>
    </row>
    <row r="279" spans="1:9" s="87" customFormat="1" ht="16.2" customHeight="1" x14ac:dyDescent="0.25">
      <c r="A279" s="87">
        <v>25</v>
      </c>
      <c r="B279" s="86">
        <v>25.5</v>
      </c>
      <c r="C279" s="86">
        <v>-0.5</v>
      </c>
      <c r="D279" s="448"/>
      <c r="F279" s="87">
        <v>50</v>
      </c>
      <c r="G279" s="86">
        <v>50</v>
      </c>
      <c r="H279" s="86">
        <v>1</v>
      </c>
      <c r="I279" s="450"/>
    </row>
    <row r="280" spans="1:9" s="87" customFormat="1" ht="16.2" customHeight="1" x14ac:dyDescent="0.25">
      <c r="A280" s="87">
        <v>30</v>
      </c>
      <c r="B280" s="86">
        <v>30.8</v>
      </c>
      <c r="C280" s="86">
        <v>0</v>
      </c>
      <c r="D280" s="448"/>
      <c r="F280" s="87">
        <v>60</v>
      </c>
      <c r="G280" s="86">
        <v>62</v>
      </c>
      <c r="H280" s="86">
        <v>-1</v>
      </c>
      <c r="I280" s="450"/>
    </row>
    <row r="281" spans="1:9" s="87" customFormat="1" ht="16.2" customHeight="1" x14ac:dyDescent="0.25">
      <c r="A281" s="87">
        <v>40</v>
      </c>
      <c r="B281" s="86">
        <v>40.799999999999997</v>
      </c>
      <c r="C281" s="86">
        <v>0.2</v>
      </c>
      <c r="D281" s="448"/>
      <c r="F281" s="87">
        <v>70</v>
      </c>
      <c r="G281" s="86">
        <v>77</v>
      </c>
      <c r="H281" s="86">
        <v>-3</v>
      </c>
      <c r="I281" s="450"/>
    </row>
    <row r="282" spans="1:9" s="87" customFormat="1" ht="16.2" customHeight="1" x14ac:dyDescent="0.25">
      <c r="A282" s="279">
        <v>50</v>
      </c>
      <c r="B282" s="280">
        <f>FORECAST(A282,B280:B281,A280:A281)</f>
        <v>50.8</v>
      </c>
      <c r="C282" s="280">
        <f>FORECAST(A282,C280:C281,A280:A281)</f>
        <v>0.39999999999999991</v>
      </c>
      <c r="D282" s="448"/>
      <c r="F282" s="87">
        <v>80</v>
      </c>
      <c r="G282" s="280">
        <f>FORECAST(F282,G280:G281,F280:F281)</f>
        <v>92</v>
      </c>
      <c r="H282" s="280">
        <f>FORECAST(F282,H280:H281,F280:F281)</f>
        <v>-5</v>
      </c>
      <c r="I282" s="450"/>
    </row>
    <row r="283" spans="1:9" ht="16.2" customHeight="1" x14ac:dyDescent="0.25">
      <c r="B283" s="129" t="e">
        <f>B$312</f>
        <v>#DIV/0!</v>
      </c>
      <c r="C283" s="88" t="e">
        <f ca="1">FORECAST(B283,OFFSET($C$277:$C$282,MATCH(B283,$B$277:$B$282,1)-1,0,2),OFFSET($B$277:$B$282,MATCH(B283,$B$277:$B$282,1)-1,0,2))</f>
        <v>#DIV/0!</v>
      </c>
      <c r="D283" s="449"/>
      <c r="E283" s="87"/>
      <c r="F283" s="87"/>
      <c r="G283" s="88" t="e">
        <f>G$312</f>
        <v>#DIV/0!</v>
      </c>
      <c r="H283" s="88" t="e">
        <f ca="1">FORECAST(G283,OFFSET($H$277:$H$282,MATCH(G283,$G$277:$G$282,1)-1,0,2),OFFSET($G$277:$G$282,MATCH(G283,$G$277:$G$282,1)-1,0,2))</f>
        <v>#DIV/0!</v>
      </c>
      <c r="I283" s="450"/>
    </row>
    <row r="284" spans="1:9" ht="16.2" customHeight="1" x14ac:dyDescent="0.25">
      <c r="B284" s="126"/>
      <c r="C284" s="126"/>
      <c r="D284" s="125"/>
      <c r="G284" s="126"/>
      <c r="H284" s="126"/>
      <c r="I284" s="125"/>
    </row>
    <row r="286" spans="1:9" s="90" customFormat="1" ht="5.0999999999999996" customHeight="1" x14ac:dyDescent="0.25">
      <c r="B286" s="89"/>
    </row>
    <row r="287" spans="1:9" ht="16.2" customHeight="1" x14ac:dyDescent="0.25">
      <c r="B287" s="87"/>
    </row>
    <row r="288" spans="1:9" s="78" customFormat="1" ht="16.2" customHeight="1" x14ac:dyDescent="0.25">
      <c r="B288" s="455" t="s">
        <v>208</v>
      </c>
      <c r="C288" s="456"/>
      <c r="D288" s="457"/>
      <c r="G288" s="455" t="s">
        <v>209</v>
      </c>
      <c r="H288" s="456"/>
      <c r="I288" s="457"/>
    </row>
    <row r="289" spans="2:9" s="85" customFormat="1" ht="27" customHeight="1" x14ac:dyDescent="0.25">
      <c r="B289" s="467" t="s">
        <v>213</v>
      </c>
      <c r="C289" s="84" t="s">
        <v>91</v>
      </c>
      <c r="D289" s="84" t="s">
        <v>211</v>
      </c>
      <c r="G289" s="467" t="s">
        <v>213</v>
      </c>
      <c r="H289" s="84" t="s">
        <v>91</v>
      </c>
      <c r="I289" s="84" t="s">
        <v>211</v>
      </c>
    </row>
    <row r="290" spans="2:9" s="85" customFormat="1" ht="16.2" customHeight="1" x14ac:dyDescent="0.25">
      <c r="B290" s="468"/>
      <c r="C290" s="84" t="s">
        <v>212</v>
      </c>
      <c r="D290" s="84" t="s">
        <v>212</v>
      </c>
      <c r="G290" s="468"/>
      <c r="H290" s="84" t="s">
        <v>52</v>
      </c>
      <c r="I290" s="84" t="s">
        <v>212</v>
      </c>
    </row>
    <row r="291" spans="2:9" s="87" customFormat="1" ht="16.2" customHeight="1" x14ac:dyDescent="0.25">
      <c r="B291" s="122" t="s">
        <v>235</v>
      </c>
      <c r="C291" s="86" t="e">
        <f ca="1">C15</f>
        <v>#DIV/0!</v>
      </c>
      <c r="D291" s="278">
        <f>D10</f>
        <v>0.55000000000000004</v>
      </c>
      <c r="G291" s="86" t="str">
        <f>B291</f>
        <v>TH-01</v>
      </c>
      <c r="H291" s="86" t="e">
        <f ca="1">H15</f>
        <v>#DIV/0!</v>
      </c>
      <c r="I291" s="86">
        <f>I10</f>
        <v>2.8</v>
      </c>
    </row>
    <row r="292" spans="2:9" s="87" customFormat="1" ht="16.2" customHeight="1" x14ac:dyDescent="0.25">
      <c r="B292" s="122" t="s">
        <v>236</v>
      </c>
      <c r="C292" s="86" t="e">
        <f ca="1">C31</f>
        <v>#DIV/0!</v>
      </c>
      <c r="D292" s="278">
        <f>D25</f>
        <v>0.51</v>
      </c>
      <c r="G292" s="86" t="str">
        <f t="shared" ref="G292:G308" si="0">B292</f>
        <v>TH-02</v>
      </c>
      <c r="H292" s="86" t="e">
        <f ca="1">H31</f>
        <v>#DIV/0!</v>
      </c>
      <c r="I292" s="86">
        <f>I25</f>
        <v>2.2000000000000002</v>
      </c>
    </row>
    <row r="293" spans="2:9" s="87" customFormat="1" ht="16.2" customHeight="1" x14ac:dyDescent="0.25">
      <c r="B293" s="122" t="s">
        <v>237</v>
      </c>
      <c r="C293" s="86" t="e">
        <f ca="1">C46</f>
        <v>#DIV/0!</v>
      </c>
      <c r="D293" s="278">
        <f>D41</f>
        <v>0.55000000000000004</v>
      </c>
      <c r="G293" s="86" t="str">
        <f t="shared" si="0"/>
        <v>TH-03</v>
      </c>
      <c r="H293" s="86" t="e">
        <f ca="1">H46</f>
        <v>#DIV/0!</v>
      </c>
      <c r="I293" s="86">
        <f>I41</f>
        <v>2.8</v>
      </c>
    </row>
    <row r="294" spans="2:9" s="87" customFormat="1" ht="16.2" customHeight="1" x14ac:dyDescent="0.25">
      <c r="B294" s="122" t="s">
        <v>238</v>
      </c>
      <c r="C294" s="86" t="e">
        <f ca="1">C61</f>
        <v>#DIV/0!</v>
      </c>
      <c r="D294" s="278">
        <f>D56</f>
        <v>0.57999999999999996</v>
      </c>
      <c r="G294" s="86" t="str">
        <f t="shared" si="0"/>
        <v>TH-04</v>
      </c>
      <c r="H294" s="86" t="e">
        <f ca="1">H61</f>
        <v>#DIV/0!</v>
      </c>
      <c r="I294" s="86">
        <f>I56</f>
        <v>3</v>
      </c>
    </row>
    <row r="295" spans="2:9" ht="16.2" customHeight="1" x14ac:dyDescent="0.25">
      <c r="B295" s="122" t="s">
        <v>239</v>
      </c>
      <c r="C295" s="86" t="e">
        <f ca="1">C77</f>
        <v>#DIV/0!</v>
      </c>
      <c r="D295" s="278">
        <f>D72</f>
        <v>0.55000000000000004</v>
      </c>
      <c r="E295" s="87"/>
      <c r="F295" s="87"/>
      <c r="G295" s="86" t="str">
        <f t="shared" si="0"/>
        <v>TH-05</v>
      </c>
      <c r="H295" s="86" t="e">
        <f ca="1">H77</f>
        <v>#DIV/0!</v>
      </c>
      <c r="I295" s="86">
        <f>I72</f>
        <v>2.8</v>
      </c>
    </row>
    <row r="296" spans="2:9" ht="16.2" customHeight="1" x14ac:dyDescent="0.25">
      <c r="B296" s="122" t="s">
        <v>240</v>
      </c>
      <c r="C296" s="86" t="e">
        <f ca="1">C92</f>
        <v>#DIV/0!</v>
      </c>
      <c r="D296" s="278">
        <f>D87</f>
        <v>0.57999999999999996</v>
      </c>
      <c r="E296" s="87"/>
      <c r="F296" s="87"/>
      <c r="G296" s="86" t="str">
        <f>B296</f>
        <v>TH-06</v>
      </c>
      <c r="H296" s="86" t="e">
        <f ca="1">H92</f>
        <v>#DIV/0!</v>
      </c>
      <c r="I296" s="86">
        <f>I87</f>
        <v>3</v>
      </c>
    </row>
    <row r="297" spans="2:9" ht="16.2" customHeight="1" x14ac:dyDescent="0.25">
      <c r="B297" s="122" t="s">
        <v>241</v>
      </c>
      <c r="C297" s="86" t="e">
        <f ca="1">C108</f>
        <v>#DIV/0!</v>
      </c>
      <c r="D297" s="278">
        <f>D103</f>
        <v>0.55000000000000004</v>
      </c>
      <c r="E297" s="87"/>
      <c r="F297" s="87"/>
      <c r="G297" s="86" t="str">
        <f t="shared" si="0"/>
        <v>TH-07</v>
      </c>
      <c r="H297" s="86" t="e">
        <f ca="1">H108</f>
        <v>#DIV/0!</v>
      </c>
      <c r="I297" s="86">
        <f>I103</f>
        <v>2.8</v>
      </c>
    </row>
    <row r="298" spans="2:9" ht="16.2" customHeight="1" x14ac:dyDescent="0.25">
      <c r="B298" s="122" t="s">
        <v>242</v>
      </c>
      <c r="C298" s="86" t="e">
        <f ca="1">C123</f>
        <v>#DIV/0!</v>
      </c>
      <c r="D298" s="278">
        <f>D118</f>
        <v>0.57999999999999996</v>
      </c>
      <c r="E298" s="87"/>
      <c r="F298" s="87"/>
      <c r="G298" s="86" t="str">
        <f t="shared" si="0"/>
        <v>TH-08</v>
      </c>
      <c r="H298" s="86" t="e">
        <f ca="1">H123</f>
        <v>#DIV/0!</v>
      </c>
      <c r="I298" s="86">
        <f>I118</f>
        <v>3</v>
      </c>
    </row>
    <row r="299" spans="2:9" ht="16.2" customHeight="1" x14ac:dyDescent="0.25">
      <c r="B299" s="122" t="s">
        <v>266</v>
      </c>
      <c r="C299" s="86" t="e">
        <f ca="1">C139</f>
        <v>#DIV/0!</v>
      </c>
      <c r="D299" s="278">
        <f>D133</f>
        <v>0.51</v>
      </c>
      <c r="E299" s="87"/>
      <c r="F299" s="87"/>
      <c r="G299" s="86" t="str">
        <f t="shared" si="0"/>
        <v>TH-09</v>
      </c>
      <c r="H299" s="86" t="e">
        <f ca="1">H139</f>
        <v>#DIV/0!</v>
      </c>
      <c r="I299" s="86">
        <f>I133</f>
        <v>2.2000000000000002</v>
      </c>
    </row>
    <row r="300" spans="2:9" ht="16.2" customHeight="1" x14ac:dyDescent="0.25">
      <c r="B300" s="122" t="s">
        <v>267</v>
      </c>
      <c r="C300" s="86" t="e">
        <f ca="1">C155</f>
        <v>#DIV/0!</v>
      </c>
      <c r="D300" s="278">
        <f>D149</f>
        <v>0.51</v>
      </c>
      <c r="E300" s="87"/>
      <c r="F300" s="87"/>
      <c r="G300" s="86" t="str">
        <f t="shared" si="0"/>
        <v>TH-10</v>
      </c>
      <c r="H300" s="86" t="e">
        <f ca="1">H155</f>
        <v>#DIV/0!</v>
      </c>
      <c r="I300" s="86">
        <f>I149</f>
        <v>2.2000000000000002</v>
      </c>
    </row>
    <row r="301" spans="2:9" ht="16.2" customHeight="1" x14ac:dyDescent="0.25">
      <c r="B301" s="122" t="s">
        <v>268</v>
      </c>
      <c r="C301" s="86" t="e">
        <f ca="1">C171</f>
        <v>#DIV/0!</v>
      </c>
      <c r="D301" s="278">
        <f>D165</f>
        <v>0.57999999999999996</v>
      </c>
      <c r="E301" s="87"/>
      <c r="F301" s="87"/>
      <c r="G301" s="86" t="str">
        <f t="shared" si="0"/>
        <v>TH-11</v>
      </c>
      <c r="H301" s="86" t="e">
        <f ca="1">H171</f>
        <v>#DIV/0!</v>
      </c>
      <c r="I301" s="86">
        <f>I165</f>
        <v>3</v>
      </c>
    </row>
    <row r="302" spans="2:9" ht="16.2" customHeight="1" x14ac:dyDescent="0.25">
      <c r="B302" s="122" t="s">
        <v>269</v>
      </c>
      <c r="C302" s="86" t="e">
        <f ca="1">C187</f>
        <v>#DIV/0!</v>
      </c>
      <c r="D302" s="278">
        <f>D181</f>
        <v>0.51</v>
      </c>
      <c r="E302" s="87"/>
      <c r="F302" s="87"/>
      <c r="G302" s="86" t="str">
        <f t="shared" si="0"/>
        <v>TH-12</v>
      </c>
      <c r="H302" s="86" t="e">
        <f ca="1">H187</f>
        <v>#DIV/0!</v>
      </c>
      <c r="I302" s="86">
        <f>I181</f>
        <v>2.2000000000000002</v>
      </c>
    </row>
    <row r="303" spans="2:9" ht="16.2" customHeight="1" x14ac:dyDescent="0.25">
      <c r="B303" s="122" t="s">
        <v>270</v>
      </c>
      <c r="C303" s="86" t="e">
        <f ca="1">C203</f>
        <v>#DIV/0!</v>
      </c>
      <c r="D303" s="278">
        <f>D197</f>
        <v>0.51</v>
      </c>
      <c r="E303" s="87"/>
      <c r="F303" s="87"/>
      <c r="G303" s="86" t="str">
        <f t="shared" si="0"/>
        <v>TH-13</v>
      </c>
      <c r="H303" s="86" t="e">
        <f ca="1">H203</f>
        <v>#DIV/0!</v>
      </c>
      <c r="I303" s="86">
        <f>I197</f>
        <v>2.2000000000000002</v>
      </c>
    </row>
    <row r="304" spans="2:9" ht="16.2" customHeight="1" x14ac:dyDescent="0.25">
      <c r="B304" s="122" t="s">
        <v>372</v>
      </c>
      <c r="C304" s="86" t="e">
        <f ca="1">C219</f>
        <v>#DIV/0!</v>
      </c>
      <c r="D304" s="278">
        <f>D213</f>
        <v>0.51</v>
      </c>
      <c r="E304" s="87"/>
      <c r="F304" s="87"/>
      <c r="G304" s="86" t="str">
        <f t="shared" si="0"/>
        <v>TH-14</v>
      </c>
      <c r="H304" s="86" t="e">
        <f ca="1">H219</f>
        <v>#DIV/0!</v>
      </c>
      <c r="I304" s="86">
        <f>I213</f>
        <v>2.2000000000000002</v>
      </c>
    </row>
    <row r="305" spans="2:9" ht="16.2" customHeight="1" x14ac:dyDescent="0.25">
      <c r="B305" s="122" t="s">
        <v>373</v>
      </c>
      <c r="C305" s="86" t="e">
        <f ca="1">C235</f>
        <v>#DIV/0!</v>
      </c>
      <c r="D305" s="278">
        <f>D229</f>
        <v>0.51</v>
      </c>
      <c r="E305" s="87"/>
      <c r="F305" s="87"/>
      <c r="G305" s="86" t="str">
        <f t="shared" si="0"/>
        <v>TH-15</v>
      </c>
      <c r="H305" s="86" t="e">
        <f ca="1">H235</f>
        <v>#DIV/0!</v>
      </c>
      <c r="I305" s="86">
        <f>I229</f>
        <v>2.2000000000000002</v>
      </c>
    </row>
    <row r="306" spans="2:9" ht="16.2" customHeight="1" x14ac:dyDescent="0.25">
      <c r="B306" s="122" t="s">
        <v>374</v>
      </c>
      <c r="C306" s="86" t="e">
        <f ca="1">C251</f>
        <v>#DIV/0!</v>
      </c>
      <c r="D306" s="278">
        <f>D245</f>
        <v>0.51</v>
      </c>
      <c r="E306" s="87"/>
      <c r="F306" s="87"/>
      <c r="G306" s="86" t="str">
        <f t="shared" si="0"/>
        <v>TH-16</v>
      </c>
      <c r="H306" s="86" t="e">
        <f ca="1">H251</f>
        <v>#DIV/0!</v>
      </c>
      <c r="I306" s="86">
        <f>I245</f>
        <v>2.2000000000000002</v>
      </c>
    </row>
    <row r="307" spans="2:9" ht="16.2" customHeight="1" x14ac:dyDescent="0.25">
      <c r="B307" s="122" t="s">
        <v>375</v>
      </c>
      <c r="C307" s="86" t="e">
        <f ca="1">C267</f>
        <v>#DIV/0!</v>
      </c>
      <c r="D307" s="278">
        <f>D261</f>
        <v>0.51</v>
      </c>
      <c r="E307" s="87"/>
      <c r="F307" s="87"/>
      <c r="G307" s="86" t="str">
        <f t="shared" si="0"/>
        <v>TH-17</v>
      </c>
      <c r="H307" s="86" t="e">
        <f ca="1">H267</f>
        <v>#DIV/0!</v>
      </c>
      <c r="I307" s="86">
        <f>I261</f>
        <v>2.2000000000000002</v>
      </c>
    </row>
    <row r="308" spans="2:9" ht="16.2" customHeight="1" x14ac:dyDescent="0.25">
      <c r="B308" s="122" t="s">
        <v>376</v>
      </c>
      <c r="C308" s="86" t="e">
        <f ca="1">C283</f>
        <v>#DIV/0!</v>
      </c>
      <c r="D308" s="278">
        <f>D277</f>
        <v>0.51</v>
      </c>
      <c r="E308" s="87"/>
      <c r="F308" s="87"/>
      <c r="G308" s="86" t="str">
        <f t="shared" si="0"/>
        <v>TH-18</v>
      </c>
      <c r="H308" s="86" t="e">
        <f ca="1">H283</f>
        <v>#DIV/0!</v>
      </c>
      <c r="I308" s="86">
        <f>I277</f>
        <v>2.2000000000000002</v>
      </c>
    </row>
    <row r="309" spans="2:9" ht="16.2" customHeight="1" x14ac:dyDescent="0.25">
      <c r="B309" s="146" t="str">
        <f>'INPUT DATA'!E41</f>
        <v>TH-01</v>
      </c>
      <c r="C309" s="88" t="e">
        <f ca="1">LOOKUP(B309,B291:B308,C291:C308)</f>
        <v>#DIV/0!</v>
      </c>
      <c r="D309" s="283">
        <f>LOOKUP(B309,B291:B308,D291:D308)</f>
        <v>0.55000000000000004</v>
      </c>
      <c r="G309" s="147" t="str">
        <f>B309</f>
        <v>TH-01</v>
      </c>
      <c r="H309" s="88" t="e">
        <f ca="1">LOOKUP(G309,G291:G308,H291:H308)</f>
        <v>#DIV/0!</v>
      </c>
      <c r="I309" s="88">
        <f>LOOKUP(G309,G291:G308,I291:I308)</f>
        <v>2.8</v>
      </c>
    </row>
    <row r="310" spans="2:9" s="150" customFormat="1" ht="16.2" customHeight="1" x14ac:dyDescent="0.25">
      <c r="B310" s="148"/>
      <c r="C310" s="148"/>
      <c r="D310" s="148"/>
      <c r="E310" s="149"/>
      <c r="F310" s="149"/>
      <c r="G310" s="148"/>
      <c r="H310" s="148"/>
      <c r="I310" s="148"/>
    </row>
    <row r="311" spans="2:9" ht="16.2" customHeight="1" thickBot="1" x14ac:dyDescent="0.3">
      <c r="B311" s="132" t="s">
        <v>388</v>
      </c>
      <c r="C311" s="132" t="s">
        <v>389</v>
      </c>
      <c r="D311" s="91"/>
    </row>
    <row r="312" spans="2:9" ht="16.2" customHeight="1" thickTop="1" x14ac:dyDescent="0.3">
      <c r="B312" s="131" t="e">
        <f>AVERAGE('INPUT DATA'!E42:G42)</f>
        <v>#DIV/0!</v>
      </c>
      <c r="C312" s="135" t="e">
        <f ca="1">C309</f>
        <v>#DIV/0!</v>
      </c>
      <c r="D312" s="291"/>
      <c r="G312" s="131" t="e">
        <f>AVERAGE('INPUT DATA'!E43:G43)</f>
        <v>#DIV/0!</v>
      </c>
      <c r="H312" s="135" t="e">
        <f ca="1">H309</f>
        <v>#DIV/0!</v>
      </c>
    </row>
    <row r="313" spans="2:9" s="78" customFormat="1" ht="16.2" customHeight="1" x14ac:dyDescent="0.3">
      <c r="B313" s="469" t="s">
        <v>214</v>
      </c>
      <c r="C313" s="470"/>
      <c r="D313" s="292"/>
      <c r="G313" s="469" t="s">
        <v>215</v>
      </c>
      <c r="H313" s="470"/>
    </row>
    <row r="314" spans="2:9" ht="16.2" customHeight="1" thickBot="1" x14ac:dyDescent="0.35">
      <c r="B314" s="463" t="e">
        <f ca="1">B312+C312</f>
        <v>#DIV/0!</v>
      </c>
      <c r="C314" s="464"/>
      <c r="D314" s="291"/>
      <c r="G314" s="463" t="e">
        <f ca="1">G312+H312</f>
        <v>#DIV/0!</v>
      </c>
      <c r="H314" s="464"/>
    </row>
    <row r="315" spans="2:9" ht="16.2" customHeight="1" thickTop="1" thickBot="1" x14ac:dyDescent="0.35">
      <c r="D315" s="291"/>
    </row>
    <row r="316" spans="2:9" s="94" customFormat="1" ht="16.2" customHeight="1" x14ac:dyDescent="0.25">
      <c r="B316" s="465" t="s">
        <v>216</v>
      </c>
      <c r="C316" s="92" t="s">
        <v>208</v>
      </c>
      <c r="D316" s="93" t="s">
        <v>209</v>
      </c>
    </row>
    <row r="317" spans="2:9" s="94" customFormat="1" ht="16.2" customHeight="1" x14ac:dyDescent="0.25">
      <c r="B317" s="466"/>
      <c r="C317" s="95" t="s">
        <v>186</v>
      </c>
      <c r="D317" s="96" t="s">
        <v>52</v>
      </c>
    </row>
    <row r="318" spans="2:9" s="99" customFormat="1" ht="16.2" customHeight="1" x14ac:dyDescent="0.25">
      <c r="B318" s="97" t="s">
        <v>111</v>
      </c>
      <c r="C318" s="141" t="e">
        <f>STDEV('INPUT DATA'!E42:G42)/SQRT(3)</f>
        <v>#DIV/0!</v>
      </c>
      <c r="D318" s="141" t="e">
        <f>STDEV('INPUT DATA'!E43:G43)/SQRT(3)</f>
        <v>#DIV/0!</v>
      </c>
    </row>
    <row r="319" spans="2:9" s="99" customFormat="1" ht="16.2" customHeight="1" x14ac:dyDescent="0.25">
      <c r="B319" s="97" t="s">
        <v>217</v>
      </c>
      <c r="C319" s="86">
        <f>D309/2</f>
        <v>0.27500000000000002</v>
      </c>
      <c r="D319" s="98">
        <f>I309/2</f>
        <v>1.4</v>
      </c>
    </row>
    <row r="320" spans="2:9" s="99" customFormat="1" ht="16.2" customHeight="1" x14ac:dyDescent="0.25">
      <c r="B320" s="97" t="s">
        <v>218</v>
      </c>
      <c r="C320" s="86" t="e">
        <f>SQRT(C318^2+C319^2)</f>
        <v>#DIV/0!</v>
      </c>
      <c r="D320" s="98" t="e">
        <f>SQRT(D318^2+D319^2)</f>
        <v>#DIV/0!</v>
      </c>
    </row>
    <row r="321" spans="2:4" s="94" customFormat="1" ht="16.2" customHeight="1" thickBot="1" x14ac:dyDescent="0.3">
      <c r="B321" s="100" t="s">
        <v>219</v>
      </c>
      <c r="C321" s="133" t="e">
        <f>C320*2</f>
        <v>#DIV/0!</v>
      </c>
      <c r="D321" s="134" t="e">
        <f>D320*2</f>
        <v>#DIV/0!</v>
      </c>
    </row>
  </sheetData>
  <mergeCells count="153"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C271:D271"/>
    <mergeCell ref="C272:D272"/>
    <mergeCell ref="B274:D274"/>
    <mergeCell ref="G274:I274"/>
    <mergeCell ref="D277:D283"/>
    <mergeCell ref="I277:I283"/>
    <mergeCell ref="B258:D258"/>
    <mergeCell ref="G258:I258"/>
    <mergeCell ref="D261:D267"/>
    <mergeCell ref="I261:I267"/>
    <mergeCell ref="C270:D270"/>
    <mergeCell ref="I270:J270"/>
    <mergeCell ref="D245:D251"/>
    <mergeCell ref="I245:I251"/>
    <mergeCell ref="C254:D254"/>
    <mergeCell ref="I254:J254"/>
    <mergeCell ref="C255:D255"/>
    <mergeCell ref="C256:D256"/>
    <mergeCell ref="C238:D238"/>
    <mergeCell ref="I238:J238"/>
    <mergeCell ref="C239:D239"/>
    <mergeCell ref="C240:D240"/>
    <mergeCell ref="B242:D242"/>
    <mergeCell ref="G242:I242"/>
    <mergeCell ref="C223:D223"/>
    <mergeCell ref="C224:D224"/>
    <mergeCell ref="B226:D226"/>
    <mergeCell ref="G226:I226"/>
    <mergeCell ref="D229:D235"/>
    <mergeCell ref="I229:I235"/>
    <mergeCell ref="B210:D210"/>
    <mergeCell ref="G210:I210"/>
    <mergeCell ref="D213:D219"/>
    <mergeCell ref="I213:I219"/>
    <mergeCell ref="C222:D222"/>
    <mergeCell ref="I222:J222"/>
    <mergeCell ref="D197:D203"/>
    <mergeCell ref="I197:I203"/>
    <mergeCell ref="C206:D206"/>
    <mergeCell ref="I206:J206"/>
    <mergeCell ref="C207:D207"/>
    <mergeCell ref="C208:D208"/>
    <mergeCell ref="C190:D190"/>
    <mergeCell ref="I190:J190"/>
    <mergeCell ref="C191:D191"/>
    <mergeCell ref="C192:D192"/>
    <mergeCell ref="B194:D194"/>
    <mergeCell ref="G194:I194"/>
    <mergeCell ref="C175:D175"/>
    <mergeCell ref="C176:D176"/>
    <mergeCell ref="B178:D178"/>
    <mergeCell ref="G178:I178"/>
    <mergeCell ref="D181:D187"/>
    <mergeCell ref="I181:I187"/>
    <mergeCell ref="B162:D162"/>
    <mergeCell ref="G162:I162"/>
    <mergeCell ref="D165:D171"/>
    <mergeCell ref="I165:I171"/>
    <mergeCell ref="C174:D174"/>
    <mergeCell ref="I174:J174"/>
    <mergeCell ref="D149:D155"/>
    <mergeCell ref="I149:I155"/>
    <mergeCell ref="C158:D158"/>
    <mergeCell ref="I158:J158"/>
    <mergeCell ref="C159:D159"/>
    <mergeCell ref="C160:D160"/>
    <mergeCell ref="C142:D142"/>
    <mergeCell ref="I142:J142"/>
    <mergeCell ref="C143:D143"/>
    <mergeCell ref="C144:D144"/>
    <mergeCell ref="B146:D146"/>
    <mergeCell ref="G146:I146"/>
    <mergeCell ref="C127:D127"/>
    <mergeCell ref="C128:D128"/>
    <mergeCell ref="B130:D130"/>
    <mergeCell ref="G130:I130"/>
    <mergeCell ref="D133:D139"/>
    <mergeCell ref="I133:I139"/>
    <mergeCell ref="B115:D115"/>
    <mergeCell ref="G115:I115"/>
    <mergeCell ref="D118:D123"/>
    <mergeCell ref="I118:I123"/>
    <mergeCell ref="C126:D126"/>
    <mergeCell ref="I126:J126"/>
    <mergeCell ref="D103:D108"/>
    <mergeCell ref="I103:I108"/>
    <mergeCell ref="C111:D111"/>
    <mergeCell ref="I111:J111"/>
    <mergeCell ref="C112:D112"/>
    <mergeCell ref="C113:D113"/>
    <mergeCell ref="C96:D96"/>
    <mergeCell ref="I96:J96"/>
    <mergeCell ref="C97:D97"/>
    <mergeCell ref="C98:D98"/>
    <mergeCell ref="B100:D100"/>
    <mergeCell ref="G100:I100"/>
    <mergeCell ref="C81:D81"/>
    <mergeCell ref="C82:D82"/>
    <mergeCell ref="B84:D84"/>
    <mergeCell ref="G84:I84"/>
    <mergeCell ref="D87:D92"/>
    <mergeCell ref="I87:I92"/>
    <mergeCell ref="B69:D69"/>
    <mergeCell ref="G69:I69"/>
    <mergeCell ref="D72:D77"/>
    <mergeCell ref="I72:I77"/>
    <mergeCell ref="C80:D80"/>
    <mergeCell ref="I80:J80"/>
    <mergeCell ref="D56:D61"/>
    <mergeCell ref="I56:I61"/>
    <mergeCell ref="C65:D65"/>
    <mergeCell ref="I65:J65"/>
    <mergeCell ref="C66:D66"/>
    <mergeCell ref="C67:D67"/>
    <mergeCell ref="C49:D49"/>
    <mergeCell ref="I49:J49"/>
    <mergeCell ref="C50:D50"/>
    <mergeCell ref="C51:D51"/>
    <mergeCell ref="B53:D53"/>
    <mergeCell ref="G53:I53"/>
    <mergeCell ref="C35:D35"/>
    <mergeCell ref="C36:D36"/>
    <mergeCell ref="B38:D38"/>
    <mergeCell ref="G38:I38"/>
    <mergeCell ref="D41:D46"/>
    <mergeCell ref="I41:I46"/>
    <mergeCell ref="B22:D22"/>
    <mergeCell ref="G22:I22"/>
    <mergeCell ref="D25:D31"/>
    <mergeCell ref="I25:I31"/>
    <mergeCell ref="C34:D34"/>
    <mergeCell ref="I34:J34"/>
    <mergeCell ref="D10:D15"/>
    <mergeCell ref="I10:I15"/>
    <mergeCell ref="C18:D18"/>
    <mergeCell ref="I18:J18"/>
    <mergeCell ref="C19:D19"/>
    <mergeCell ref="C20:D20"/>
    <mergeCell ref="C3:D3"/>
    <mergeCell ref="I3:J3"/>
    <mergeCell ref="C4:D4"/>
    <mergeCell ref="C5:D5"/>
    <mergeCell ref="B7:D7"/>
    <mergeCell ref="G7:I7"/>
  </mergeCells>
  <pageMargins left="0.7" right="0.7" top="0.75" bottom="0.75" header="0.3" footer="0.3"/>
  <pageSetup paperSize="9" scale="72" orientation="portrait" r:id="rId1"/>
  <rowBreaks count="4" manualBreakCount="4">
    <brk id="52" max="16383" man="1"/>
    <brk id="114" max="16383" man="1"/>
    <brk id="175" min="1" max="8" man="1"/>
    <brk id="235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36"/>
  <sheetViews>
    <sheetView view="pageBreakPreview" topLeftCell="A12" zoomScale="110" zoomScaleNormal="100" zoomScaleSheetLayoutView="110" workbookViewId="0">
      <selection activeCell="B31" sqref="B31"/>
    </sheetView>
  </sheetViews>
  <sheetFormatPr defaultRowHeight="13.2" x14ac:dyDescent="0.25"/>
  <cols>
    <col min="1" max="1" width="17.5546875" style="285" customWidth="1"/>
    <col min="2" max="2" width="60.88671875" customWidth="1"/>
    <col min="3" max="3" width="10.6640625" style="235" customWidth="1"/>
  </cols>
  <sheetData>
    <row r="1" spans="1:3" x14ac:dyDescent="0.25">
      <c r="A1" s="402" t="s">
        <v>249</v>
      </c>
      <c r="B1" s="402"/>
      <c r="C1" s="402"/>
    </row>
    <row r="2" spans="1:3" x14ac:dyDescent="0.25">
      <c r="A2" s="284"/>
      <c r="B2" s="18"/>
      <c r="C2" s="16"/>
    </row>
    <row r="3" spans="1:3" x14ac:dyDescent="0.25">
      <c r="A3" s="212" t="s">
        <v>22</v>
      </c>
      <c r="B3" s="137" t="s">
        <v>250</v>
      </c>
      <c r="C3" s="137" t="s">
        <v>251</v>
      </c>
    </row>
    <row r="4" spans="1:3" x14ac:dyDescent="0.25">
      <c r="A4" s="284">
        <v>44525</v>
      </c>
      <c r="B4" s="18" t="s">
        <v>252</v>
      </c>
      <c r="C4" s="16" t="s">
        <v>253</v>
      </c>
    </row>
    <row r="5" spans="1:3" x14ac:dyDescent="0.25">
      <c r="A5" s="284">
        <v>44650</v>
      </c>
      <c r="B5" s="18" t="s">
        <v>255</v>
      </c>
      <c r="C5" s="16" t="s">
        <v>253</v>
      </c>
    </row>
    <row r="6" spans="1:3" x14ac:dyDescent="0.25">
      <c r="A6" s="284">
        <v>44705</v>
      </c>
      <c r="B6" s="18" t="s">
        <v>257</v>
      </c>
      <c r="C6" s="16" t="s">
        <v>253</v>
      </c>
    </row>
    <row r="7" spans="1:3" x14ac:dyDescent="0.25">
      <c r="A7" s="284">
        <v>44764</v>
      </c>
      <c r="B7" s="18" t="s">
        <v>259</v>
      </c>
      <c r="C7" s="16" t="s">
        <v>253</v>
      </c>
    </row>
    <row r="8" spans="1:3" x14ac:dyDescent="0.25">
      <c r="A8" s="284">
        <v>44880</v>
      </c>
      <c r="B8" s="139" t="s">
        <v>260</v>
      </c>
      <c r="C8" s="16" t="s">
        <v>253</v>
      </c>
    </row>
    <row r="9" spans="1:3" x14ac:dyDescent="0.25">
      <c r="A9" s="284">
        <v>44712</v>
      </c>
      <c r="B9" s="18" t="s">
        <v>257</v>
      </c>
      <c r="C9" s="16" t="s">
        <v>253</v>
      </c>
    </row>
    <row r="10" spans="1:3" x14ac:dyDescent="0.25">
      <c r="A10" s="284">
        <v>45214</v>
      </c>
      <c r="B10" s="18" t="s">
        <v>257</v>
      </c>
      <c r="C10" s="16" t="s">
        <v>253</v>
      </c>
    </row>
    <row r="11" spans="1:3" x14ac:dyDescent="0.25">
      <c r="A11" s="284">
        <v>45225</v>
      </c>
      <c r="B11" s="18" t="s">
        <v>319</v>
      </c>
      <c r="C11" s="16" t="s">
        <v>320</v>
      </c>
    </row>
    <row r="12" spans="1:3" x14ac:dyDescent="0.25">
      <c r="A12" s="284">
        <v>45225</v>
      </c>
      <c r="B12" s="18" t="s">
        <v>340</v>
      </c>
      <c r="C12" s="16" t="s">
        <v>320</v>
      </c>
    </row>
    <row r="13" spans="1:3" x14ac:dyDescent="0.25">
      <c r="A13" s="284">
        <v>45225</v>
      </c>
      <c r="B13" s="18" t="s">
        <v>341</v>
      </c>
      <c r="C13" s="16" t="s">
        <v>320</v>
      </c>
    </row>
    <row r="14" spans="1:3" x14ac:dyDescent="0.25">
      <c r="A14" s="284">
        <v>45225</v>
      </c>
      <c r="B14" s="18" t="s">
        <v>342</v>
      </c>
      <c r="C14" s="16" t="s">
        <v>320</v>
      </c>
    </row>
    <row r="15" spans="1:3" x14ac:dyDescent="0.25">
      <c r="A15" s="284">
        <v>45237</v>
      </c>
      <c r="B15" s="18" t="s">
        <v>359</v>
      </c>
      <c r="C15" s="16" t="s">
        <v>320</v>
      </c>
    </row>
    <row r="16" spans="1:3" x14ac:dyDescent="0.25">
      <c r="A16" s="284">
        <v>45266</v>
      </c>
      <c r="B16" s="18" t="s">
        <v>361</v>
      </c>
      <c r="C16" s="16" t="s">
        <v>320</v>
      </c>
    </row>
    <row r="17" spans="1:3" x14ac:dyDescent="0.25">
      <c r="A17" s="284">
        <v>45384</v>
      </c>
      <c r="B17" s="18" t="s">
        <v>365</v>
      </c>
      <c r="C17" s="16" t="s">
        <v>253</v>
      </c>
    </row>
    <row r="18" spans="1:3" x14ac:dyDescent="0.25">
      <c r="A18" s="274">
        <v>45468</v>
      </c>
      <c r="B18" s="275" t="s">
        <v>367</v>
      </c>
      <c r="C18" s="272" t="s">
        <v>253</v>
      </c>
    </row>
    <row r="19" spans="1:3" x14ac:dyDescent="0.25">
      <c r="A19" s="276">
        <v>45484</v>
      </c>
      <c r="B19" s="18" t="s">
        <v>259</v>
      </c>
      <c r="C19" s="272" t="s">
        <v>253</v>
      </c>
    </row>
    <row r="20" spans="1:3" x14ac:dyDescent="0.25">
      <c r="A20" s="276">
        <v>45488</v>
      </c>
      <c r="B20" s="18" t="s">
        <v>369</v>
      </c>
      <c r="C20" s="272" t="s">
        <v>253</v>
      </c>
    </row>
    <row r="21" spans="1:3" x14ac:dyDescent="0.25">
      <c r="A21" s="274">
        <v>45592</v>
      </c>
      <c r="B21" s="275" t="s">
        <v>367</v>
      </c>
      <c r="C21" s="272" t="s">
        <v>253</v>
      </c>
    </row>
    <row r="22" spans="1:3" x14ac:dyDescent="0.25">
      <c r="A22" s="274">
        <v>45592</v>
      </c>
      <c r="B22" s="275" t="s">
        <v>380</v>
      </c>
      <c r="C22" s="272" t="s">
        <v>253</v>
      </c>
    </row>
    <row r="23" spans="1:3" x14ac:dyDescent="0.25">
      <c r="A23" s="284">
        <v>45719</v>
      </c>
      <c r="B23" s="18" t="s">
        <v>384</v>
      </c>
      <c r="C23" s="16" t="s">
        <v>253</v>
      </c>
    </row>
    <row r="24" spans="1:3" x14ac:dyDescent="0.25">
      <c r="A24" s="289">
        <v>45808</v>
      </c>
      <c r="B24" s="290" t="s">
        <v>385</v>
      </c>
      <c r="C24" s="272" t="s">
        <v>253</v>
      </c>
    </row>
    <row r="25" spans="1:3" x14ac:dyDescent="0.25">
      <c r="A25" s="284">
        <v>45880</v>
      </c>
      <c r="B25" s="18" t="s">
        <v>391</v>
      </c>
      <c r="C25" s="272" t="s">
        <v>253</v>
      </c>
    </row>
    <row r="26" spans="1:3" x14ac:dyDescent="0.25">
      <c r="A26" s="284"/>
      <c r="B26" s="18"/>
      <c r="C26" s="16"/>
    </row>
    <row r="27" spans="1:3" x14ac:dyDescent="0.25">
      <c r="A27" s="284"/>
      <c r="B27" s="18"/>
      <c r="C27" s="16"/>
    </row>
    <row r="28" spans="1:3" x14ac:dyDescent="0.25">
      <c r="A28" s="284"/>
      <c r="B28" s="18"/>
      <c r="C28" s="16"/>
    </row>
    <row r="29" spans="1:3" x14ac:dyDescent="0.25">
      <c r="A29" s="284"/>
      <c r="B29" s="18"/>
      <c r="C29" s="16"/>
    </row>
    <row r="30" spans="1:3" x14ac:dyDescent="0.25">
      <c r="A30" s="284"/>
      <c r="B30" s="18"/>
      <c r="C30" s="16"/>
    </row>
    <row r="31" spans="1:3" x14ac:dyDescent="0.25">
      <c r="A31" s="284"/>
      <c r="B31" s="18"/>
      <c r="C31" s="16"/>
    </row>
    <row r="32" spans="1:3" x14ac:dyDescent="0.25">
      <c r="A32" s="284"/>
      <c r="B32" s="18"/>
      <c r="C32" s="16"/>
    </row>
    <row r="33" spans="1:3" x14ac:dyDescent="0.25">
      <c r="A33" s="284"/>
      <c r="B33" s="18"/>
      <c r="C33" s="16"/>
    </row>
    <row r="34" spans="1:3" x14ac:dyDescent="0.25">
      <c r="A34" s="284"/>
      <c r="B34" s="18"/>
      <c r="C34" s="16"/>
    </row>
    <row r="35" spans="1:3" x14ac:dyDescent="0.25">
      <c r="A35" s="284"/>
      <c r="B35" s="18"/>
      <c r="C35" s="16"/>
    </row>
    <row r="36" spans="1:3" x14ac:dyDescent="0.25">
      <c r="A36" s="284"/>
      <c r="B36" s="18"/>
      <c r="C36" s="16"/>
    </row>
  </sheetData>
  <mergeCells count="1">
    <mergeCell ref="A1:C1"/>
  </mergeCells>
  <phoneticPr fontId="1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 Calibration</dc:creator>
  <cp:lastModifiedBy>22-25-RAFI AKBAR HIBATULLAH</cp:lastModifiedBy>
  <cp:lastPrinted>2025-11-19T10:05:59Z</cp:lastPrinted>
  <dcterms:created xsi:type="dcterms:W3CDTF">2008-10-29T20:24:34Z</dcterms:created>
  <dcterms:modified xsi:type="dcterms:W3CDTF">2026-01-06T07:27:57Z</dcterms:modified>
</cp:coreProperties>
</file>